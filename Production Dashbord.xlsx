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jaswantbhai_rathwa\OneDrive - Oil and Natural Gas Corporation Videsh Limited\Desktop\"/>
    </mc:Choice>
  </mc:AlternateContent>
  <xr:revisionPtr revIDLastSave="0" documentId="8_{FA9A7700-032C-403D-8467-C5DBC141A93F}" xr6:coauthVersionLast="47" xr6:coauthVersionMax="47" xr10:uidLastSave="{00000000-0000-0000-0000-000000000000}"/>
  <bookViews>
    <workbookView xWindow="-120" yWindow="-120" windowWidth="29040" windowHeight="15720" xr2:uid="{82F2F8D7-FCEC-4EC0-A8E2-56AD908B9741}"/>
  </bookViews>
  <sheets>
    <sheet name="Sheet4" sheetId="4"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49" i="4" l="1"/>
  <c r="O48" i="4"/>
  <c r="M48" i="4"/>
  <c r="L48" i="4"/>
  <c r="G48" i="4"/>
  <c r="O47" i="4"/>
  <c r="M47" i="4"/>
  <c r="L47" i="4"/>
  <c r="G47" i="4"/>
  <c r="L46" i="4"/>
  <c r="G46" i="4"/>
  <c r="O45" i="4"/>
  <c r="M45" i="4"/>
  <c r="L45" i="4"/>
  <c r="G45" i="4"/>
  <c r="O44" i="4"/>
  <c r="M44" i="4"/>
  <c r="L44" i="4"/>
  <c r="G44" i="4"/>
  <c r="O43" i="4"/>
  <c r="M43" i="4"/>
  <c r="L43" i="4"/>
  <c r="G43" i="4"/>
  <c r="G42" i="4"/>
  <c r="P9" i="4"/>
  <c r="M9" i="4"/>
  <c r="P8" i="4"/>
  <c r="M8" i="4"/>
  <c r="O4" i="4"/>
  <c r="I4" i="4"/>
</calcChain>
</file>

<file path=xl/sharedStrings.xml><?xml version="1.0" encoding="utf-8"?>
<sst xmlns="http://schemas.openxmlformats.org/spreadsheetml/2006/main" count="81" uniqueCount="44">
  <si>
    <t>Date</t>
  </si>
  <si>
    <t xml:space="preserve">Compare
with </t>
  </si>
  <si>
    <t>BE Annual target</t>
  </si>
  <si>
    <t>BE</t>
  </si>
  <si>
    <t xml:space="preserve">Daily production rate </t>
  </si>
  <si>
    <t>Comparison With(Dropdown selection above)</t>
  </si>
  <si>
    <t>Comparison With(Dropdown selection)</t>
  </si>
  <si>
    <t>BU-Russia</t>
  </si>
  <si>
    <t>Total-OVL share</t>
  </si>
  <si>
    <t>Sakhalin-1</t>
  </si>
  <si>
    <t>BOPD</t>
  </si>
  <si>
    <t>Oil</t>
  </si>
  <si>
    <t>MMSCMD</t>
  </si>
  <si>
    <t>Gas</t>
  </si>
  <si>
    <t>Imperial</t>
  </si>
  <si>
    <t>Remarks</t>
  </si>
  <si>
    <t>Vankor</t>
  </si>
  <si>
    <t>BU-LAC &amp; BU-Colombia</t>
  </si>
  <si>
    <t>MECL</t>
  </si>
  <si>
    <t>CPO-5</t>
  </si>
  <si>
    <t>Sancristobal</t>
  </si>
  <si>
    <t>Carabobo</t>
  </si>
  <si>
    <t>BC-10</t>
  </si>
  <si>
    <t>BU-Asia Pacific</t>
  </si>
  <si>
    <t>Asking Rate Summary</t>
  </si>
  <si>
    <t>A1,A3</t>
  </si>
  <si>
    <t>B-06.1</t>
  </si>
  <si>
    <t>BU-MENA CIS</t>
  </si>
  <si>
    <t>bopd</t>
  </si>
  <si>
    <t>ACG</t>
  </si>
  <si>
    <t>tonnes per day</t>
  </si>
  <si>
    <t>mmscmd</t>
  </si>
  <si>
    <t>GPOC</t>
  </si>
  <si>
    <t>O+OEG</t>
  </si>
  <si>
    <t>ToE per day</t>
  </si>
  <si>
    <t>SPOC</t>
  </si>
  <si>
    <t>LZC</t>
  </si>
  <si>
    <t xml:space="preserve">  Oil Production trend: OVL</t>
  </si>
  <si>
    <t>BOPD (BE target for 2026-27)</t>
  </si>
  <si>
    <t>MMSCMD(BE target for 2026-27)</t>
  </si>
  <si>
    <t>Prev. day data for ACG, BC-10,MECL, Sakhalin, GPOC,SCB.</t>
  </si>
  <si>
    <t>IEC: Production deferred due to water cut increase.</t>
  </si>
  <si>
    <t>Actual production on DPR date(11-Aug-26)</t>
  </si>
  <si>
    <t>Asking rate to achieve 7.252 MMT Oil and 2.574 BCM Gas (Total 9.826 MMTOE)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</si>
</sst>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_(* \(#,##0\);_(* &quot;-&quot;??_);_(@_)"/>
    <numFmt numFmtId="165" formatCode="_(* #,##0_);_(* \(#,##0.000\);_(* &quot;-&quot;??_);_(@_)"/>
    <numFmt numFmtId="166" formatCode="_(* #,##0.000_);_(* \(#,##0.000\);_(* &quot;-&quot;??_);_(@_)"/>
    <numFmt numFmtId="167" formatCode="0.000"/>
  </numFmts>
  <fonts count="14" x14ac:knownFonts="1">
    <font>
      <sz val="11"/>
      <color theme="1"/>
      <name val="Aptos Narrow"/>
      <family val="2"/>
      <scheme val="minor"/>
    </font>
    <font>
      <b/>
      <sz val="11"/>
      <color theme="1"/>
      <name val="Aptos Narrow"/>
      <family val="2"/>
      <scheme val="minor"/>
    </font>
    <font>
      <sz val="11"/>
      <color rgb="FF000000"/>
      <name val="Calibri"/>
      <family val="2"/>
    </font>
    <font>
      <sz val="8"/>
      <color rgb="FF000000"/>
      <name val="Segoe UI"/>
      <family val="2"/>
    </font>
    <font>
      <sz val="11"/>
      <color rgb="FFFFFFFF"/>
      <name val="Aptos Narrow"/>
      <family val="2"/>
      <scheme val="minor"/>
    </font>
    <font>
      <sz val="12"/>
      <color theme="1"/>
      <name val="Aptos Narrow"/>
      <family val="2"/>
      <scheme val="minor"/>
    </font>
    <font>
      <b/>
      <i/>
      <u/>
      <sz val="14"/>
      <color theme="1"/>
      <name val="Aptos Narrow"/>
      <family val="2"/>
      <scheme val="minor"/>
    </font>
    <font>
      <sz val="14"/>
      <color theme="1"/>
      <name val="Aptos Narrow"/>
      <family val="2"/>
      <scheme val="minor"/>
    </font>
    <font>
      <sz val="10"/>
      <color theme="1"/>
      <name val="Aptos Narrow"/>
      <family val="2"/>
      <scheme val="minor"/>
    </font>
    <font>
      <b/>
      <u/>
      <sz val="11"/>
      <color theme="1"/>
      <name val="Aptos Narrow"/>
      <family val="2"/>
      <scheme val="minor"/>
    </font>
    <font>
      <b/>
      <sz val="12"/>
      <color theme="1"/>
      <name val="Aptos Narrow"/>
      <family val="2"/>
      <scheme val="minor"/>
    </font>
    <font>
      <b/>
      <sz val="11"/>
      <name val="Aptos Narrow"/>
      <family val="2"/>
      <scheme val="minor"/>
    </font>
    <font>
      <b/>
      <u/>
      <sz val="14"/>
      <color theme="1"/>
      <name val="Aptos Narrow"/>
      <family val="2"/>
      <scheme val="minor"/>
    </font>
    <font>
      <b/>
      <sz val="14"/>
      <color theme="1"/>
      <name val="Aptos Narrow"/>
      <family val="2"/>
      <scheme val="minor"/>
    </font>
  </fonts>
  <fills count="9">
    <fill>
      <patternFill patternType="none"/>
    </fill>
    <fill>
      <patternFill patternType="gray125"/>
    </fill>
    <fill>
      <patternFill patternType="solid">
        <fgColor theme="8" tint="0.7999816888943144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59999389629810485"/>
        <bgColor indexed="64"/>
      </patternFill>
    </fill>
  </fills>
  <borders count="3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07">
    <xf numFmtId="0" fontId="0" fillId="0" borderId="0" xfId="0"/>
    <xf numFmtId="0" fontId="0" fillId="0" borderId="1" xfId="0" applyBorder="1" applyAlignment="1">
      <alignment vertical="center"/>
    </xf>
    <xf numFmtId="15" fontId="0" fillId="2" borderId="2" xfId="0" applyNumberFormat="1" applyFill="1" applyBorder="1" applyAlignment="1" applyProtection="1">
      <alignment vertical="center"/>
      <protection locked="0"/>
    </xf>
    <xf numFmtId="0" fontId="4" fillId="0" borderId="3" xfId="0" applyFont="1" applyBorder="1" applyAlignment="1">
      <alignment vertical="center"/>
    </xf>
    <xf numFmtId="0" fontId="0" fillId="0" borderId="2" xfId="0" applyBorder="1" applyAlignment="1">
      <alignment vertical="center" wrapText="1"/>
    </xf>
    <xf numFmtId="0" fontId="5" fillId="3" borderId="2" xfId="0" applyFont="1" applyFill="1" applyBorder="1" applyAlignment="1" applyProtection="1">
      <alignment vertical="center"/>
      <protection locked="0"/>
    </xf>
    <xf numFmtId="0" fontId="0" fillId="0" borderId="3" xfId="0" applyBorder="1"/>
    <xf numFmtId="0" fontId="4" fillId="0" borderId="3" xfId="0" applyFont="1" applyBorder="1" applyProtection="1">
      <protection locked="0"/>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0" fillId="0" borderId="5" xfId="0" applyBorder="1"/>
    <xf numFmtId="0" fontId="0" fillId="0" borderId="6" xfId="0" applyBorder="1"/>
    <xf numFmtId="0" fontId="0" fillId="2" borderId="7" xfId="0" applyFill="1" applyBorder="1" applyAlignment="1">
      <alignment horizontal="center"/>
    </xf>
    <xf numFmtId="0" fontId="0" fillId="2" borderId="8" xfId="0" applyFill="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0" fontId="0" fillId="4" borderId="10" xfId="0" applyFill="1" applyBorder="1" applyAlignment="1">
      <alignment horizontal="left"/>
    </xf>
    <xf numFmtId="0" fontId="0" fillId="4" borderId="11" xfId="0" applyFill="1" applyBorder="1" applyAlignment="1">
      <alignment horizontal="left"/>
    </xf>
    <xf numFmtId="0" fontId="0" fillId="4" borderId="12" xfId="0" applyFill="1" applyBorder="1" applyAlignment="1">
      <alignment horizontal="left"/>
    </xf>
    <xf numFmtId="0" fontId="1" fillId="4" borderId="8" xfId="0" applyFont="1" applyFill="1" applyBorder="1" applyAlignment="1">
      <alignment horizontal="left"/>
    </xf>
    <xf numFmtId="0" fontId="1" fillId="4" borderId="13" xfId="0" applyFont="1" applyFill="1" applyBorder="1" applyAlignment="1">
      <alignment horizontal="left"/>
    </xf>
    <xf numFmtId="0" fontId="1" fillId="4" borderId="14" xfId="0" applyFont="1" applyFill="1" applyBorder="1" applyAlignment="1">
      <alignment horizontal="left"/>
    </xf>
    <xf numFmtId="0" fontId="0" fillId="5" borderId="10" xfId="0" applyFill="1" applyBorder="1" applyAlignment="1">
      <alignment horizontal="left" vertical="center"/>
    </xf>
    <xf numFmtId="164" fontId="0" fillId="2" borderId="15" xfId="0" applyNumberFormat="1" applyFill="1" applyBorder="1"/>
    <xf numFmtId="0" fontId="8" fillId="2" borderId="16" xfId="0" applyFont="1" applyFill="1" applyBorder="1"/>
    <xf numFmtId="165" fontId="0" fillId="3" borderId="15" xfId="0" applyNumberFormat="1" applyFill="1" applyBorder="1"/>
    <xf numFmtId="0" fontId="8" fillId="3" borderId="16" xfId="0" applyFont="1" applyFill="1" applyBorder="1"/>
    <xf numFmtId="0" fontId="8" fillId="5" borderId="15" xfId="0" applyFont="1" applyFill="1" applyBorder="1"/>
    <xf numFmtId="0" fontId="8" fillId="3" borderId="17" xfId="0" applyFont="1" applyFill="1" applyBorder="1"/>
    <xf numFmtId="166" fontId="0" fillId="2" borderId="15" xfId="0" applyNumberFormat="1" applyFill="1" applyBorder="1"/>
    <xf numFmtId="166" fontId="0" fillId="3" borderId="15" xfId="0" applyNumberFormat="1" applyFill="1" applyBorder="1"/>
    <xf numFmtId="0" fontId="8" fillId="5" borderId="18" xfId="0" applyFont="1" applyFill="1" applyBorder="1"/>
    <xf numFmtId="166" fontId="0" fillId="2" borderId="18" xfId="0" applyNumberFormat="1" applyFill="1" applyBorder="1"/>
    <xf numFmtId="0" fontId="8" fillId="2" borderId="12" xfId="0" applyFont="1" applyFill="1" applyBorder="1"/>
    <xf numFmtId="166" fontId="0" fillId="3" borderId="18" xfId="0" applyNumberFormat="1" applyFill="1" applyBorder="1"/>
    <xf numFmtId="0" fontId="8" fillId="3" borderId="19" xfId="0" applyFont="1" applyFill="1" applyBorder="1"/>
    <xf numFmtId="0" fontId="9" fillId="2" borderId="18" xfId="0" applyFont="1" applyFill="1" applyBorder="1" applyAlignment="1">
      <alignment horizontal="left"/>
    </xf>
    <xf numFmtId="0" fontId="9" fillId="2" borderId="11" xfId="0" applyFont="1" applyFill="1" applyBorder="1" applyAlignment="1">
      <alignment horizontal="left"/>
    </xf>
    <xf numFmtId="0" fontId="9" fillId="2" borderId="12" xfId="0" applyFont="1" applyFill="1" applyBorder="1" applyAlignment="1">
      <alignment horizontal="left"/>
    </xf>
    <xf numFmtId="0" fontId="1" fillId="4" borderId="17" xfId="0" applyFont="1" applyFill="1" applyBorder="1"/>
    <xf numFmtId="0" fontId="0" fillId="2" borderId="21" xfId="0" applyFill="1" applyBorder="1" applyAlignment="1">
      <alignment horizontal="left" vertical="top" wrapText="1"/>
    </xf>
    <xf numFmtId="0" fontId="0" fillId="2" borderId="0" xfId="0" applyFill="1" applyAlignment="1">
      <alignment horizontal="left" vertical="top" wrapText="1"/>
    </xf>
    <xf numFmtId="0" fontId="0" fillId="2" borderId="6" xfId="0" applyFill="1" applyBorder="1" applyAlignment="1">
      <alignment horizontal="left" vertical="top" wrapText="1"/>
    </xf>
    <xf numFmtId="10" fontId="0" fillId="5" borderId="10" xfId="0" applyNumberFormat="1" applyFill="1" applyBorder="1" applyAlignment="1">
      <alignment horizontal="left" vertical="center"/>
    </xf>
    <xf numFmtId="0" fontId="0" fillId="4" borderId="0" xfId="0" applyFill="1" applyAlignment="1">
      <alignment horizontal="left"/>
    </xf>
    <xf numFmtId="0" fontId="0" fillId="4" borderId="22" xfId="0" applyFill="1" applyBorder="1" applyAlignment="1">
      <alignment horizontal="left"/>
    </xf>
    <xf numFmtId="0" fontId="0" fillId="5" borderId="10" xfId="0" applyFill="1" applyBorder="1"/>
    <xf numFmtId="0" fontId="8" fillId="2" borderId="20" xfId="0" applyFont="1" applyFill="1" applyBorder="1"/>
    <xf numFmtId="0" fontId="0" fillId="2" borderId="23" xfId="0" applyFill="1" applyBorder="1" applyAlignment="1">
      <alignment horizontal="left" vertical="top" wrapText="1"/>
    </xf>
    <xf numFmtId="0" fontId="0" fillId="2" borderId="24" xfId="0" applyFill="1" applyBorder="1" applyAlignment="1">
      <alignment horizontal="left" vertical="top" wrapText="1"/>
    </xf>
    <xf numFmtId="0" fontId="0" fillId="2" borderId="25" xfId="0" applyFill="1" applyBorder="1" applyAlignment="1">
      <alignment horizontal="left" vertical="top" wrapText="1"/>
    </xf>
    <xf numFmtId="0" fontId="10" fillId="4" borderId="15" xfId="0" applyFont="1" applyFill="1" applyBorder="1" applyAlignment="1">
      <alignment horizontal="center"/>
    </xf>
    <xf numFmtId="0" fontId="10" fillId="4" borderId="20" xfId="0" applyFont="1" applyFill="1" applyBorder="1" applyAlignment="1">
      <alignment horizontal="center"/>
    </xf>
    <xf numFmtId="0" fontId="10" fillId="4" borderId="17" xfId="0" applyFont="1" applyFill="1" applyBorder="1" applyAlignment="1">
      <alignment horizontal="center"/>
    </xf>
    <xf numFmtId="0" fontId="7" fillId="4" borderId="13" xfId="0" applyFont="1" applyFill="1" applyBorder="1"/>
    <xf numFmtId="0" fontId="10" fillId="2" borderId="18" xfId="0" applyFont="1" applyFill="1" applyBorder="1" applyAlignment="1">
      <alignment horizontal="center" vertical="center" wrapText="1"/>
    </xf>
    <xf numFmtId="0" fontId="10" fillId="2" borderId="12" xfId="0" applyFont="1" applyFill="1" applyBorder="1" applyAlignment="1">
      <alignment horizontal="center" vertical="center" wrapText="1"/>
    </xf>
    <xf numFmtId="0" fontId="10" fillId="6" borderId="18" xfId="0" applyFont="1" applyFill="1" applyBorder="1" applyAlignment="1">
      <alignment horizontal="center" vertical="center" wrapText="1"/>
    </xf>
    <xf numFmtId="0" fontId="10" fillId="6" borderId="19" xfId="0" applyFont="1" applyFill="1" applyBorder="1" applyAlignment="1">
      <alignment horizontal="center" vertical="center" wrapText="1"/>
    </xf>
    <xf numFmtId="0" fontId="7" fillId="4" borderId="26" xfId="0" applyFont="1" applyFill="1" applyBorder="1"/>
    <xf numFmtId="0" fontId="10" fillId="2" borderId="23" xfId="0" applyFont="1" applyFill="1" applyBorder="1" applyAlignment="1">
      <alignment horizontal="center" vertical="center" wrapText="1"/>
    </xf>
    <xf numFmtId="0" fontId="10" fillId="2" borderId="27" xfId="0" applyFont="1" applyFill="1" applyBorder="1" applyAlignment="1">
      <alignment horizontal="center" vertical="center" wrapText="1"/>
    </xf>
    <xf numFmtId="0" fontId="10" fillId="6" borderId="23" xfId="0" applyFont="1" applyFill="1" applyBorder="1" applyAlignment="1">
      <alignment horizontal="center" vertical="center" wrapText="1"/>
    </xf>
    <xf numFmtId="0" fontId="10" fillId="6" borderId="25" xfId="0" applyFont="1" applyFill="1" applyBorder="1" applyAlignment="1">
      <alignment horizontal="center" vertical="center" wrapText="1"/>
    </xf>
    <xf numFmtId="0" fontId="10" fillId="4" borderId="13" xfId="0" applyFont="1" applyFill="1" applyBorder="1" applyAlignment="1">
      <alignment horizontal="center" vertical="center"/>
    </xf>
    <xf numFmtId="164" fontId="0" fillId="2" borderId="8" xfId="0" applyNumberFormat="1" applyFill="1" applyBorder="1" applyAlignment="1">
      <alignment horizontal="center"/>
    </xf>
    <xf numFmtId="0" fontId="0" fillId="5" borderId="15" xfId="0" applyFill="1" applyBorder="1" applyAlignment="1">
      <alignment horizontal="center"/>
    </xf>
    <xf numFmtId="0" fontId="0" fillId="5" borderId="16" xfId="0" applyFill="1" applyBorder="1" applyAlignment="1">
      <alignment horizontal="center"/>
    </xf>
    <xf numFmtId="3" fontId="0" fillId="6" borderId="9" xfId="0" applyNumberFormat="1" applyFill="1" applyBorder="1" applyAlignment="1">
      <alignment horizontal="center" vertical="center"/>
    </xf>
    <xf numFmtId="0" fontId="10" fillId="4" borderId="26" xfId="0" applyFont="1" applyFill="1" applyBorder="1" applyAlignment="1">
      <alignment horizontal="center" vertical="center"/>
    </xf>
    <xf numFmtId="164" fontId="0" fillId="2" borderId="8" xfId="0" applyNumberFormat="1" applyFill="1" applyBorder="1"/>
    <xf numFmtId="0" fontId="10" fillId="4" borderId="8" xfId="0" applyFont="1" applyFill="1" applyBorder="1" applyAlignment="1">
      <alignment horizontal="center" vertical="center"/>
    </xf>
    <xf numFmtId="166" fontId="0" fillId="2" borderId="8" xfId="0" applyNumberFormat="1" applyFill="1" applyBorder="1"/>
    <xf numFmtId="167" fontId="0" fillId="6" borderId="9" xfId="0" applyNumberFormat="1" applyFill="1" applyBorder="1" applyAlignment="1">
      <alignment horizontal="center" vertical="center"/>
    </xf>
    <xf numFmtId="0" fontId="10" fillId="4" borderId="8" xfId="0" applyFont="1" applyFill="1" applyBorder="1" applyAlignment="1">
      <alignment vertical="center"/>
    </xf>
    <xf numFmtId="0" fontId="0" fillId="4" borderId="18" xfId="0" applyFill="1" applyBorder="1"/>
    <xf numFmtId="0" fontId="0" fillId="4" borderId="11" xfId="0" applyFill="1" applyBorder="1"/>
    <xf numFmtId="0" fontId="0" fillId="4" borderId="19" xfId="0" applyFill="1" applyBorder="1"/>
    <xf numFmtId="0" fontId="0" fillId="4" borderId="23" xfId="0" applyFill="1" applyBorder="1"/>
    <xf numFmtId="0" fontId="0" fillId="4" borderId="24" xfId="0" applyFill="1" applyBorder="1"/>
    <xf numFmtId="0" fontId="0" fillId="4" borderId="25" xfId="0" applyFill="1" applyBorder="1"/>
    <xf numFmtId="0" fontId="11" fillId="0" borderId="0" xfId="0" applyFont="1" applyAlignment="1" applyProtection="1">
      <alignment horizontal="left" vertical="top"/>
      <protection locked="0"/>
    </xf>
    <xf numFmtId="0" fontId="12" fillId="0" borderId="7" xfId="0" applyFont="1" applyBorder="1" applyAlignment="1">
      <alignment horizontal="center"/>
    </xf>
    <xf numFmtId="0" fontId="12" fillId="0" borderId="8" xfId="0" applyFont="1" applyBorder="1" applyAlignment="1">
      <alignment horizontal="center"/>
    </xf>
    <xf numFmtId="0" fontId="12" fillId="0" borderId="9" xfId="0" applyFont="1" applyBorder="1" applyAlignment="1">
      <alignment horizontal="center"/>
    </xf>
    <xf numFmtId="0" fontId="13" fillId="5" borderId="7" xfId="0" applyFont="1" applyFill="1" applyBorder="1" applyAlignment="1">
      <alignment horizontal="center"/>
    </xf>
    <xf numFmtId="0" fontId="13" fillId="5" borderId="8" xfId="0" applyFont="1" applyFill="1" applyBorder="1" applyAlignment="1">
      <alignment horizontal="center"/>
    </xf>
    <xf numFmtId="0" fontId="7" fillId="5" borderId="8" xfId="0" applyFont="1" applyFill="1" applyBorder="1"/>
    <xf numFmtId="0" fontId="7" fillId="5" borderId="8" xfId="0" applyFont="1" applyFill="1" applyBorder="1" applyAlignment="1">
      <alignment horizontal="center"/>
    </xf>
    <xf numFmtId="0" fontId="7" fillId="5" borderId="15" xfId="0" applyFont="1" applyFill="1" applyBorder="1" applyAlignment="1">
      <alignment horizontal="center" wrapText="1"/>
    </xf>
    <xf numFmtId="0" fontId="7" fillId="5" borderId="17" xfId="0" applyFont="1" applyFill="1" applyBorder="1" applyAlignment="1">
      <alignment horizontal="center" wrapText="1"/>
    </xf>
    <xf numFmtId="0" fontId="13" fillId="7" borderId="7" xfId="0" applyFont="1" applyFill="1" applyBorder="1" applyAlignment="1">
      <alignment horizontal="center"/>
    </xf>
    <xf numFmtId="0" fontId="13" fillId="7" borderId="8" xfId="0" applyFont="1" applyFill="1" applyBorder="1" applyAlignment="1">
      <alignment horizontal="center"/>
    </xf>
    <xf numFmtId="1" fontId="7" fillId="7" borderId="8" xfId="0" applyNumberFormat="1" applyFont="1" applyFill="1" applyBorder="1"/>
    <xf numFmtId="0" fontId="7" fillId="7" borderId="8" xfId="0" applyFont="1" applyFill="1" applyBorder="1" applyAlignment="1">
      <alignment horizontal="center"/>
    </xf>
    <xf numFmtId="0" fontId="7" fillId="7" borderId="15" xfId="0" applyFont="1" applyFill="1" applyBorder="1" applyAlignment="1">
      <alignment horizontal="center" wrapText="1"/>
    </xf>
    <xf numFmtId="0" fontId="7" fillId="7" borderId="17" xfId="0" applyFont="1" applyFill="1" applyBorder="1" applyAlignment="1">
      <alignment horizontal="center" wrapText="1"/>
    </xf>
    <xf numFmtId="0" fontId="7" fillId="7" borderId="9" xfId="0" applyFont="1" applyFill="1" applyBorder="1" applyAlignment="1">
      <alignment horizontal="center"/>
    </xf>
    <xf numFmtId="0" fontId="13" fillId="8" borderId="7" xfId="0" applyFont="1" applyFill="1" applyBorder="1" applyAlignment="1">
      <alignment horizontal="center"/>
    </xf>
    <xf numFmtId="0" fontId="13" fillId="8" borderId="8" xfId="0" applyFont="1" applyFill="1" applyBorder="1" applyAlignment="1">
      <alignment horizontal="center"/>
    </xf>
    <xf numFmtId="0" fontId="7" fillId="8" borderId="8" xfId="0" applyFont="1" applyFill="1" applyBorder="1"/>
    <xf numFmtId="0" fontId="7" fillId="8" borderId="8" xfId="0" applyFont="1" applyFill="1" applyBorder="1" applyAlignment="1">
      <alignment horizontal="center"/>
    </xf>
    <xf numFmtId="0" fontId="7" fillId="8" borderId="15" xfId="0" applyFont="1" applyFill="1" applyBorder="1" applyAlignment="1">
      <alignment horizontal="center"/>
    </xf>
    <xf numFmtId="0" fontId="7" fillId="8" borderId="17" xfId="0" applyFont="1" applyFill="1" applyBorder="1" applyAlignment="1">
      <alignment horizontal="center"/>
    </xf>
    <xf numFmtId="0" fontId="0" fillId="0" borderId="28" xfId="0" applyBorder="1"/>
    <xf numFmtId="0" fontId="0" fillId="0" borderId="29" xfId="0" applyBorder="1"/>
    <xf numFmtId="0" fontId="0" fillId="0" borderId="3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313123881383619E-2"/>
          <c:y val="0.27333333333333326"/>
          <c:w val="0.92110768460105508"/>
          <c:h val="0.40407167583247317"/>
        </c:manualLayout>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[1]DPR!$C$9:$C$1602</c:f>
              <c:numCache>
                <c:formatCode>d\-mmm\-yy</c:formatCode>
                <c:ptCount val="418"/>
                <c:pt idx="0">
                  <c:v>46193</c:v>
                </c:pt>
                <c:pt idx="1">
                  <c:v>46194</c:v>
                </c:pt>
                <c:pt idx="2">
                  <c:v>46195</c:v>
                </c:pt>
                <c:pt idx="3">
                  <c:v>46196</c:v>
                </c:pt>
                <c:pt idx="4">
                  <c:v>46197</c:v>
                </c:pt>
                <c:pt idx="5">
                  <c:v>46198</c:v>
                </c:pt>
                <c:pt idx="6">
                  <c:v>46199</c:v>
                </c:pt>
                <c:pt idx="7">
                  <c:v>46200</c:v>
                </c:pt>
                <c:pt idx="8">
                  <c:v>46201</c:v>
                </c:pt>
                <c:pt idx="9">
                  <c:v>46202</c:v>
                </c:pt>
                <c:pt idx="10">
                  <c:v>46203</c:v>
                </c:pt>
                <c:pt idx="11">
                  <c:v>46204</c:v>
                </c:pt>
                <c:pt idx="12">
                  <c:v>46205</c:v>
                </c:pt>
                <c:pt idx="13">
                  <c:v>46206</c:v>
                </c:pt>
                <c:pt idx="14">
                  <c:v>46207</c:v>
                </c:pt>
                <c:pt idx="15">
                  <c:v>46208</c:v>
                </c:pt>
                <c:pt idx="16">
                  <c:v>46209</c:v>
                </c:pt>
                <c:pt idx="17">
                  <c:v>46210</c:v>
                </c:pt>
                <c:pt idx="18">
                  <c:v>46211</c:v>
                </c:pt>
                <c:pt idx="19">
                  <c:v>46212</c:v>
                </c:pt>
                <c:pt idx="20">
                  <c:v>46213</c:v>
                </c:pt>
                <c:pt idx="21">
                  <c:v>46214</c:v>
                </c:pt>
                <c:pt idx="22">
                  <c:v>46215</c:v>
                </c:pt>
                <c:pt idx="23">
                  <c:v>46216</c:v>
                </c:pt>
                <c:pt idx="24">
                  <c:v>46217</c:v>
                </c:pt>
                <c:pt idx="25">
                  <c:v>46218</c:v>
                </c:pt>
                <c:pt idx="26">
                  <c:v>46219</c:v>
                </c:pt>
                <c:pt idx="27">
                  <c:v>46220</c:v>
                </c:pt>
                <c:pt idx="28">
                  <c:v>46221</c:v>
                </c:pt>
                <c:pt idx="29">
                  <c:v>46222</c:v>
                </c:pt>
                <c:pt idx="30">
                  <c:v>46223</c:v>
                </c:pt>
                <c:pt idx="31">
                  <c:v>46224</c:v>
                </c:pt>
                <c:pt idx="32">
                  <c:v>46225</c:v>
                </c:pt>
                <c:pt idx="33">
                  <c:v>46226</c:v>
                </c:pt>
                <c:pt idx="34">
                  <c:v>46227</c:v>
                </c:pt>
                <c:pt idx="35">
                  <c:v>46228</c:v>
                </c:pt>
                <c:pt idx="36">
                  <c:v>46229</c:v>
                </c:pt>
                <c:pt idx="37">
                  <c:v>46230</c:v>
                </c:pt>
                <c:pt idx="38">
                  <c:v>46231</c:v>
                </c:pt>
                <c:pt idx="39">
                  <c:v>46232</c:v>
                </c:pt>
                <c:pt idx="40">
                  <c:v>46233</c:v>
                </c:pt>
                <c:pt idx="41">
                  <c:v>46234</c:v>
                </c:pt>
                <c:pt idx="42">
                  <c:v>46235</c:v>
                </c:pt>
                <c:pt idx="43">
                  <c:v>46236</c:v>
                </c:pt>
                <c:pt idx="44">
                  <c:v>46237</c:v>
                </c:pt>
                <c:pt idx="45">
                  <c:v>46238</c:v>
                </c:pt>
                <c:pt idx="46">
                  <c:v>46239</c:v>
                </c:pt>
                <c:pt idx="47">
                  <c:v>46240</c:v>
                </c:pt>
                <c:pt idx="48">
                  <c:v>46241</c:v>
                </c:pt>
                <c:pt idx="49">
                  <c:v>46242</c:v>
                </c:pt>
                <c:pt idx="50">
                  <c:v>46243</c:v>
                </c:pt>
                <c:pt idx="51">
                  <c:v>46244</c:v>
                </c:pt>
                <c:pt idx="52">
                  <c:v>46245</c:v>
                </c:pt>
              </c:numCache>
            </c:numRef>
          </c:cat>
          <c:val>
            <c:numRef>
              <c:f>[1]DPR!$R$9:$R$1602</c:f>
              <c:numCache>
                <c:formatCode>_(* #,##0_);_(* \(#,##0\);_(* "-"??_);_(@_)</c:formatCode>
                <c:ptCount val="418"/>
                <c:pt idx="0">
                  <c:v>149003.07200000001</c:v>
                </c:pt>
                <c:pt idx="1">
                  <c:v>150875.73875000002</c:v>
                </c:pt>
                <c:pt idx="2">
                  <c:v>152910.08325</c:v>
                </c:pt>
                <c:pt idx="3">
                  <c:v>151142.62300000002</c:v>
                </c:pt>
                <c:pt idx="4">
                  <c:v>153797.85450000002</c:v>
                </c:pt>
                <c:pt idx="5">
                  <c:v>154009.1525</c:v>
                </c:pt>
                <c:pt idx="6">
                  <c:v>152232.29750000002</c:v>
                </c:pt>
                <c:pt idx="7">
                  <c:v>154404.50449999995</c:v>
                </c:pt>
                <c:pt idx="8">
                  <c:v>155728.89400000003</c:v>
                </c:pt>
                <c:pt idx="9">
                  <c:v>156765.23875000002</c:v>
                </c:pt>
                <c:pt idx="10">
                  <c:v>155839.90724999999</c:v>
                </c:pt>
                <c:pt idx="11">
                  <c:v>151363.10100000002</c:v>
                </c:pt>
                <c:pt idx="12">
                  <c:v>150305.94750000001</c:v>
                </c:pt>
                <c:pt idx="13">
                  <c:v>151981.36425000001</c:v>
                </c:pt>
                <c:pt idx="14">
                  <c:v>146986.93974999999</c:v>
                </c:pt>
                <c:pt idx="15">
                  <c:v>143294.136</c:v>
                </c:pt>
                <c:pt idx="16">
                  <c:v>145771.83100000003</c:v>
                </c:pt>
                <c:pt idx="17">
                  <c:v>143872.50825000004</c:v>
                </c:pt>
                <c:pt idx="18">
                  <c:v>141470.71225000004</c:v>
                </c:pt>
                <c:pt idx="19">
                  <c:v>140653.35574999999</c:v>
                </c:pt>
                <c:pt idx="20">
                  <c:v>138529.27100000001</c:v>
                </c:pt>
                <c:pt idx="21">
                  <c:v>149733.12475000002</c:v>
                </c:pt>
                <c:pt idx="22">
                  <c:v>151344.24025</c:v>
                </c:pt>
                <c:pt idx="23">
                  <c:v>153922.93065000002</c:v>
                </c:pt>
                <c:pt idx="24">
                  <c:v>153759.79274999999</c:v>
                </c:pt>
                <c:pt idx="25">
                  <c:v>149134.61225000003</c:v>
                </c:pt>
                <c:pt idx="26">
                  <c:v>144764.78675</c:v>
                </c:pt>
                <c:pt idx="27">
                  <c:v>142592.87424999999</c:v>
                </c:pt>
                <c:pt idx="28">
                  <c:v>145194.19449999998</c:v>
                </c:pt>
                <c:pt idx="29">
                  <c:v>141557.80725000001</c:v>
                </c:pt>
                <c:pt idx="30">
                  <c:v>138043.00425</c:v>
                </c:pt>
                <c:pt idx="31">
                  <c:v>141538.7905</c:v>
                </c:pt>
                <c:pt idx="32">
                  <c:v>143025.52974999996</c:v>
                </c:pt>
                <c:pt idx="33">
                  <c:v>148109.07625000001</c:v>
                </c:pt>
                <c:pt idx="34">
                  <c:v>150854.685</c:v>
                </c:pt>
                <c:pt idx="35">
                  <c:v>148262.12150000001</c:v>
                </c:pt>
                <c:pt idx="36">
                  <c:v>148461.75450000001</c:v>
                </c:pt>
                <c:pt idx="37">
                  <c:v>147005.57</c:v>
                </c:pt>
                <c:pt idx="38">
                  <c:v>147871.73500000004</c:v>
                </c:pt>
                <c:pt idx="39">
                  <c:v>151330.27475000001</c:v>
                </c:pt>
                <c:pt idx="40">
                  <c:v>153798.97924999997</c:v>
                </c:pt>
                <c:pt idx="41">
                  <c:v>152083.21375000002</c:v>
                </c:pt>
                <c:pt idx="42">
                  <c:v>154790.44100000002</c:v>
                </c:pt>
                <c:pt idx="43">
                  <c:v>154155.08550000002</c:v>
                </c:pt>
                <c:pt idx="44">
                  <c:v>149078.25075000004</c:v>
                </c:pt>
                <c:pt idx="45">
                  <c:v>152416.94899999999</c:v>
                </c:pt>
                <c:pt idx="46">
                  <c:v>153489.92549999998</c:v>
                </c:pt>
                <c:pt idx="47">
                  <c:v>153802.50649999999</c:v>
                </c:pt>
                <c:pt idx="48">
                  <c:v>151381.429</c:v>
                </c:pt>
                <c:pt idx="49">
                  <c:v>151966.05725000001</c:v>
                </c:pt>
                <c:pt idx="50">
                  <c:v>154417.31125</c:v>
                </c:pt>
                <c:pt idx="51">
                  <c:v>154916.51824999999</c:v>
                </c:pt>
                <c:pt idx="52">
                  <c:v>153742.80725000001</c:v>
                </c:pt>
              </c:numCache>
            </c:numRef>
          </c:val>
          <c:smooth val="0"/>
          <c:extLst>
            <c:ext xmlns:c16="http://schemas.microsoft.com/office/drawing/2014/chart" uri="{C3380CC4-5D6E-409C-BE32-E72D297353CC}">
              <c16:uniqueId val="{00000000-241D-418A-889A-C5A02D46C8A2}"/>
            </c:ext>
          </c:extLst>
        </c:ser>
        <c:dLbls>
          <c:showLegendKey val="0"/>
          <c:showVal val="0"/>
          <c:showCatName val="0"/>
          <c:showSerName val="0"/>
          <c:showPercent val="0"/>
          <c:showBubbleSize val="0"/>
        </c:dLbls>
        <c:marker val="1"/>
        <c:smooth val="0"/>
        <c:axId val="2120485360"/>
        <c:axId val="2120462512"/>
      </c:lineChart>
      <c:dateAx>
        <c:axId val="2120485360"/>
        <c:scaling>
          <c:orientation val="minMax"/>
        </c:scaling>
        <c:delete val="0"/>
        <c:axPos val="b"/>
        <c:numFmt formatCode="d\-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120462512"/>
        <c:crosses val="autoZero"/>
        <c:auto val="1"/>
        <c:lblOffset val="100"/>
        <c:baseTimeUnit val="days"/>
      </c:dateAx>
      <c:valAx>
        <c:axId val="212046251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48536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FFFF">
        <a:alpha val="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GBox"/>
</file>

<file path=xl/ctrlProps/ctrlProp2.xml><?xml version="1.0" encoding="utf-8"?>
<formControlPr xmlns="http://schemas.microsoft.com/office/spreadsheetml/2009/9/main" objectType="Radio" checked="Checked" firstButton="1"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Label"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GBox" noThreeD="1"/>
</file>

<file path=xl/ctrlProps/ctrlProp8.xml><?xml version="1.0" encoding="utf-8"?>
<formControlPr xmlns="http://schemas.microsoft.com/office/spreadsheetml/2009/9/main" objectType="Radio" firstButton="1" lockText="1" noThreeD="1"/>
</file>

<file path=xl/ctrlProps/ctrlProp9.xml><?xml version="1.0" encoding="utf-8"?>
<formControlPr xmlns="http://schemas.microsoft.com/office/spreadsheetml/2009/9/main" objectType="Radio" checked="Checked" lockText="1" noThreeD="1"/>
</file>

<file path=xl/ctrlProps/ctrlProp10.xml><?xml version="1.0" encoding="utf-8"?>
<formControlPr xmlns="http://schemas.microsoft.com/office/spreadsheetml/2009/9/main" objectType="Radio"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51329</xdr:colOff>
      <xdr:row>28</xdr:row>
      <xdr:rowOff>57918</xdr:rowOff>
    </xdr:from>
    <xdr:to>
      <xdr:col>15</xdr:col>
      <xdr:colOff>2057151</xdr:colOff>
      <xdr:row>40</xdr:row>
      <xdr:rowOff>27703</xdr:rowOff>
    </xdr:to>
    <xdr:graphicFrame macro="">
      <xdr:nvGraphicFramePr>
        <xdr:cNvPr id="4" name="Chart 3">
          <a:extLst>
            <a:ext uri="{FF2B5EF4-FFF2-40B4-BE49-F238E27FC236}">
              <a16:creationId xmlns:a16="http://schemas.microsoft.com/office/drawing/2014/main" id="{91A42546-63A8-45EF-BCE2-E7AE5C5DB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editAs="oneCell">
    <xdr:from>
      <xdr:col>15</xdr:col>
      <xdr:colOff>1581149</xdr:colOff>
      <xdr:row>3</xdr:row>
      <xdr:rowOff>6110</xdr:rowOff>
    </xdr:from>
    <xdr:to>
      <xdr:col>15</xdr:col>
      <xdr:colOff>2095500</xdr:colOff>
      <xdr:row>4</xdr:row>
      <xdr:rowOff>123825</xdr:rowOff>
    </xdr:to>
    <xdr:pic>
      <xdr:nvPicPr>
        <xdr:cNvPr id="5" name="Picture 4">
          <a:extLst>
            <a:ext uri="{FF2B5EF4-FFF2-40B4-BE49-F238E27FC236}">
              <a16:creationId xmlns:a16="http://schemas.microsoft.com/office/drawing/2014/main" id="{D2D89F39-E233-47FB-8E78-75E7846A8D3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7500" t="33893" r="42851" b="35098"/>
        <a:stretch>
          <a:fillRect/>
        </a:stretch>
      </xdr:blipFill>
      <xdr:spPr bwMode="auto">
        <a:xfrm>
          <a:off x="9915524" y="129935"/>
          <a:ext cx="514351" cy="498715"/>
        </a:xfrm>
        <a:prstGeom prst="rect">
          <a:avLst/>
        </a:prstGeom>
        <a:noFill/>
        <a:ln>
          <a:noFill/>
        </a:ln>
        <a:effectLst/>
      </xdr:spPr>
    </xdr:pic>
    <xdr:clientData/>
  </xdr:twoCellAnchor>
  <mc:AlternateContent xmlns:mc="http://schemas.openxmlformats.org/markup-compatibility/2006">
    <mc:Choice xmlns:a14="http://schemas.microsoft.com/office/drawing/2010/main" Requires="a14">
      <xdr:twoCellAnchor editAs="oneCell">
        <xdr:from>
          <xdr:col>11</xdr:col>
          <xdr:colOff>342900</xdr:colOff>
          <xdr:row>3</xdr:row>
          <xdr:rowOff>66675</xdr:rowOff>
        </xdr:from>
        <xdr:to>
          <xdr:col>13</xdr:col>
          <xdr:colOff>561975</xdr:colOff>
          <xdr:row>4</xdr:row>
          <xdr:rowOff>66675</xdr:rowOff>
        </xdr:to>
        <xdr:sp macro="" textlink="">
          <xdr:nvSpPr>
            <xdr:cNvPr id="3086" name="Group Box 14" descr="Targets used" hidden="1">
              <a:extLst>
                <a:ext uri="{63B3BB69-23CF-44E3-9099-C40C66FF867C}">
                  <a14:compatExt spid="_x0000_s3086"/>
                </a:ext>
                <a:ext uri="{FF2B5EF4-FFF2-40B4-BE49-F238E27FC236}">
                  <a16:creationId xmlns:a16="http://schemas.microsoft.com/office/drawing/2014/main" id="{A9DFA200-8009-4971-95E9-8F3D012A6659}"/>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US" sz="800" b="0" i="0" u="none" strike="noStrike" baseline="0">
                  <a:solidFill>
                    <a:srgbClr val="000000"/>
                  </a:solidFill>
                  <a:latin typeface="Segoe UI"/>
                  <a:cs typeface="Segoe UI"/>
                </a:rPr>
                <a:t>Targets used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371475</xdr:colOff>
          <xdr:row>3</xdr:row>
          <xdr:rowOff>161925</xdr:rowOff>
        </xdr:from>
        <xdr:to>
          <xdr:col>12</xdr:col>
          <xdr:colOff>228600</xdr:colOff>
          <xdr:row>4</xdr:row>
          <xdr:rowOff>9525</xdr:rowOff>
        </xdr:to>
        <xdr:sp macro="" textlink="">
          <xdr:nvSpPr>
            <xdr:cNvPr id="3087" name="Option Button 15" hidden="1">
              <a:extLst>
                <a:ext uri="{63B3BB69-23CF-44E3-9099-C40C66FF867C}">
                  <a14:compatExt spid="_x0000_s3087"/>
                </a:ext>
                <a:ext uri="{FF2B5EF4-FFF2-40B4-BE49-F238E27FC236}">
                  <a16:creationId xmlns:a16="http://schemas.microsoft.com/office/drawing/2014/main" id="{77402BC4-C613-4ED4-BE24-C4D0161002A9}"/>
                </a:ext>
              </a:extLst>
            </xdr:cNvPr>
            <xdr:cNvSpPr/>
          </xdr:nvSpPr>
          <xdr:spPr bwMode="auto">
            <a:xfrm>
              <a:off x="0" y="0"/>
              <a:ext cx="0" cy="0"/>
            </a:xfrm>
            <a:prstGeom prst="rect">
              <a:avLst/>
            </a:prstGeom>
            <a:solidFill>
              <a:srgbClr val="DEE6F0"/>
            </a:solidFill>
            <a:ln>
              <a:noFill/>
            </a:ln>
            <a:extLs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371475</xdr:colOff>
          <xdr:row>3</xdr:row>
          <xdr:rowOff>161925</xdr:rowOff>
        </xdr:from>
        <xdr:to>
          <xdr:col>13</xdr:col>
          <xdr:colOff>285750</xdr:colOff>
          <xdr:row>4</xdr:row>
          <xdr:rowOff>9525</xdr:rowOff>
        </xdr:to>
        <xdr:sp macro="" textlink="">
          <xdr:nvSpPr>
            <xdr:cNvPr id="3088" name="Option Button 16" hidden="1">
              <a:extLst>
                <a:ext uri="{63B3BB69-23CF-44E3-9099-C40C66FF867C}">
                  <a14:compatExt spid="_x0000_s3088"/>
                </a:ext>
                <a:ext uri="{FF2B5EF4-FFF2-40B4-BE49-F238E27FC236}">
                  <a16:creationId xmlns:a16="http://schemas.microsoft.com/office/drawing/2014/main" id="{041F5632-FB3E-4AAD-9806-77A0E157EC4E}"/>
                </a:ext>
              </a:extLst>
            </xdr:cNvPr>
            <xdr:cNvSpPr/>
          </xdr:nvSpPr>
          <xdr:spPr bwMode="auto">
            <a:xfrm>
              <a:off x="0" y="0"/>
              <a:ext cx="0" cy="0"/>
            </a:xfrm>
            <a:prstGeom prst="rect">
              <a:avLst/>
            </a:prstGeom>
            <a:solidFill>
              <a:srgbClr val="DEE6F0"/>
            </a:solidFill>
            <a:ln>
              <a:noFill/>
            </a:ln>
            <a:extLs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RE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85725</xdr:colOff>
          <xdr:row>3</xdr:row>
          <xdr:rowOff>161925</xdr:rowOff>
        </xdr:from>
        <xdr:to>
          <xdr:col>13</xdr:col>
          <xdr:colOff>533400</xdr:colOff>
          <xdr:row>3</xdr:row>
          <xdr:rowOff>371475</xdr:rowOff>
        </xdr:to>
        <xdr:sp macro="" textlink="">
          <xdr:nvSpPr>
            <xdr:cNvPr id="3089" name="Option Button 17" hidden="1">
              <a:extLst>
                <a:ext uri="{63B3BB69-23CF-44E3-9099-C40C66FF867C}">
                  <a14:compatExt spid="_x0000_s3089"/>
                </a:ext>
                <a:ext uri="{FF2B5EF4-FFF2-40B4-BE49-F238E27FC236}">
                  <a16:creationId xmlns:a16="http://schemas.microsoft.com/office/drawing/2014/main" id="{D9DFF608-A100-4F2B-94C6-573B93D0824D}"/>
                </a:ext>
              </a:extLst>
            </xdr:cNvPr>
            <xdr:cNvSpPr/>
          </xdr:nvSpPr>
          <xdr:spPr bwMode="auto">
            <a:xfrm>
              <a:off x="0" y="0"/>
              <a:ext cx="0" cy="0"/>
            </a:xfrm>
            <a:prstGeom prst="rect">
              <a:avLst/>
            </a:prstGeom>
            <a:solidFill>
              <a:srgbClr val="DEE6F0"/>
            </a:solidFill>
            <a:ln>
              <a:noFill/>
            </a:ln>
            <a:extLs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 MoU</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152400</xdr:colOff>
          <xdr:row>28</xdr:row>
          <xdr:rowOff>47625</xdr:rowOff>
        </xdr:from>
        <xdr:to>
          <xdr:col>10</xdr:col>
          <xdr:colOff>104775</xdr:colOff>
          <xdr:row>29</xdr:row>
          <xdr:rowOff>180975</xdr:rowOff>
        </xdr:to>
        <xdr:sp macro="" textlink="">
          <xdr:nvSpPr>
            <xdr:cNvPr id="3090" name="Label 18" hidden="1">
              <a:extLst>
                <a:ext uri="{63B3BB69-23CF-44E3-9099-C40C66FF867C}">
                  <a14:compatExt spid="_x0000_s3090"/>
                </a:ext>
                <a:ext uri="{FF2B5EF4-FFF2-40B4-BE49-F238E27FC236}">
                  <a16:creationId xmlns:a16="http://schemas.microsoft.com/office/drawing/2014/main" id="{8C7DADD9-CADB-48B7-8A44-7697D0B09872}"/>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27432" tIns="18288" rIns="0" bIns="0" anchor="t" upright="1"/>
            <a:lstStyle/>
            <a:p>
              <a:pPr algn="l" rtl="0">
                <a:defRPr sz="1000"/>
              </a:pPr>
              <a:r>
                <a:rPr lang="en-US" sz="800" b="0" i="0" u="none" strike="noStrike" baseline="0">
                  <a:solidFill>
                    <a:srgbClr val="000000"/>
                  </a:solidFill>
                  <a:latin typeface="Segoe UI"/>
                  <a:cs typeface="Segoe UI"/>
                </a:rPr>
                <a:t>^-Pls select the above cells for assetwise trends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15</xdr:col>
          <xdr:colOff>409575</xdr:colOff>
          <xdr:row>9</xdr:row>
          <xdr:rowOff>9525</xdr:rowOff>
        </xdr:from>
        <xdr:to>
          <xdr:col>15</xdr:col>
          <xdr:colOff>1838325</xdr:colOff>
          <xdr:row>9</xdr:row>
          <xdr:rowOff>180975</xdr:rowOff>
        </xdr:to>
        <xdr:sp macro="" textlink="">
          <xdr:nvSpPr>
            <xdr:cNvPr id="3091" name="Button 19" hidden="1">
              <a:extLst>
                <a:ext uri="{63B3BB69-23CF-44E3-9099-C40C66FF867C}">
                  <a14:compatExt spid="_x0000_s3091"/>
                </a:ext>
                <a:ext uri="{FF2B5EF4-FFF2-40B4-BE49-F238E27FC236}">
                  <a16:creationId xmlns:a16="http://schemas.microsoft.com/office/drawing/2014/main" id="{41E15C3A-C084-4A77-AF49-7426B303CFF2}"/>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Gap Analysis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104775</xdr:colOff>
          <xdr:row>28</xdr:row>
          <xdr:rowOff>66675</xdr:rowOff>
        </xdr:from>
        <xdr:to>
          <xdr:col>15</xdr:col>
          <xdr:colOff>2466975</xdr:colOff>
          <xdr:row>31</xdr:row>
          <xdr:rowOff>0</xdr:rowOff>
        </xdr:to>
        <xdr:sp macro="" textlink="">
          <xdr:nvSpPr>
            <xdr:cNvPr id="3092" name="Group Box 20" hidden="1">
              <a:extLst>
                <a:ext uri="{63B3BB69-23CF-44E3-9099-C40C66FF867C}">
                  <a14:compatExt spid="_x0000_s3092"/>
                </a:ext>
                <a:ext uri="{FF2B5EF4-FFF2-40B4-BE49-F238E27FC236}">
                  <a16:creationId xmlns:a16="http://schemas.microsoft.com/office/drawing/2014/main" id="{34718F1A-0AF0-4FAC-9F5B-96AADCB4F2D5}"/>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US" sz="800" b="0" i="0" u="none" strike="noStrike" baseline="0">
                  <a:solidFill>
                    <a:srgbClr val="000000"/>
                  </a:solidFill>
                  <a:latin typeface="Segoe UI"/>
                  <a:cs typeface="Segoe UI"/>
                </a:rPr>
                <a:t>Chart Period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723900</xdr:colOff>
          <xdr:row>28</xdr:row>
          <xdr:rowOff>114300</xdr:rowOff>
        </xdr:from>
        <xdr:to>
          <xdr:col>15</xdr:col>
          <xdr:colOff>28575</xdr:colOff>
          <xdr:row>30</xdr:row>
          <xdr:rowOff>104775</xdr:rowOff>
        </xdr:to>
        <xdr:sp macro="" textlink="">
          <xdr:nvSpPr>
            <xdr:cNvPr id="3093" name="Option Button 21" hidden="1">
              <a:extLst>
                <a:ext uri="{63B3BB69-23CF-44E3-9099-C40C66FF867C}">
                  <a14:compatExt spid="_x0000_s3093"/>
                </a:ext>
                <a:ext uri="{FF2B5EF4-FFF2-40B4-BE49-F238E27FC236}">
                  <a16:creationId xmlns:a16="http://schemas.microsoft.com/office/drawing/2014/main" id="{FC1853B6-57AA-402E-8E99-93EB0450A8D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Current Month</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180975</xdr:colOff>
          <xdr:row>28</xdr:row>
          <xdr:rowOff>161925</xdr:rowOff>
        </xdr:from>
        <xdr:to>
          <xdr:col>13</xdr:col>
          <xdr:colOff>0</xdr:colOff>
          <xdr:row>30</xdr:row>
          <xdr:rowOff>38100</xdr:rowOff>
        </xdr:to>
        <xdr:sp macro="" textlink="">
          <xdr:nvSpPr>
            <xdr:cNvPr id="3094" name="Option Button 22" hidden="1">
              <a:extLst>
                <a:ext uri="{63B3BB69-23CF-44E3-9099-C40C66FF867C}">
                  <a14:compatExt spid="_x0000_s3094"/>
                </a:ext>
                <a:ext uri="{FF2B5EF4-FFF2-40B4-BE49-F238E27FC236}">
                  <a16:creationId xmlns:a16="http://schemas.microsoft.com/office/drawing/2014/main" id="{7EDEB8F9-47C8-4642-91F5-68D63A598FFF}"/>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Last 30 days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266700</xdr:colOff>
          <xdr:row>29</xdr:row>
          <xdr:rowOff>85725</xdr:rowOff>
        </xdr:from>
        <xdr:to>
          <xdr:col>15</xdr:col>
          <xdr:colOff>590550</xdr:colOff>
          <xdr:row>30</xdr:row>
          <xdr:rowOff>142875</xdr:rowOff>
        </xdr:to>
        <xdr:sp macro="" textlink="">
          <xdr:nvSpPr>
            <xdr:cNvPr id="3095" name="Option Button 23" hidden="1">
              <a:extLst>
                <a:ext uri="{63B3BB69-23CF-44E3-9099-C40C66FF867C}">
                  <a14:compatExt spid="_x0000_s3095"/>
                </a:ext>
                <a:ext uri="{FF2B5EF4-FFF2-40B4-BE49-F238E27FC236}">
                  <a16:creationId xmlns:a16="http://schemas.microsoft.com/office/drawing/2014/main" id="{85DF8B80-03F8-4F3E-88FF-69AF82C4EEBC}"/>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Current FY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266700</xdr:colOff>
          <xdr:row>28</xdr:row>
          <xdr:rowOff>85725</xdr:rowOff>
        </xdr:from>
        <xdr:to>
          <xdr:col>15</xdr:col>
          <xdr:colOff>400050</xdr:colOff>
          <xdr:row>29</xdr:row>
          <xdr:rowOff>123825</xdr:rowOff>
        </xdr:to>
        <xdr:sp macro="" textlink="">
          <xdr:nvSpPr>
            <xdr:cNvPr id="3096" name="Option Button 24" hidden="1">
              <a:extLst>
                <a:ext uri="{63B3BB69-23CF-44E3-9099-C40C66FF867C}">
                  <a14:compatExt spid="_x0000_s3096"/>
                </a:ext>
                <a:ext uri="{FF2B5EF4-FFF2-40B4-BE49-F238E27FC236}">
                  <a16:creationId xmlns:a16="http://schemas.microsoft.com/office/drawing/2014/main" id="{910E64C4-6651-4C68-8274-75EA75D7A83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Current CY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409575</xdr:colOff>
          <xdr:row>29</xdr:row>
          <xdr:rowOff>47625</xdr:rowOff>
        </xdr:from>
        <xdr:to>
          <xdr:col>15</xdr:col>
          <xdr:colOff>1400175</xdr:colOff>
          <xdr:row>30</xdr:row>
          <xdr:rowOff>142875</xdr:rowOff>
        </xdr:to>
        <xdr:sp macro="" textlink="">
          <xdr:nvSpPr>
            <xdr:cNvPr id="3097" name="Option Button 25" hidden="1">
              <a:extLst>
                <a:ext uri="{63B3BB69-23CF-44E3-9099-C40C66FF867C}">
                  <a14:compatExt spid="_x0000_s3097"/>
                </a:ext>
                <a:ext uri="{FF2B5EF4-FFF2-40B4-BE49-F238E27FC236}">
                  <a16:creationId xmlns:a16="http://schemas.microsoft.com/office/drawing/2014/main" id="{6BA2BBF0-CADA-4CA3-AD2F-AF1D2526FF8F}"/>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Last 365 days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409575</xdr:colOff>
          <xdr:row>28</xdr:row>
          <xdr:rowOff>104775</xdr:rowOff>
        </xdr:from>
        <xdr:to>
          <xdr:col>15</xdr:col>
          <xdr:colOff>1257300</xdr:colOff>
          <xdr:row>29</xdr:row>
          <xdr:rowOff>123825</xdr:rowOff>
        </xdr:to>
        <xdr:sp macro="" textlink="">
          <xdr:nvSpPr>
            <xdr:cNvPr id="3098" name="Option Button 26" hidden="1">
              <a:extLst>
                <a:ext uri="{63B3BB69-23CF-44E3-9099-C40C66FF867C}">
                  <a14:compatExt spid="_x0000_s3098"/>
                </a:ext>
                <a:ext uri="{FF2B5EF4-FFF2-40B4-BE49-F238E27FC236}">
                  <a16:creationId xmlns:a16="http://schemas.microsoft.com/office/drawing/2014/main" id="{0736D2C2-38B1-4FA5-8B80-DA86DDFA457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Since 01-Apr-22</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X:\3.%20Running%20databases\Production_Dashboard%20FY27.xlsm" TargetMode="External"/><Relationship Id="rId1" Type="http://schemas.openxmlformats.org/officeDocument/2006/relationships/externalLinkPath" Target="file:///X:\3.%20Running%20databases\Production_Dashboard%20FY27.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rryforward_cf"/>
      <sheetName val="from CP sheet"/>
      <sheetName val="Approval_format"/>
      <sheetName val="ACG"/>
      <sheetName val="BC10"/>
      <sheetName val="MECL"/>
      <sheetName val="A1A3"/>
      <sheetName val="Sakhalin"/>
      <sheetName val="IEC"/>
      <sheetName val="Vankor"/>
      <sheetName val="Vietnam"/>
      <sheetName val="Carabobo"/>
      <sheetName val="Sancristobal"/>
      <sheetName val="LZC"/>
      <sheetName val="GPOC"/>
      <sheetName val="SPOC"/>
      <sheetName val="CPO5"/>
      <sheetName val="CF_lat"/>
      <sheetName val="DPRavg"/>
      <sheetName val="non-reconprod"/>
      <sheetName val="interFY_transition"/>
      <sheetName val="Processed_Reconciled Prod"/>
      <sheetName val="Previous year"/>
      <sheetName val="Storage_Targets"/>
      <sheetName val="YTDtarget"/>
      <sheetName val="YTD display"/>
      <sheetName val="BEREMOU"/>
      <sheetName val="Targets-chosen"/>
      <sheetName val="Target_monthwise"/>
      <sheetName val="DTR"/>
      <sheetName val="Tables"/>
      <sheetName val="Charts-OVL"/>
      <sheetName val="Charts-MENA CIS"/>
      <sheetName val="Charts-LAC"/>
      <sheetName val="Charts-AP"/>
      <sheetName val="Charts-Russia"/>
      <sheetName val="prod_compiled"/>
      <sheetName val="Asking Rate"/>
      <sheetName val="2FY"/>
      <sheetName val="mtd&amp;ytd"/>
      <sheetName val="Dashboard"/>
      <sheetName val="DPR"/>
      <sheetName val="OperProdn Loss"/>
      <sheetName val="Internal"/>
      <sheetName val="LBL"/>
      <sheetName val="all_remarks"/>
      <sheetName val="Graphs_full"/>
      <sheetName val="YTD_ach"/>
      <sheetName val="Prodn Data 24-25"/>
      <sheetName val="report_prodcompiled"/>
      <sheetName val="Gap_analysis"/>
      <sheetName val="Quarterly Analysis"/>
      <sheetName val="Yearly Analysis"/>
      <sheetName val="Monthly analysis"/>
      <sheetName val="YoY"/>
      <sheetName val="Previous Comp"/>
      <sheetName val="Mat_Balance"/>
      <sheetName val="Standardised rates"/>
      <sheetName val="reference_points"/>
      <sheetName val="Comparison_between_ref_points"/>
      <sheetName val="Storage_Reconciled_prod"/>
      <sheetName val="Storage_rounded_off_prod"/>
      <sheetName val="Storage_Reconciled_prod_chosen"/>
      <sheetName val="Dropdowns"/>
    </sheetNames>
    <definedNames>
      <definedName name="Button24_Click"/>
      <definedName name="chart_CurrentCY_click"/>
      <definedName name="chart_CurrentFY_click"/>
      <definedName name="chart_currentmonth_Click"/>
      <definedName name="chart_fullRange_Click"/>
      <definedName name="chart_last30_Click"/>
      <definedName name="chart_Last365_click"/>
      <definedName name="OptionButton15_Click"/>
      <definedName name="OptionButton16_Click"/>
      <definedName name="OptionButton19_Click"/>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9">
          <cell r="C9">
            <v>45017</v>
          </cell>
          <cell r="D9">
            <v>377672</v>
          </cell>
          <cell r="E9">
            <v>35962</v>
          </cell>
          <cell r="F9">
            <v>18455.95</v>
          </cell>
          <cell r="G9">
            <v>2827</v>
          </cell>
          <cell r="H9">
            <v>2948</v>
          </cell>
          <cell r="I9">
            <v>196000</v>
          </cell>
          <cell r="J9">
            <v>188604</v>
          </cell>
          <cell r="K9">
            <v>47332.902700000006</v>
          </cell>
          <cell r="L9">
            <v>7831</v>
          </cell>
          <cell r="M9">
            <v>371658</v>
          </cell>
          <cell r="N9">
            <v>9141</v>
          </cell>
          <cell r="O9">
            <v>4590</v>
          </cell>
          <cell r="P9">
            <v>300.14925599999998</v>
          </cell>
          <cell r="Q9">
            <v>0</v>
          </cell>
          <cell r="R9">
            <v>155517.01979020002</v>
          </cell>
          <cell r="S9">
            <v>7.6075968364448814</v>
          </cell>
          <cell r="T9">
            <v>0.31432100000000002</v>
          </cell>
          <cell r="U9">
            <v>4.7333829821575709E-3</v>
          </cell>
          <cell r="V9">
            <v>1.2E-2</v>
          </cell>
          <cell r="W9">
            <v>0.31879000000000002</v>
          </cell>
          <cell r="X9">
            <v>9.6999999999999993</v>
          </cell>
          <cell r="Y9">
            <v>13.105333</v>
          </cell>
          <cell r="AB9">
            <v>0</v>
          </cell>
          <cell r="AC9">
            <v>0.14979597731256389</v>
          </cell>
          <cell r="AD9">
            <v>6.357126069313912E-2</v>
          </cell>
          <cell r="AE9">
            <v>3.5420004999999999</v>
          </cell>
          <cell r="AF9">
            <v>16.629024174069155</v>
          </cell>
          <cell r="AG9">
            <v>10.398832501382781</v>
          </cell>
          <cell r="AH9">
            <v>202304</v>
          </cell>
          <cell r="AI9" t="str">
            <v>S-1 figures are provisional,based on monthly &amp; weekly reports with assumptions.</v>
          </cell>
        </row>
        <row r="10">
          <cell r="C10">
            <v>45018</v>
          </cell>
          <cell r="D10">
            <v>380303</v>
          </cell>
          <cell r="E10">
            <v>36572</v>
          </cell>
          <cell r="F10">
            <v>18448.240000000002</v>
          </cell>
          <cell r="G10">
            <v>2942</v>
          </cell>
          <cell r="H10">
            <v>2962</v>
          </cell>
          <cell r="I10">
            <v>196000</v>
          </cell>
          <cell r="J10">
            <v>187882.32</v>
          </cell>
          <cell r="K10">
            <v>44232.626120000001</v>
          </cell>
          <cell r="L10">
            <v>7772</v>
          </cell>
          <cell r="M10">
            <v>379372</v>
          </cell>
          <cell r="N10">
            <v>8626</v>
          </cell>
          <cell r="O10">
            <v>727</v>
          </cell>
          <cell r="P10">
            <v>276.05932200000001</v>
          </cell>
          <cell r="Q10">
            <v>0</v>
          </cell>
          <cell r="R10">
            <v>153527.52872489995</v>
          </cell>
          <cell r="S10">
            <v>7.5166998445406561</v>
          </cell>
          <cell r="T10">
            <v>0.32505000000000001</v>
          </cell>
          <cell r="U10">
            <v>4.4753601191571775E-3</v>
          </cell>
          <cell r="V10">
            <v>1.2E-2</v>
          </cell>
          <cell r="W10">
            <v>0.31895999999999997</v>
          </cell>
          <cell r="X10">
            <v>9.6999999999999993</v>
          </cell>
          <cell r="Y10">
            <v>13.052263999999999</v>
          </cell>
          <cell r="AB10">
            <v>0</v>
          </cell>
          <cell r="AC10">
            <v>0.14781379991901389</v>
          </cell>
          <cell r="AD10">
            <v>5.7313243493502704E-2</v>
          </cell>
          <cell r="AE10">
            <v>3.5339005000000001</v>
          </cell>
          <cell r="AF10">
            <v>16.627749917173301</v>
          </cell>
          <cell r="AG10">
            <v>10.379238184800254</v>
          </cell>
          <cell r="AH10">
            <v>202304</v>
          </cell>
          <cell r="AI10" t="str">
            <v>S-1 figures are provisional,based on monthly &amp; weekly reports with assumptions.</v>
          </cell>
        </row>
        <row r="11">
          <cell r="C11">
            <v>45019</v>
          </cell>
          <cell r="D11">
            <v>375316</v>
          </cell>
          <cell r="E11">
            <v>34000</v>
          </cell>
          <cell r="F11">
            <v>18390.64</v>
          </cell>
          <cell r="G11">
            <v>2984</v>
          </cell>
          <cell r="H11">
            <v>2942</v>
          </cell>
          <cell r="I11">
            <v>178000</v>
          </cell>
          <cell r="J11">
            <v>186372</v>
          </cell>
          <cell r="K11">
            <v>41106.931900000003</v>
          </cell>
          <cell r="L11">
            <v>7764</v>
          </cell>
          <cell r="M11">
            <v>355756</v>
          </cell>
          <cell r="N11">
            <v>8710</v>
          </cell>
          <cell r="O11">
            <v>5831</v>
          </cell>
          <cell r="P11">
            <v>318.82996199999997</v>
          </cell>
          <cell r="Q11">
            <v>0</v>
          </cell>
          <cell r="R11">
            <v>149027.9790579</v>
          </cell>
          <cell r="S11">
            <v>7.6158087142181596</v>
          </cell>
          <cell r="T11">
            <v>0.33502599999999999</v>
          </cell>
          <cell r="U11">
            <v>5.0623111622072389E-3</v>
          </cell>
          <cell r="V11">
            <v>1.2E-2</v>
          </cell>
          <cell r="W11">
            <v>0.31812999999999997</v>
          </cell>
          <cell r="X11">
            <v>9.6999999999999993</v>
          </cell>
          <cell r="Y11">
            <v>13.132928</v>
          </cell>
          <cell r="AB11">
            <v>0</v>
          </cell>
          <cell r="AC11">
            <v>0.15291082750242818</v>
          </cell>
          <cell r="AD11">
            <v>5.2669285028614149E-2</v>
          </cell>
          <cell r="AE11">
            <v>3.5447004999999998</v>
          </cell>
          <cell r="AF11">
            <v>16.597677454431157</v>
          </cell>
          <cell r="AG11">
            <v>10.403225396401995</v>
          </cell>
          <cell r="AH11">
            <v>202304</v>
          </cell>
          <cell r="AI11" t="str">
            <v>S-1 figures are provisional,based on monthly &amp; weekly reports with assumptions.</v>
          </cell>
        </row>
        <row r="12">
          <cell r="C12">
            <v>45020</v>
          </cell>
          <cell r="D12">
            <v>374946</v>
          </cell>
          <cell r="E12">
            <v>36547</v>
          </cell>
          <cell r="F12">
            <v>18333.990000000002</v>
          </cell>
          <cell r="G12">
            <v>2973</v>
          </cell>
          <cell r="H12">
            <v>2941</v>
          </cell>
          <cell r="I12">
            <v>178000</v>
          </cell>
          <cell r="J12">
            <v>186156.24000000002</v>
          </cell>
          <cell r="K12">
            <v>41865.338510000001</v>
          </cell>
          <cell r="L12">
            <v>7736</v>
          </cell>
          <cell r="M12">
            <v>332792</v>
          </cell>
          <cell r="N12">
            <v>9326</v>
          </cell>
          <cell r="O12">
            <v>892</v>
          </cell>
          <cell r="P12">
            <v>301.40721600000001</v>
          </cell>
          <cell r="Q12">
            <v>0</v>
          </cell>
          <cell r="R12">
            <v>146953.47587469997</v>
          </cell>
          <cell r="S12">
            <v>7.9006759224911995</v>
          </cell>
          <cell r="T12">
            <v>0.33171099999999998</v>
          </cell>
          <cell r="U12">
            <v>5.1397010310154125E-3</v>
          </cell>
          <cell r="V12">
            <v>1.2E-2</v>
          </cell>
          <cell r="W12">
            <v>0.32147000000000003</v>
          </cell>
          <cell r="X12">
            <v>9.6999999999999993</v>
          </cell>
          <cell r="Y12">
            <v>13.122821</v>
          </cell>
          <cell r="AB12">
            <v>0</v>
          </cell>
          <cell r="AC12">
            <v>0.15630884589137101</v>
          </cell>
          <cell r="AD12">
            <v>5.2244532729996289E-2</v>
          </cell>
          <cell r="AE12">
            <v>3.5294004999999999</v>
          </cell>
          <cell r="AF12">
            <v>16.64267288126474</v>
          </cell>
          <cell r="AG12">
            <v>10.410645235486314</v>
          </cell>
          <cell r="AH12">
            <v>202304</v>
          </cell>
          <cell r="AI12" t="str">
            <v>S-1 figures are provisional,based on monthly &amp; weekly reports with assumptions.</v>
          </cell>
        </row>
        <row r="13">
          <cell r="C13">
            <v>45021</v>
          </cell>
          <cell r="D13">
            <v>388822</v>
          </cell>
          <cell r="E13">
            <v>37723</v>
          </cell>
          <cell r="F13">
            <v>18327.150000000001</v>
          </cell>
          <cell r="G13">
            <v>2975</v>
          </cell>
          <cell r="H13">
            <v>2946</v>
          </cell>
          <cell r="I13">
            <v>178000</v>
          </cell>
          <cell r="J13">
            <v>186148.80000000002</v>
          </cell>
          <cell r="K13">
            <v>41006.616710000002</v>
          </cell>
          <cell r="L13">
            <v>7727</v>
          </cell>
          <cell r="M13">
            <v>357782</v>
          </cell>
          <cell r="N13">
            <v>9008</v>
          </cell>
          <cell r="O13">
            <v>6383</v>
          </cell>
          <cell r="P13">
            <v>286.31169599999998</v>
          </cell>
          <cell r="Q13">
            <v>0</v>
          </cell>
          <cell r="R13">
            <v>150528.18439070004</v>
          </cell>
          <cell r="S13">
            <v>11.262165613752909</v>
          </cell>
          <cell r="T13">
            <v>0.32277099999999997</v>
          </cell>
          <cell r="U13">
            <v>5.2402257416883048E-3</v>
          </cell>
          <cell r="V13">
            <v>1.2E-2</v>
          </cell>
          <cell r="W13">
            <v>0.32250999999999996</v>
          </cell>
          <cell r="X13">
            <v>9.6999999999999993</v>
          </cell>
          <cell r="Y13">
            <v>13.056084</v>
          </cell>
          <cell r="AB13">
            <v>0</v>
          </cell>
          <cell r="AC13">
            <v>0.15460983669689959</v>
          </cell>
          <cell r="AD13">
            <v>5.4396611042993426E-2</v>
          </cell>
          <cell r="AE13">
            <v>3.5234005000000002</v>
          </cell>
          <cell r="AF13">
            <v>16.602972699753924</v>
          </cell>
          <cell r="AG13">
            <v>10.460865504108899</v>
          </cell>
          <cell r="AH13">
            <v>202304</v>
          </cell>
          <cell r="AI13" t="str">
            <v>S-1 figures are provisional,based on monthly &amp; weekly reports with assumptions.</v>
          </cell>
        </row>
        <row r="14">
          <cell r="C14">
            <v>45022</v>
          </cell>
          <cell r="D14">
            <v>379904</v>
          </cell>
          <cell r="E14">
            <v>37182</v>
          </cell>
          <cell r="F14">
            <v>18321.77</v>
          </cell>
          <cell r="G14">
            <v>2997</v>
          </cell>
          <cell r="H14">
            <v>2930</v>
          </cell>
          <cell r="I14">
            <v>178000</v>
          </cell>
          <cell r="J14">
            <v>184549.2</v>
          </cell>
          <cell r="K14">
            <v>41144.272010000001</v>
          </cell>
          <cell r="L14">
            <v>7735</v>
          </cell>
          <cell r="M14">
            <v>367388</v>
          </cell>
          <cell r="N14">
            <v>9166</v>
          </cell>
          <cell r="O14">
            <v>6637</v>
          </cell>
          <cell r="P14">
            <v>285.99720599999995</v>
          </cell>
          <cell r="Q14">
            <v>0</v>
          </cell>
          <cell r="R14">
            <v>150290.86889520002</v>
          </cell>
          <cell r="S14">
            <v>7.5645552701849397</v>
          </cell>
          <cell r="T14">
            <v>0.32341799999999998</v>
          </cell>
          <cell r="U14">
            <v>5.1101665878515177E-3</v>
          </cell>
          <cell r="V14">
            <v>1.2E-2</v>
          </cell>
          <cell r="W14">
            <v>0.32450999999999997</v>
          </cell>
          <cell r="X14">
            <v>9.6999999999999993</v>
          </cell>
          <cell r="Y14">
            <v>13.119286000000001</v>
          </cell>
          <cell r="AB14">
            <v>0</v>
          </cell>
          <cell r="AC14">
            <v>0.15829102328492101</v>
          </cell>
          <cell r="AD14">
            <v>5.816274809073841E-2</v>
          </cell>
          <cell r="AE14">
            <v>3.5217005000000001</v>
          </cell>
          <cell r="AF14">
            <v>16.578988353291969</v>
          </cell>
          <cell r="AG14">
            <v>10.39103592021004</v>
          </cell>
          <cell r="AH14">
            <v>202304</v>
          </cell>
          <cell r="AI14" t="str">
            <v>S-1 figures are provisional,based on monthly &amp; weekly reports with assumptions.</v>
          </cell>
        </row>
        <row r="15">
          <cell r="C15">
            <v>45023</v>
          </cell>
          <cell r="D15">
            <v>375699</v>
          </cell>
          <cell r="E15">
            <v>36472</v>
          </cell>
          <cell r="F15">
            <v>18275.02</v>
          </cell>
          <cell r="G15">
            <v>3002</v>
          </cell>
          <cell r="H15">
            <v>2945</v>
          </cell>
          <cell r="I15">
            <v>178000</v>
          </cell>
          <cell r="J15">
            <v>184348.32</v>
          </cell>
          <cell r="K15">
            <v>40750.873379999997</v>
          </cell>
          <cell r="L15">
            <v>7710</v>
          </cell>
          <cell r="M15">
            <v>355725</v>
          </cell>
          <cell r="N15">
            <v>9117</v>
          </cell>
          <cell r="O15">
            <v>723</v>
          </cell>
          <cell r="P15">
            <v>287.75835000000001</v>
          </cell>
          <cell r="Q15">
            <v>0</v>
          </cell>
          <cell r="R15">
            <v>146993.4812025</v>
          </cell>
          <cell r="S15">
            <v>7.5430344870549684</v>
          </cell>
          <cell r="T15">
            <v>0.32562799999999997</v>
          </cell>
          <cell r="U15">
            <v>4.993388022551515E-3</v>
          </cell>
          <cell r="V15">
            <v>1.2E-2</v>
          </cell>
          <cell r="W15">
            <v>0.32108999999999999</v>
          </cell>
          <cell r="X15">
            <v>9.6999999999999993</v>
          </cell>
          <cell r="Y15">
            <v>13.131254999999999</v>
          </cell>
          <cell r="AB15">
            <v>0</v>
          </cell>
          <cell r="AC15">
            <v>0.15857419148399957</v>
          </cell>
          <cell r="AD15">
            <v>5.7313243493502704E-2</v>
          </cell>
          <cell r="AE15">
            <v>3.5163004999999998</v>
          </cell>
          <cell r="AF15">
            <v>16.563385785522744</v>
          </cell>
          <cell r="AG15">
            <v>10.385354595266264</v>
          </cell>
          <cell r="AH15">
            <v>202304</v>
          </cell>
          <cell r="AI15" t="str">
            <v>S-1 figures are provisional,based on monthly &amp; weekly reports with assumptions.</v>
          </cell>
          <cell r="AJ15" t="str">
            <v xml:space="preserve">_x000D_
</v>
          </cell>
        </row>
        <row r="16">
          <cell r="C16">
            <v>45024</v>
          </cell>
          <cell r="D16">
            <v>375772</v>
          </cell>
          <cell r="E16">
            <v>37057</v>
          </cell>
          <cell r="F16">
            <v>18279.41</v>
          </cell>
          <cell r="G16">
            <v>3023</v>
          </cell>
          <cell r="H16">
            <v>2948</v>
          </cell>
          <cell r="I16">
            <v>178000</v>
          </cell>
          <cell r="J16">
            <v>183239.76</v>
          </cell>
          <cell r="K16">
            <v>40503.296849999999</v>
          </cell>
          <cell r="L16">
            <v>7814</v>
          </cell>
          <cell r="M16">
            <v>361455</v>
          </cell>
          <cell r="N16">
            <v>9011</v>
          </cell>
          <cell r="O16">
            <v>170</v>
          </cell>
          <cell r="P16">
            <v>281.90883600000001</v>
          </cell>
          <cell r="Q16">
            <v>0</v>
          </cell>
          <cell r="R16">
            <v>146838.36848869998</v>
          </cell>
          <cell r="S16">
            <v>7.73643836702563</v>
          </cell>
          <cell r="T16">
            <v>0.32716200000000001</v>
          </cell>
          <cell r="U16">
            <v>4.7237269465689926E-3</v>
          </cell>
          <cell r="V16">
            <v>1.2E-2</v>
          </cell>
          <cell r="W16">
            <v>0.32502999999999999</v>
          </cell>
          <cell r="X16">
            <v>9.6999999999999993</v>
          </cell>
          <cell r="Y16">
            <v>13.219833000000001</v>
          </cell>
          <cell r="AB16">
            <v>0</v>
          </cell>
          <cell r="AC16">
            <v>0.15376033209966386</v>
          </cell>
          <cell r="AD16">
            <v>5.5104531540689852E-2</v>
          </cell>
          <cell r="AE16">
            <v>3.5203004999999998</v>
          </cell>
          <cell r="AF16">
            <v>16.570238455940444</v>
          </cell>
          <cell r="AG16">
            <v>10.418569866798006</v>
          </cell>
          <cell r="AH16">
            <v>202304</v>
          </cell>
          <cell r="AI16" t="str">
            <v>S-1 figures are provisional,based on monthly &amp; weekly reports with assumptions.</v>
          </cell>
        </row>
        <row r="17">
          <cell r="C17">
            <v>45025</v>
          </cell>
          <cell r="D17">
            <v>385551</v>
          </cell>
          <cell r="E17">
            <v>32610</v>
          </cell>
          <cell r="F17">
            <v>18301.41</v>
          </cell>
          <cell r="G17">
            <v>3007</v>
          </cell>
          <cell r="H17">
            <v>2891</v>
          </cell>
          <cell r="I17">
            <v>178000</v>
          </cell>
          <cell r="J17">
            <v>181736.88</v>
          </cell>
          <cell r="K17">
            <v>39227.058510000003</v>
          </cell>
          <cell r="L17">
            <v>7482</v>
          </cell>
          <cell r="M17">
            <v>338814</v>
          </cell>
          <cell r="N17">
            <v>9201</v>
          </cell>
          <cell r="O17">
            <v>3583</v>
          </cell>
          <cell r="P17">
            <v>284.23606199999995</v>
          </cell>
          <cell r="Q17">
            <v>0</v>
          </cell>
          <cell r="R17">
            <v>145505.57725540001</v>
          </cell>
          <cell r="S17">
            <v>7.6441255341260161</v>
          </cell>
          <cell r="T17">
            <v>0.29770099999999999</v>
          </cell>
          <cell r="U17">
            <v>4.8602706521646789E-3</v>
          </cell>
          <cell r="V17">
            <v>1.2E-2</v>
          </cell>
          <cell r="W17">
            <v>0.32318999999999998</v>
          </cell>
          <cell r="X17">
            <v>9.6999999999999993</v>
          </cell>
          <cell r="Y17">
            <v>13.188036</v>
          </cell>
          <cell r="AB17">
            <v>0</v>
          </cell>
          <cell r="AC17">
            <v>0.15659201409044959</v>
          </cell>
          <cell r="AD17">
            <v>5.5982352957833423E-2</v>
          </cell>
          <cell r="AE17">
            <v>3.5186004999999998</v>
          </cell>
          <cell r="AF17">
            <v>16.538353716724195</v>
          </cell>
          <cell r="AG17">
            <v>10.392948538871023</v>
          </cell>
          <cell r="AH17">
            <v>202304</v>
          </cell>
          <cell r="AI17" t="str">
            <v>S-1 figures are provisional,based on monthly &amp; weekly reports with assumptions.</v>
          </cell>
        </row>
        <row r="18">
          <cell r="C18">
            <v>45026</v>
          </cell>
          <cell r="D18">
            <v>376807</v>
          </cell>
          <cell r="E18">
            <v>32692</v>
          </cell>
          <cell r="F18">
            <v>18214.28</v>
          </cell>
          <cell r="G18">
            <v>3005</v>
          </cell>
          <cell r="H18">
            <v>2832</v>
          </cell>
          <cell r="I18">
            <v>201000</v>
          </cell>
          <cell r="J18">
            <v>179995.92</v>
          </cell>
          <cell r="K18">
            <v>40196.792820000002</v>
          </cell>
          <cell r="L18">
            <v>7468</v>
          </cell>
          <cell r="M18">
            <v>351342</v>
          </cell>
          <cell r="N18">
            <v>9206</v>
          </cell>
          <cell r="O18">
            <v>791</v>
          </cell>
          <cell r="P18">
            <v>280.58797799999996</v>
          </cell>
          <cell r="Q18">
            <v>0</v>
          </cell>
          <cell r="R18">
            <v>148974.37469510001</v>
          </cell>
          <cell r="S18">
            <v>7.4470404675673265</v>
          </cell>
          <cell r="T18">
            <v>0.281134</v>
          </cell>
          <cell r="U18">
            <v>5.0157583102787224E-3</v>
          </cell>
          <cell r="V18">
            <v>1.2E-2</v>
          </cell>
          <cell r="W18">
            <v>0.32341000000000003</v>
          </cell>
          <cell r="X18">
            <v>9.6999999999999993</v>
          </cell>
          <cell r="Y18">
            <v>13.190218999999999</v>
          </cell>
          <cell r="AB18">
            <v>0</v>
          </cell>
          <cell r="AC18">
            <v>0.16225537807202101</v>
          </cell>
          <cell r="AD18">
            <v>5.7058392114331995E-2</v>
          </cell>
          <cell r="AE18">
            <v>3.5167004999999998</v>
          </cell>
          <cell r="AF18">
            <v>16.485033144837701</v>
          </cell>
          <cell r="AG18">
            <v>10.375953093674065</v>
          </cell>
          <cell r="AH18">
            <v>202304</v>
          </cell>
        </row>
        <row r="19">
          <cell r="C19">
            <v>45027</v>
          </cell>
          <cell r="D19">
            <v>387775</v>
          </cell>
          <cell r="E19">
            <v>35516</v>
          </cell>
          <cell r="F19">
            <v>18194.29</v>
          </cell>
          <cell r="G19">
            <v>3002</v>
          </cell>
          <cell r="H19">
            <v>2953</v>
          </cell>
          <cell r="I19">
            <v>201000</v>
          </cell>
          <cell r="J19">
            <v>180963.12</v>
          </cell>
          <cell r="K19">
            <v>39571.608510000005</v>
          </cell>
          <cell r="L19">
            <v>7447</v>
          </cell>
          <cell r="M19">
            <v>383274</v>
          </cell>
          <cell r="N19">
            <v>9002</v>
          </cell>
          <cell r="O19">
            <v>3940</v>
          </cell>
          <cell r="P19">
            <v>282.22332599999999</v>
          </cell>
          <cell r="Q19">
            <v>0</v>
          </cell>
          <cell r="R19">
            <v>152701.00807419998</v>
          </cell>
          <cell r="S19">
            <v>8.03801249904431</v>
          </cell>
          <cell r="T19">
            <v>0.31692500000000001</v>
          </cell>
          <cell r="U19">
            <v>5.0590547279178357E-3</v>
          </cell>
          <cell r="V19">
            <v>1.2E-2</v>
          </cell>
          <cell r="W19">
            <v>0.32341000000000003</v>
          </cell>
          <cell r="X19">
            <v>9.6999999999999993</v>
          </cell>
          <cell r="Y19">
            <v>13.216265</v>
          </cell>
          <cell r="AB19">
            <v>0</v>
          </cell>
          <cell r="AC19">
            <v>0.16168904167386386</v>
          </cell>
          <cell r="AD19">
            <v>5.6803540735161272E-2</v>
          </cell>
          <cell r="AE19">
            <v>3.5161004999999999</v>
          </cell>
          <cell r="AF19">
            <v>16.48149354234922</v>
          </cell>
          <cell r="AG19">
            <v>10.405034415115022</v>
          </cell>
          <cell r="AH19">
            <v>202304</v>
          </cell>
        </row>
        <row r="20">
          <cell r="C20">
            <v>45028</v>
          </cell>
          <cell r="D20">
            <v>376120</v>
          </cell>
          <cell r="E20">
            <v>40893</v>
          </cell>
          <cell r="F20">
            <v>18180.39</v>
          </cell>
          <cell r="G20">
            <v>2959</v>
          </cell>
          <cell r="H20">
            <v>2931</v>
          </cell>
          <cell r="I20">
            <v>201000</v>
          </cell>
          <cell r="J20">
            <v>181230.96000000002</v>
          </cell>
          <cell r="K20">
            <v>37261.981619999999</v>
          </cell>
          <cell r="L20">
            <v>7219</v>
          </cell>
          <cell r="M20">
            <v>391194</v>
          </cell>
          <cell r="N20">
            <v>9005</v>
          </cell>
          <cell r="O20">
            <v>4940</v>
          </cell>
          <cell r="P20">
            <v>290.77745399999998</v>
          </cell>
          <cell r="Q20">
            <v>0</v>
          </cell>
          <cell r="R20">
            <v>153988.54360929999</v>
          </cell>
          <cell r="S20">
            <v>8.9520794456699324</v>
          </cell>
          <cell r="T20">
            <v>0.325075</v>
          </cell>
          <cell r="U20">
            <v>4.8890971748308774E-3</v>
          </cell>
          <cell r="V20">
            <v>1.2E-2</v>
          </cell>
          <cell r="W20">
            <v>0.32224000000000003</v>
          </cell>
          <cell r="X20">
            <v>9.6999999999999993</v>
          </cell>
          <cell r="Y20">
            <v>13.192922000000001</v>
          </cell>
          <cell r="AA20">
            <v>0</v>
          </cell>
          <cell r="AB20">
            <v>0</v>
          </cell>
          <cell r="AC20">
            <v>0.16225537807202101</v>
          </cell>
          <cell r="AD20">
            <v>5.7313243493502704E-2</v>
          </cell>
          <cell r="AE20">
            <v>3.5104004999999998</v>
          </cell>
          <cell r="AF20">
            <v>16.455385434394174</v>
          </cell>
          <cell r="AG20">
            <v>10.414254511049689</v>
          </cell>
          <cell r="AH20">
            <v>202304</v>
          </cell>
        </row>
        <row r="21">
          <cell r="C21">
            <v>45029</v>
          </cell>
          <cell r="D21">
            <v>379156</v>
          </cell>
          <cell r="E21">
            <v>38314</v>
          </cell>
          <cell r="F21">
            <v>18169.09</v>
          </cell>
          <cell r="G21">
            <v>2945</v>
          </cell>
          <cell r="H21">
            <v>2924</v>
          </cell>
          <cell r="I21">
            <v>201000</v>
          </cell>
          <cell r="J21">
            <v>182652</v>
          </cell>
          <cell r="K21">
            <v>39424.120999999999</v>
          </cell>
          <cell r="L21">
            <v>7574</v>
          </cell>
          <cell r="M21">
            <v>384570</v>
          </cell>
          <cell r="N21">
            <v>9256</v>
          </cell>
          <cell r="O21">
            <v>4787</v>
          </cell>
          <cell r="P21">
            <v>279.33001799999994</v>
          </cell>
          <cell r="Q21">
            <v>0</v>
          </cell>
          <cell r="R21">
            <v>154032.3828581</v>
          </cell>
          <cell r="S21">
            <v>8.903091347229342</v>
          </cell>
          <cell r="T21">
            <v>0.32096799999999998</v>
          </cell>
          <cell r="U21">
            <v>5.1434671680631568E-3</v>
          </cell>
          <cell r="V21">
            <v>1.2E-2</v>
          </cell>
          <cell r="W21">
            <v>0.32294</v>
          </cell>
          <cell r="X21">
            <v>9.6999999999999993</v>
          </cell>
          <cell r="Y21">
            <v>13.417207000000001</v>
          </cell>
          <cell r="Z21">
            <v>0</v>
          </cell>
          <cell r="AA21">
            <v>0</v>
          </cell>
          <cell r="AB21">
            <v>0</v>
          </cell>
          <cell r="AC21">
            <v>0.15659201409044959</v>
          </cell>
          <cell r="AD21">
            <v>5.7822946251844122E-2</v>
          </cell>
          <cell r="AE21">
            <v>3.5060004999999999</v>
          </cell>
          <cell r="AF21">
            <v>16.319266481097106</v>
          </cell>
          <cell r="AG21">
            <v>10.445666843975838</v>
          </cell>
          <cell r="AH21">
            <v>202304</v>
          </cell>
        </row>
        <row r="22">
          <cell r="C22">
            <v>45030</v>
          </cell>
          <cell r="D22">
            <v>374152</v>
          </cell>
          <cell r="E22">
            <v>37818</v>
          </cell>
          <cell r="F22">
            <v>18077.919999999998</v>
          </cell>
          <cell r="G22">
            <v>2968</v>
          </cell>
          <cell r="H22">
            <v>2935</v>
          </cell>
          <cell r="I22">
            <v>201000</v>
          </cell>
          <cell r="J22">
            <v>183790.32</v>
          </cell>
          <cell r="K22">
            <v>40371.599999999999</v>
          </cell>
          <cell r="L22">
            <v>7490</v>
          </cell>
          <cell r="M22">
            <v>386720</v>
          </cell>
          <cell r="N22">
            <v>9241</v>
          </cell>
          <cell r="O22">
            <v>1184</v>
          </cell>
          <cell r="P22">
            <v>288.82761599999998</v>
          </cell>
          <cell r="Q22">
            <v>0</v>
          </cell>
          <cell r="R22">
            <v>152901.54332719999</v>
          </cell>
          <cell r="S22">
            <v>9.2930139573605341</v>
          </cell>
          <cell r="T22">
            <v>0.31352099999999999</v>
          </cell>
          <cell r="U22">
            <v>5.2662205823637174E-3</v>
          </cell>
          <cell r="V22">
            <v>1.2E-2</v>
          </cell>
          <cell r="W22">
            <v>0.32214999999999999</v>
          </cell>
          <cell r="X22">
            <v>9.6999999999999993</v>
          </cell>
          <cell r="Y22">
            <v>13.096590000000001</v>
          </cell>
          <cell r="Z22">
            <v>0</v>
          </cell>
          <cell r="AA22">
            <v>0</v>
          </cell>
          <cell r="AB22">
            <v>0</v>
          </cell>
          <cell r="AC22">
            <v>0.15460983669689959</v>
          </cell>
          <cell r="AD22">
            <v>5.7313243493502704E-2</v>
          </cell>
          <cell r="AE22">
            <v>3.5077004999999999</v>
          </cell>
          <cell r="AF22">
            <v>15.814887284898358</v>
          </cell>
          <cell r="AG22">
            <v>10.283197489689464</v>
          </cell>
          <cell r="AH22">
            <v>202304</v>
          </cell>
        </row>
        <row r="23">
          <cell r="C23">
            <v>45031</v>
          </cell>
          <cell r="D23">
            <v>378840</v>
          </cell>
          <cell r="E23">
            <v>30220</v>
          </cell>
          <cell r="F23">
            <v>18073.16</v>
          </cell>
          <cell r="G23">
            <v>2977</v>
          </cell>
          <cell r="H23">
            <v>2911</v>
          </cell>
          <cell r="I23">
            <v>201000</v>
          </cell>
          <cell r="J23">
            <v>183314.16</v>
          </cell>
          <cell r="K23">
            <v>40856.03</v>
          </cell>
          <cell r="L23">
            <v>7296</v>
          </cell>
          <cell r="M23">
            <v>389040</v>
          </cell>
          <cell r="N23">
            <v>9225</v>
          </cell>
          <cell r="O23">
            <v>1055</v>
          </cell>
          <cell r="P23">
            <v>292.035414</v>
          </cell>
          <cell r="Q23">
            <v>0</v>
          </cell>
          <cell r="R23">
            <v>150926.93103630003</v>
          </cell>
          <cell r="S23">
            <v>12.83120060484727</v>
          </cell>
          <cell r="T23">
            <v>0.24847900000000001</v>
          </cell>
          <cell r="U23">
            <v>5.0937145154850531E-3</v>
          </cell>
          <cell r="V23">
            <v>1.2E-2</v>
          </cell>
          <cell r="W23">
            <v>0.32449</v>
          </cell>
          <cell r="X23">
            <v>9.6999999999999993</v>
          </cell>
          <cell r="Y23">
            <v>12.977974</v>
          </cell>
          <cell r="Z23">
            <v>0</v>
          </cell>
          <cell r="AA23">
            <v>0</v>
          </cell>
          <cell r="AB23">
            <v>0</v>
          </cell>
          <cell r="AC23">
            <v>0.15262765930334957</v>
          </cell>
          <cell r="AD23">
            <v>5.7568094872673413E-2</v>
          </cell>
          <cell r="AE23">
            <v>3.5109005</v>
          </cell>
          <cell r="AF23">
            <v>15.551540859755285</v>
          </cell>
          <cell r="AG23">
            <v>10.275302355763648</v>
          </cell>
          <cell r="AH23">
            <v>202304</v>
          </cell>
        </row>
        <row r="24">
          <cell r="C24">
            <v>45032</v>
          </cell>
          <cell r="D24">
            <v>380001</v>
          </cell>
          <cell r="E24">
            <v>32428</v>
          </cell>
          <cell r="F24">
            <v>18120.66</v>
          </cell>
          <cell r="G24">
            <v>3012</v>
          </cell>
          <cell r="H24">
            <v>2961</v>
          </cell>
          <cell r="I24">
            <v>201000</v>
          </cell>
          <cell r="J24">
            <v>183857.28</v>
          </cell>
          <cell r="K24">
            <v>39736.39</v>
          </cell>
          <cell r="L24">
            <v>7411</v>
          </cell>
          <cell r="M24">
            <v>389081</v>
          </cell>
          <cell r="N24">
            <v>9255</v>
          </cell>
          <cell r="O24">
            <v>3729</v>
          </cell>
          <cell r="P24">
            <v>287.06647199999998</v>
          </cell>
          <cell r="Q24">
            <v>0</v>
          </cell>
          <cell r="R24">
            <v>152612.00906239997</v>
          </cell>
          <cell r="S24">
            <v>12.22550382701821</v>
          </cell>
          <cell r="T24">
            <v>0.28074700000000002</v>
          </cell>
          <cell r="U24">
            <v>4.9318838897116496E-3</v>
          </cell>
          <cell r="V24">
            <v>1.2E-2</v>
          </cell>
          <cell r="W24">
            <v>0.32408999999999999</v>
          </cell>
          <cell r="X24">
            <v>9.6999999999999993</v>
          </cell>
          <cell r="Y24">
            <v>12.957357</v>
          </cell>
          <cell r="Z24">
            <v>0</v>
          </cell>
          <cell r="AA24">
            <v>0</v>
          </cell>
          <cell r="AB24">
            <v>0</v>
          </cell>
          <cell r="AC24">
            <v>0.15432666849782101</v>
          </cell>
          <cell r="AD24">
            <v>5.7058392114331995E-2</v>
          </cell>
          <cell r="AE24">
            <v>3.5010005</v>
          </cell>
          <cell r="AF24">
            <v>15.191407544167159</v>
          </cell>
          <cell r="AG24">
            <v>10.198454765015828</v>
          </cell>
          <cell r="AH24">
            <v>202304</v>
          </cell>
          <cell r="AI24" t="str">
            <v>S-1 figures are provisional,based on last monthly &amp; weekly reports with assumptions.Previous day data for ACG,BC-10,CPO-5,GPOC,SPOC,A1-A3.</v>
          </cell>
        </row>
        <row r="25">
          <cell r="C25">
            <v>45033</v>
          </cell>
          <cell r="D25">
            <v>348953</v>
          </cell>
          <cell r="E25">
            <v>31170</v>
          </cell>
          <cell r="F25">
            <v>18143.05</v>
          </cell>
          <cell r="G25">
            <v>3014</v>
          </cell>
          <cell r="H25">
            <v>2911</v>
          </cell>
          <cell r="I25">
            <v>191000</v>
          </cell>
          <cell r="J25">
            <v>184296</v>
          </cell>
          <cell r="K25">
            <v>38159.96</v>
          </cell>
          <cell r="L25">
            <v>7612</v>
          </cell>
          <cell r="M25">
            <v>394350</v>
          </cell>
          <cell r="N25">
            <v>9257</v>
          </cell>
          <cell r="O25">
            <v>3008</v>
          </cell>
          <cell r="P25">
            <v>300.65243999999996</v>
          </cell>
          <cell r="Q25">
            <v>0</v>
          </cell>
          <cell r="R25">
            <v>149218.95789799999</v>
          </cell>
          <cell r="S25">
            <v>8.9410358859058654</v>
          </cell>
          <cell r="T25">
            <v>0.30410599999999999</v>
          </cell>
          <cell r="U25">
            <v>4.8350686824466865E-3</v>
          </cell>
          <cell r="V25">
            <v>1.2E-2</v>
          </cell>
          <cell r="W25">
            <v>0.32192999999999999</v>
          </cell>
          <cell r="X25">
            <v>9.6999999999999993</v>
          </cell>
          <cell r="Y25">
            <v>12.87</v>
          </cell>
          <cell r="Z25">
            <v>0</v>
          </cell>
          <cell r="AA25">
            <v>0</v>
          </cell>
          <cell r="AB25">
            <v>0</v>
          </cell>
          <cell r="AC25">
            <v>0.15489300489597815</v>
          </cell>
          <cell r="AD25">
            <v>5.8785718128711272E-2</v>
          </cell>
          <cell r="AE25">
            <v>3.4958005000000001</v>
          </cell>
          <cell r="AF25">
            <v>14.89671439938609</v>
          </cell>
          <cell r="AG25">
            <v>10.052265287727817</v>
          </cell>
          <cell r="AH25">
            <v>202304</v>
          </cell>
          <cell r="AI25" t="str">
            <v>S-1 figures based on last monthly &amp; weekly reports with assumptions.Previous day data for ACG,BC-10,CPO-5,MECL,GPOC,SPOC</v>
          </cell>
          <cell r="AJ25" t="str">
            <v>_x000D_
BC-10: MOBO 5 Tripping</v>
          </cell>
        </row>
        <row r="26">
          <cell r="C26">
            <v>45034</v>
          </cell>
          <cell r="D26">
            <v>340794</v>
          </cell>
          <cell r="E26">
            <v>34094</v>
          </cell>
          <cell r="F26">
            <v>18146.490000000002</v>
          </cell>
          <cell r="G26">
            <v>3003</v>
          </cell>
          <cell r="H26">
            <v>2901</v>
          </cell>
          <cell r="I26">
            <v>191000</v>
          </cell>
          <cell r="J26">
            <v>183850</v>
          </cell>
          <cell r="K26">
            <v>42996.19</v>
          </cell>
          <cell r="L26">
            <v>7604</v>
          </cell>
          <cell r="M26">
            <v>398605</v>
          </cell>
          <cell r="N26">
            <v>9237</v>
          </cell>
          <cell r="O26">
            <v>4505</v>
          </cell>
          <cell r="P26">
            <v>286.06010399999997</v>
          </cell>
          <cell r="Q26">
            <v>0</v>
          </cell>
          <cell r="R26">
            <v>151658.27394680001</v>
          </cell>
          <cell r="S26">
            <v>9.5422019725496749</v>
          </cell>
          <cell r="T26">
            <v>0.29414699999999999</v>
          </cell>
          <cell r="U26">
            <v>4.8524268930502023E-3</v>
          </cell>
          <cell r="V26">
            <v>1.2E-2</v>
          </cell>
          <cell r="W26">
            <v>0.32100000000000001</v>
          </cell>
          <cell r="X26">
            <v>9.6999999999999993</v>
          </cell>
          <cell r="Y26">
            <v>12.84</v>
          </cell>
          <cell r="Z26">
            <v>0</v>
          </cell>
          <cell r="AA26">
            <v>0</v>
          </cell>
          <cell r="AB26">
            <v>0</v>
          </cell>
          <cell r="AC26">
            <v>0.1554593412941353</v>
          </cell>
          <cell r="AD26">
            <v>6.3684527972770549E-2</v>
          </cell>
          <cell r="AE26">
            <v>3.4969005000000002</v>
          </cell>
          <cell r="AF26">
            <v>9.3388872056112612E-2</v>
          </cell>
          <cell r="AG26">
            <v>7.5406969263720356</v>
          </cell>
          <cell r="AH26">
            <v>202304</v>
          </cell>
          <cell r="AI26" t="str">
            <v>S-1 figures based on last monthly &amp; weekly reports with assumptions.Previous day data for ACG,BC-10,CPO-5,MECL,Vankor,SPOC,SCB</v>
          </cell>
          <cell r="AJ26" t="str">
            <v xml:space="preserve">
A1&amp;A3: Commenced SHP Planned shutdown @ 06:30hrs for Phase 3 brownfield work from 18th to 27th Apr 2023.
BC-10: MOBO-5 Tripped_x000D_
ACG: EA -Plant startupp after shutdown</v>
          </cell>
        </row>
        <row r="27">
          <cell r="C27">
            <v>45035</v>
          </cell>
          <cell r="D27">
            <v>359274</v>
          </cell>
          <cell r="E27">
            <v>32069</v>
          </cell>
          <cell r="F27">
            <v>18036.3</v>
          </cell>
          <cell r="G27">
            <v>3000</v>
          </cell>
          <cell r="H27">
            <v>2912</v>
          </cell>
          <cell r="I27">
            <v>191000</v>
          </cell>
          <cell r="J27">
            <v>185509</v>
          </cell>
          <cell r="K27">
            <v>44122.46</v>
          </cell>
          <cell r="L27">
            <v>7660</v>
          </cell>
          <cell r="M27">
            <v>395220</v>
          </cell>
          <cell r="N27">
            <v>9284</v>
          </cell>
          <cell r="O27">
            <v>1516</v>
          </cell>
          <cell r="P27">
            <v>272.66282999999999</v>
          </cell>
          <cell r="Q27">
            <v>0</v>
          </cell>
          <cell r="R27">
            <v>150865.33767349995</v>
          </cell>
          <cell r="S27">
            <v>9.3824951082693584</v>
          </cell>
          <cell r="T27">
            <v>0.303174</v>
          </cell>
          <cell r="U27">
            <v>5.1875847734795992E-3</v>
          </cell>
          <cell r="V27">
            <v>1.2E-2</v>
          </cell>
          <cell r="W27">
            <v>0.32345000000000002</v>
          </cell>
          <cell r="X27">
            <v>9.6999999999999993</v>
          </cell>
          <cell r="Y27">
            <v>12.82</v>
          </cell>
          <cell r="Z27">
            <v>0</v>
          </cell>
          <cell r="AA27">
            <v>0</v>
          </cell>
          <cell r="AB27">
            <v>0</v>
          </cell>
          <cell r="AC27">
            <v>0.15800785508584242</v>
          </cell>
          <cell r="AD27">
            <v>5.816274809073841E-2</v>
          </cell>
          <cell r="AE27">
            <v>3.4783005</v>
          </cell>
          <cell r="AF27">
            <v>0</v>
          </cell>
          <cell r="AG27">
            <v>7.5107551146381963</v>
          </cell>
          <cell r="AH27">
            <v>202304</v>
          </cell>
          <cell r="AI27" t="str">
            <v>S-1 figures based on last monthly &amp; weekly reports with assumptions.Previous day data for ACG,BC-10,CPO-5,MECL,SPOC,SCB,LZC</v>
          </cell>
          <cell r="AJ27" t="str">
            <v xml:space="preserve">
A1&amp;A3: Planned S/D for Ph-3 tie-in &amp; maintainence job on existing facilties
GPOC: Production from 6 Munga Wells Started. Export started from Munga COST &amp; 6 wells
ACG: EA -Plant startup after shutdown_x000D_
ACG: EA Well startup after PSD</v>
          </cell>
        </row>
        <row r="28">
          <cell r="C28">
            <v>45036</v>
          </cell>
          <cell r="D28">
            <v>387563</v>
          </cell>
          <cell r="E28">
            <v>28403</v>
          </cell>
          <cell r="F28">
            <v>17901</v>
          </cell>
          <cell r="G28">
            <v>2961</v>
          </cell>
          <cell r="H28">
            <v>2921</v>
          </cell>
          <cell r="I28">
            <v>191000</v>
          </cell>
          <cell r="J28">
            <v>185554</v>
          </cell>
          <cell r="K28">
            <v>43210.18</v>
          </cell>
          <cell r="L28">
            <v>7694</v>
          </cell>
          <cell r="M28">
            <v>402178</v>
          </cell>
          <cell r="N28">
            <v>9209</v>
          </cell>
          <cell r="O28">
            <v>4559</v>
          </cell>
          <cell r="P28">
            <v>291.59512799999999</v>
          </cell>
          <cell r="Q28">
            <v>0</v>
          </cell>
          <cell r="R28">
            <v>151711.4056076</v>
          </cell>
          <cell r="S28">
            <v>9.3578594749495263</v>
          </cell>
          <cell r="T28">
            <v>0.31399500000000002</v>
          </cell>
          <cell r="U28">
            <v>4.3789979810107404E-3</v>
          </cell>
          <cell r="V28">
            <v>1.2E-2</v>
          </cell>
          <cell r="W28">
            <v>0.32544999999999996</v>
          </cell>
          <cell r="X28">
            <v>9.6999999999999993</v>
          </cell>
          <cell r="Y28">
            <v>12.87</v>
          </cell>
          <cell r="Z28">
            <v>0</v>
          </cell>
          <cell r="AA28">
            <v>0</v>
          </cell>
          <cell r="AB28">
            <v>0</v>
          </cell>
          <cell r="AC28">
            <v>0.16621973285912098</v>
          </cell>
          <cell r="AD28">
            <v>5.0432256255893433E-2</v>
          </cell>
          <cell r="AE28">
            <v>3.4822004999999998</v>
          </cell>
          <cell r="AF28">
            <v>0</v>
          </cell>
          <cell r="AG28">
            <v>7.5271078005749024</v>
          </cell>
          <cell r="AH28">
            <v>202304</v>
          </cell>
          <cell r="AI28" t="str">
            <v>S-1 figures based on last monthly &amp; weekly reports with assumptions.Previous day data for ACG,BC-10,CPO-5,MECL,GPOC, SPOC,SCB,LZC</v>
          </cell>
          <cell r="AJ28" t="str">
            <v xml:space="preserve">
A1&amp;A3: Planned shutdown ongoing
GPOC: Production from 6 Munga Wells Started. Export started from Munga COST &amp; 6 wells
ACG: EA -Plant startup after shutdown_x000D_
BC-10: Production reduced as per intervention plan</v>
          </cell>
        </row>
        <row r="29">
          <cell r="C29">
            <v>45037</v>
          </cell>
          <cell r="D29">
            <v>383639</v>
          </cell>
          <cell r="E29">
            <v>34126</v>
          </cell>
          <cell r="F29">
            <v>17841.54</v>
          </cell>
          <cell r="G29">
            <v>3021</v>
          </cell>
          <cell r="H29">
            <v>2869</v>
          </cell>
          <cell r="I29">
            <v>191000</v>
          </cell>
          <cell r="J29">
            <v>187012</v>
          </cell>
          <cell r="K29">
            <v>43007.29</v>
          </cell>
          <cell r="L29">
            <v>5535</v>
          </cell>
          <cell r="M29">
            <v>400455</v>
          </cell>
          <cell r="N29">
            <v>9264</v>
          </cell>
          <cell r="O29">
            <v>1116</v>
          </cell>
          <cell r="P29">
            <v>288.76471799999996</v>
          </cell>
          <cell r="Q29">
            <v>0</v>
          </cell>
          <cell r="R29">
            <v>151468.50427310003</v>
          </cell>
          <cell r="S29">
            <v>9.4586673538214985</v>
          </cell>
          <cell r="T29">
            <v>0.322737</v>
          </cell>
          <cell r="U29">
            <v>4.1531713422455806E-3</v>
          </cell>
          <cell r="V29">
            <v>1.2E-2</v>
          </cell>
          <cell r="W29">
            <v>0.32594999999999996</v>
          </cell>
          <cell r="X29">
            <v>9.6999999999999993</v>
          </cell>
          <cell r="Y29">
            <v>13.05</v>
          </cell>
          <cell r="Z29">
            <v>0</v>
          </cell>
          <cell r="AA29">
            <v>0</v>
          </cell>
          <cell r="AB29">
            <v>0</v>
          </cell>
          <cell r="AC29">
            <v>0.17018408764622095</v>
          </cell>
          <cell r="AD29">
            <v>5.3348888706402711E-2</v>
          </cell>
          <cell r="AE29">
            <v>3.4848005</v>
          </cell>
          <cell r="AF29">
            <v>0</v>
          </cell>
          <cell r="AG29">
            <v>7.5817114559364942</v>
          </cell>
          <cell r="AH29">
            <v>202304</v>
          </cell>
        </row>
        <row r="30">
          <cell r="C30">
            <v>45038</v>
          </cell>
          <cell r="D30">
            <v>381841</v>
          </cell>
          <cell r="E30">
            <v>34981</v>
          </cell>
          <cell r="F30">
            <v>18072.82</v>
          </cell>
          <cell r="G30">
            <v>3014</v>
          </cell>
          <cell r="H30">
            <v>2853</v>
          </cell>
          <cell r="I30">
            <v>191000</v>
          </cell>
          <cell r="J30">
            <v>185754</v>
          </cell>
          <cell r="K30">
            <v>41727.74</v>
          </cell>
          <cell r="L30">
            <v>0</v>
          </cell>
          <cell r="M30">
            <v>396724</v>
          </cell>
          <cell r="N30">
            <v>9219</v>
          </cell>
          <cell r="O30">
            <v>7390</v>
          </cell>
          <cell r="P30">
            <v>287.31806399999999</v>
          </cell>
          <cell r="Q30">
            <v>0</v>
          </cell>
          <cell r="R30">
            <v>152172.68922879998</v>
          </cell>
          <cell r="S30">
            <v>9.1896575646968532</v>
          </cell>
          <cell r="T30">
            <v>0.32657199999999997</v>
          </cell>
          <cell r="U30">
            <v>5.0153335579801043E-3</v>
          </cell>
          <cell r="V30">
            <v>1.2E-2</v>
          </cell>
          <cell r="W30">
            <v>0.32417000000000001</v>
          </cell>
          <cell r="X30">
            <v>9.6999999999999993</v>
          </cell>
          <cell r="Y30">
            <v>13.13</v>
          </cell>
          <cell r="Z30">
            <v>0</v>
          </cell>
          <cell r="AA30">
            <v>0</v>
          </cell>
          <cell r="AB30">
            <v>0</v>
          </cell>
          <cell r="AC30">
            <v>0.16621973285912098</v>
          </cell>
          <cell r="AD30">
            <v>5.7313243493502704E-2</v>
          </cell>
          <cell r="AE30">
            <v>3.4690004999999999</v>
          </cell>
          <cell r="AF30">
            <v>0</v>
          </cell>
          <cell r="AG30">
            <v>7.590195956246987</v>
          </cell>
          <cell r="AH30">
            <v>202304</v>
          </cell>
          <cell r="AJ30" t="str">
            <v xml:space="preserve">
SPOC: Export to PS#1 stopped due to leak inj SCOTS line b/w PS#4 to PS#5 area</v>
          </cell>
        </row>
        <row r="31">
          <cell r="C31">
            <v>45039</v>
          </cell>
          <cell r="D31">
            <v>376890</v>
          </cell>
          <cell r="E31">
            <v>35371</v>
          </cell>
          <cell r="F31">
            <v>18064.16</v>
          </cell>
          <cell r="G31">
            <v>3023</v>
          </cell>
          <cell r="H31">
            <v>2835</v>
          </cell>
          <cell r="I31">
            <v>191000</v>
          </cell>
          <cell r="J31">
            <v>185330</v>
          </cell>
          <cell r="K31">
            <v>40350.78</v>
          </cell>
          <cell r="L31">
            <v>0</v>
          </cell>
          <cell r="M31">
            <v>392992</v>
          </cell>
          <cell r="N31">
            <v>9334</v>
          </cell>
          <cell r="O31">
            <v>1196</v>
          </cell>
          <cell r="P31">
            <v>273.54340200000001</v>
          </cell>
          <cell r="Q31">
            <v>0</v>
          </cell>
          <cell r="R31">
            <v>149069.15053089999</v>
          </cell>
          <cell r="S31">
            <v>9.1709684635576654</v>
          </cell>
          <cell r="T31">
            <v>0.32800000000000001</v>
          </cell>
          <cell r="U31">
            <v>5.0654260123971029E-3</v>
          </cell>
          <cell r="V31">
            <v>1.2E-2</v>
          </cell>
          <cell r="W31">
            <v>0.32907999999999998</v>
          </cell>
          <cell r="X31">
            <v>9.6999999999999993</v>
          </cell>
          <cell r="Y31">
            <v>13.08</v>
          </cell>
          <cell r="Z31">
            <v>0</v>
          </cell>
          <cell r="AA31">
            <v>0</v>
          </cell>
          <cell r="AB31">
            <v>0</v>
          </cell>
          <cell r="AC31">
            <v>0.16197220987294242</v>
          </cell>
          <cell r="AD31">
            <v>5.7086708934239845E-2</v>
          </cell>
          <cell r="AE31">
            <v>3.4484005</v>
          </cell>
          <cell r="AF31">
            <v>0</v>
          </cell>
          <cell r="AG31">
            <v>7.5722670213765797</v>
          </cell>
          <cell r="AH31">
            <v>202304</v>
          </cell>
          <cell r="AI31" t="str">
            <v>S-1 figures based on last monthly &amp; weekly reports with assumptions.Previous day data for ACG,CPO-5,MECL,GPOC, SPOC,SCB</v>
          </cell>
          <cell r="AJ31" t="str">
            <v>SPOC: Export to PS#1 stopped due to leak inj SCOTS line b/w PS#4 to PS#5 area
A1&amp;A3: Planned shutdown ongoing</v>
          </cell>
        </row>
        <row r="32">
          <cell r="C32">
            <v>45040</v>
          </cell>
          <cell r="D32">
            <v>368428</v>
          </cell>
          <cell r="E32">
            <v>35704</v>
          </cell>
          <cell r="F32">
            <v>18014.95</v>
          </cell>
          <cell r="G32">
            <v>3001</v>
          </cell>
          <cell r="H32">
            <v>2908</v>
          </cell>
          <cell r="I32">
            <v>191000</v>
          </cell>
          <cell r="J32">
            <v>183820</v>
          </cell>
          <cell r="K32">
            <v>40350.78</v>
          </cell>
          <cell r="L32">
            <v>0</v>
          </cell>
          <cell r="M32">
            <v>388504</v>
          </cell>
          <cell r="N32">
            <v>9334</v>
          </cell>
          <cell r="O32">
            <v>0</v>
          </cell>
          <cell r="P32">
            <v>268.32286799999997</v>
          </cell>
          <cell r="Q32">
            <v>0</v>
          </cell>
          <cell r="R32">
            <v>147938.27209059999</v>
          </cell>
          <cell r="S32">
            <v>8.3435509858500847</v>
          </cell>
          <cell r="T32">
            <v>0.33395999999999998</v>
          </cell>
          <cell r="U32">
            <v>4.8044865169462013E-3</v>
          </cell>
          <cell r="V32">
            <v>1.2E-2</v>
          </cell>
          <cell r="W32">
            <v>0.32629000000000002</v>
          </cell>
          <cell r="X32">
            <v>9.6999999999999993</v>
          </cell>
          <cell r="Y32">
            <v>13.1</v>
          </cell>
          <cell r="AA32">
            <v>0</v>
          </cell>
          <cell r="AB32">
            <v>0</v>
          </cell>
          <cell r="AC32">
            <v>0.15800785508584242</v>
          </cell>
          <cell r="AD32">
            <v>5.816274809073841E-2</v>
          </cell>
          <cell r="AE32">
            <v>3.4447005000000002</v>
          </cell>
          <cell r="AF32">
            <v>0</v>
          </cell>
          <cell r="AG32">
            <v>7.5553195566307378</v>
          </cell>
          <cell r="AH32">
            <v>202304</v>
          </cell>
          <cell r="AI32" t="str">
            <v>S-1 figures based on last monthly &amp; weekly reports with assumptions.Previous day data for ACG,CPO-5,BC-10,MECL,GPOC, SPOC</v>
          </cell>
          <cell r="AJ32" t="str">
            <v>SPOC: Export to PS#1 stopped due to leak in SCOTS line b/w PS#4 to PS#5 area
A1&amp;A3: Planned shutdown ongoing</v>
          </cell>
        </row>
        <row r="33">
          <cell r="C33">
            <v>45041</v>
          </cell>
          <cell r="D33">
            <v>371317</v>
          </cell>
          <cell r="E33">
            <v>36044</v>
          </cell>
          <cell r="F33">
            <v>18058.11</v>
          </cell>
          <cell r="G33">
            <v>3004</v>
          </cell>
          <cell r="H33">
            <v>2865</v>
          </cell>
          <cell r="I33">
            <v>191000</v>
          </cell>
          <cell r="J33">
            <v>184527</v>
          </cell>
          <cell r="K33">
            <v>40350.78</v>
          </cell>
          <cell r="L33">
            <v>0</v>
          </cell>
          <cell r="M33">
            <v>396577</v>
          </cell>
          <cell r="N33">
            <v>9302</v>
          </cell>
          <cell r="O33">
            <v>5673</v>
          </cell>
          <cell r="P33">
            <v>278.763936</v>
          </cell>
          <cell r="Q33">
            <v>0</v>
          </cell>
          <cell r="R33">
            <v>150862.63847119999</v>
          </cell>
          <cell r="S33">
            <v>9.4045822277974924</v>
          </cell>
          <cell r="T33">
            <v>0.33421400000000001</v>
          </cell>
          <cell r="U33">
            <v>4.3546738327098905E-3</v>
          </cell>
          <cell r="V33">
            <v>1.2E-2</v>
          </cell>
          <cell r="W33">
            <v>0.3241</v>
          </cell>
          <cell r="X33">
            <v>9.6999999999999993</v>
          </cell>
          <cell r="Y33">
            <v>12.91</v>
          </cell>
          <cell r="AA33">
            <v>0</v>
          </cell>
          <cell r="AB33">
            <v>0</v>
          </cell>
          <cell r="AC33">
            <v>0.15999003247939245</v>
          </cell>
          <cell r="AD33">
            <v>5.3320571886494854E-2</v>
          </cell>
          <cell r="AE33">
            <v>3.4558005000000001</v>
          </cell>
          <cell r="AF33">
            <v>0</v>
          </cell>
          <cell r="AG33">
            <v>7.5312692584723502</v>
          </cell>
          <cell r="AH33">
            <v>202304</v>
          </cell>
          <cell r="AI33" t="str">
            <v>S-1 figures based on last monthly &amp; weekly reports with assumptions.Previous day data for ACG,CPO-5,GPOC</v>
          </cell>
          <cell r="AJ33" t="str">
            <v xml:space="preserve">
SPOC: Leak fixed by Installing &amp; Welding clamp . Inspection and testing ongoing
A1&amp;A3: Planned shutdown ongoing</v>
          </cell>
        </row>
        <row r="34">
          <cell r="C34">
            <v>45042</v>
          </cell>
          <cell r="D34">
            <v>378561</v>
          </cell>
          <cell r="E34">
            <v>36352</v>
          </cell>
          <cell r="F34">
            <v>18058.11</v>
          </cell>
          <cell r="G34">
            <v>2932</v>
          </cell>
          <cell r="H34">
            <v>2831</v>
          </cell>
          <cell r="I34">
            <v>191000</v>
          </cell>
          <cell r="J34">
            <v>184586</v>
          </cell>
          <cell r="K34">
            <v>40350.78</v>
          </cell>
          <cell r="L34">
            <v>4760</v>
          </cell>
          <cell r="M34">
            <v>406573</v>
          </cell>
          <cell r="N34">
            <v>9298</v>
          </cell>
          <cell r="O34">
            <v>848</v>
          </cell>
          <cell r="P34">
            <v>290.02267799999998</v>
          </cell>
          <cell r="Q34">
            <v>0</v>
          </cell>
          <cell r="R34">
            <v>150681.29130510002</v>
          </cell>
          <cell r="S34">
            <v>11.330692317929923</v>
          </cell>
          <cell r="T34">
            <v>0.32701000000000002</v>
          </cell>
          <cell r="U34">
            <v>4.3546738327098905E-3</v>
          </cell>
          <cell r="V34">
            <v>1.2E-2</v>
          </cell>
          <cell r="W34">
            <v>0.32730000000000004</v>
          </cell>
          <cell r="X34">
            <v>9.6999999999999993</v>
          </cell>
          <cell r="Y34">
            <v>12.83</v>
          </cell>
          <cell r="AA34">
            <v>0</v>
          </cell>
          <cell r="AB34">
            <v>0</v>
          </cell>
          <cell r="AC34">
            <v>0.16537022826188527</v>
          </cell>
          <cell r="AD34">
            <v>5.4396611042993426E-2</v>
          </cell>
          <cell r="AE34">
            <v>3.4621005</v>
          </cell>
          <cell r="AF34">
            <v>0</v>
          </cell>
          <cell r="AG34">
            <v>7.5600745587530831</v>
          </cell>
          <cell r="AH34">
            <v>202304</v>
          </cell>
        </row>
        <row r="35">
          <cell r="C35">
            <v>45043</v>
          </cell>
          <cell r="D35">
            <v>382894</v>
          </cell>
          <cell r="E35">
            <v>36591</v>
          </cell>
          <cell r="F35">
            <v>17993</v>
          </cell>
          <cell r="G35">
            <v>2947</v>
          </cell>
          <cell r="H35">
            <v>2833</v>
          </cell>
          <cell r="I35">
            <v>191000</v>
          </cell>
          <cell r="J35">
            <v>185286</v>
          </cell>
          <cell r="K35">
            <v>40408.129999999997</v>
          </cell>
          <cell r="L35">
            <v>8671</v>
          </cell>
          <cell r="M35">
            <v>410435</v>
          </cell>
          <cell r="N35">
            <v>9403</v>
          </cell>
          <cell r="O35">
            <v>5449</v>
          </cell>
          <cell r="P35">
            <v>256.87543199999999</v>
          </cell>
          <cell r="Q35">
            <v>0</v>
          </cell>
          <cell r="R35">
            <v>153941.21659439997</v>
          </cell>
          <cell r="S35">
            <v>11.622638731179938</v>
          </cell>
          <cell r="T35">
            <v>0.32260299999999997</v>
          </cell>
          <cell r="U35">
            <v>4.6264303533655954E-3</v>
          </cell>
          <cell r="V35">
            <v>1.2E-2</v>
          </cell>
          <cell r="W35">
            <v>0.32552999999999999</v>
          </cell>
          <cell r="X35">
            <v>9.6999999999999993</v>
          </cell>
          <cell r="Y35">
            <v>12.91</v>
          </cell>
          <cell r="Z35">
            <v>0</v>
          </cell>
          <cell r="AB35">
            <v>0</v>
          </cell>
          <cell r="AC35">
            <v>0.17584745162779239</v>
          </cell>
          <cell r="AD35">
            <v>5.7086708934239845E-2</v>
          </cell>
          <cell r="AE35">
            <v>3.4598005000000001</v>
          </cell>
          <cell r="AF35">
            <v>1.3713835881375178</v>
          </cell>
          <cell r="AG35">
            <v>7.8191776041737437</v>
          </cell>
          <cell r="AH35">
            <v>202304</v>
          </cell>
          <cell r="AI35" t="str">
            <v>S-1 figures based on last monthly &amp; weekly reports with assumptions.Previous day data for ACG,BC-10,CPO-5,MECL,Vankor,GPOC,SPOC,SCB</v>
          </cell>
          <cell r="AJ35" t="str">
            <v>A1 &amp; A3: Shutdown activities completed &amp; resumed exporting gas@0200hrs
SPOC: Resumed export on 26th at 0905hrs to PS#1 after completion of pressure testing (Post leakage rectification)</v>
          </cell>
        </row>
        <row r="36">
          <cell r="C36">
            <v>45044</v>
          </cell>
          <cell r="D36">
            <v>377486</v>
          </cell>
          <cell r="E36">
            <v>35667</v>
          </cell>
          <cell r="F36">
            <v>17948</v>
          </cell>
          <cell r="G36">
            <v>2957</v>
          </cell>
          <cell r="H36">
            <v>2818</v>
          </cell>
          <cell r="I36">
            <v>191000</v>
          </cell>
          <cell r="J36">
            <v>182950</v>
          </cell>
          <cell r="K36">
            <v>41050.79</v>
          </cell>
          <cell r="L36">
            <v>9128</v>
          </cell>
          <cell r="M36">
            <v>404636</v>
          </cell>
          <cell r="N36">
            <v>9383</v>
          </cell>
          <cell r="O36">
            <v>7131</v>
          </cell>
          <cell r="P36">
            <v>274.17238200000003</v>
          </cell>
          <cell r="Q36">
            <v>0</v>
          </cell>
          <cell r="R36">
            <v>153635.29167189999</v>
          </cell>
          <cell r="S36">
            <v>13.694863612036913</v>
          </cell>
          <cell r="T36">
            <v>0.32181100000000001</v>
          </cell>
          <cell r="U36">
            <v>4.7228774419717564E-3</v>
          </cell>
          <cell r="V36">
            <v>1.2E-2</v>
          </cell>
          <cell r="W36">
            <v>0.32512000000000002</v>
          </cell>
          <cell r="X36">
            <v>9.6999999999999993</v>
          </cell>
          <cell r="Y36">
            <v>12.93</v>
          </cell>
          <cell r="Z36">
            <v>0</v>
          </cell>
          <cell r="AA36">
            <v>0</v>
          </cell>
          <cell r="AB36">
            <v>0</v>
          </cell>
          <cell r="AC36">
            <v>0.17698012442410666</v>
          </cell>
          <cell r="AD36">
            <v>5.7313243493502704E-2</v>
          </cell>
          <cell r="AE36">
            <v>3.4521004999999998</v>
          </cell>
          <cell r="AF36">
            <v>13.019167655395627</v>
          </cell>
          <cell r="AG36">
            <v>9.8485631711487418</v>
          </cell>
          <cell r="AH36">
            <v>202304</v>
          </cell>
        </row>
        <row r="37">
          <cell r="C37">
            <v>45045</v>
          </cell>
          <cell r="D37">
            <v>332157</v>
          </cell>
          <cell r="E37">
            <v>34786</v>
          </cell>
          <cell r="F37">
            <v>17965.599999999999</v>
          </cell>
          <cell r="G37">
            <v>2965</v>
          </cell>
          <cell r="H37">
            <v>2873</v>
          </cell>
          <cell r="I37">
            <v>191000</v>
          </cell>
          <cell r="J37">
            <v>186079</v>
          </cell>
          <cell r="K37">
            <v>40622.410000000003</v>
          </cell>
          <cell r="L37">
            <v>9133</v>
          </cell>
          <cell r="M37">
            <v>364463</v>
          </cell>
          <cell r="N37">
            <v>9547</v>
          </cell>
          <cell r="O37">
            <v>1112</v>
          </cell>
          <cell r="P37">
            <v>275.61903599999999</v>
          </cell>
          <cell r="Q37">
            <v>0</v>
          </cell>
          <cell r="R37">
            <v>149133.46401619999</v>
          </cell>
          <cell r="S37">
            <v>16.597054484393183</v>
          </cell>
          <cell r="T37">
            <v>0.31415999999999999</v>
          </cell>
          <cell r="U37">
            <v>4.4265702384559402E-3</v>
          </cell>
          <cell r="V37">
            <v>1.2E-2</v>
          </cell>
          <cell r="W37">
            <v>0.3281</v>
          </cell>
          <cell r="X37">
            <v>9.6999999999999993</v>
          </cell>
          <cell r="Y37">
            <v>13.14</v>
          </cell>
          <cell r="Z37">
            <v>0</v>
          </cell>
          <cell r="AA37">
            <v>0</v>
          </cell>
          <cell r="AB37">
            <v>0</v>
          </cell>
          <cell r="AC37">
            <v>0.17216626503977098</v>
          </cell>
          <cell r="AD37">
            <v>5.7568094872673413E-2</v>
          </cell>
          <cell r="AE37">
            <v>3.2738005000000001</v>
          </cell>
          <cell r="AF37">
            <v>15.827743121136523</v>
          </cell>
          <cell r="AG37">
            <v>10.367705840453056</v>
          </cell>
          <cell r="AH37">
            <v>202304</v>
          </cell>
          <cell r="AJ37" t="str">
            <v>_x000D_
ACG: CA gas outage</v>
          </cell>
        </row>
        <row r="38">
          <cell r="C38">
            <v>45046</v>
          </cell>
          <cell r="D38">
            <v>306532</v>
          </cell>
          <cell r="E38">
            <v>30107</v>
          </cell>
          <cell r="F38">
            <v>18155.93</v>
          </cell>
          <cell r="G38">
            <v>2968</v>
          </cell>
          <cell r="H38">
            <v>2815</v>
          </cell>
          <cell r="I38">
            <v>191000</v>
          </cell>
          <cell r="J38">
            <v>184929</v>
          </cell>
          <cell r="K38">
            <v>42203.88</v>
          </cell>
          <cell r="L38">
            <v>9137</v>
          </cell>
          <cell r="M38">
            <v>391358</v>
          </cell>
          <cell r="N38">
            <v>9386</v>
          </cell>
          <cell r="O38">
            <v>0</v>
          </cell>
          <cell r="P38">
            <v>251.71779599999999</v>
          </cell>
          <cell r="Q38">
            <v>0</v>
          </cell>
          <cell r="R38">
            <v>148054.79445819999</v>
          </cell>
          <cell r="S38">
            <v>22.704992538517953</v>
          </cell>
          <cell r="T38">
            <v>0.29611999999999999</v>
          </cell>
          <cell r="U38">
            <v>4.5464636539458069E-3</v>
          </cell>
          <cell r="V38">
            <v>1.2E-2</v>
          </cell>
          <cell r="W38">
            <v>0.32282</v>
          </cell>
          <cell r="X38">
            <v>9.6999999999999993</v>
          </cell>
          <cell r="Y38">
            <v>13.07</v>
          </cell>
          <cell r="Z38">
            <v>0</v>
          </cell>
          <cell r="AA38">
            <v>0</v>
          </cell>
          <cell r="AB38">
            <v>0</v>
          </cell>
          <cell r="AC38">
            <v>0.16763557385451383</v>
          </cell>
          <cell r="AD38">
            <v>5.3858591464744136E-2</v>
          </cell>
          <cell r="AE38">
            <v>3.0876002499999999</v>
          </cell>
          <cell r="AF38">
            <v>15.864413402917197</v>
          </cell>
          <cell r="AG38">
            <v>10.400993992903345</v>
          </cell>
          <cell r="AH38">
            <v>202304</v>
          </cell>
          <cell r="AJ38" t="str">
            <v>_x000D_
BC-10: Mobo intervention campaign ongoing_x000D_
ACG: CA Gas Outage(All GIC's are offline)</v>
          </cell>
        </row>
        <row r="39">
          <cell r="C39">
            <v>45047</v>
          </cell>
          <cell r="D39">
            <v>310020</v>
          </cell>
          <cell r="E39">
            <v>32478</v>
          </cell>
          <cell r="F39">
            <v>17943.810000000001</v>
          </cell>
          <cell r="G39">
            <v>2979</v>
          </cell>
          <cell r="H39">
            <v>2858</v>
          </cell>
          <cell r="I39">
            <v>191000</v>
          </cell>
          <cell r="J39">
            <v>186030</v>
          </cell>
          <cell r="K39">
            <v>42785.98</v>
          </cell>
          <cell r="L39">
            <v>8231</v>
          </cell>
          <cell r="M39">
            <v>363723</v>
          </cell>
          <cell r="N39">
            <v>9396</v>
          </cell>
          <cell r="O39">
            <v>4593</v>
          </cell>
          <cell r="P39">
            <v>254.98849199999998</v>
          </cell>
          <cell r="Q39">
            <v>0</v>
          </cell>
          <cell r="R39">
            <v>149623.13757140003</v>
          </cell>
          <cell r="S39">
            <v>22.884804344932846</v>
          </cell>
          <cell r="T39">
            <v>0.29760300000000001</v>
          </cell>
          <cell r="U39">
            <v>4.7059156668469498E-3</v>
          </cell>
          <cell r="V39">
            <v>1.2E-2</v>
          </cell>
          <cell r="W39">
            <v>0.32362999999999997</v>
          </cell>
          <cell r="X39">
            <v>6.968</v>
          </cell>
          <cell r="Y39">
            <v>13.277967</v>
          </cell>
          <cell r="Z39">
            <v>0</v>
          </cell>
          <cell r="AA39">
            <v>0</v>
          </cell>
          <cell r="AB39">
            <v>0</v>
          </cell>
          <cell r="AC39">
            <v>0.17726329262318524</v>
          </cell>
          <cell r="AD39">
            <v>6.2183736517654124E-2</v>
          </cell>
          <cell r="AE39">
            <v>2.82670025</v>
          </cell>
          <cell r="AF39">
            <v>15.886925274743945</v>
          </cell>
          <cell r="AG39">
            <v>9.804952217336826</v>
          </cell>
          <cell r="AH39">
            <v>202305</v>
          </cell>
          <cell r="AI39" t="str">
            <v>S-1 figures based on last monthly &amp; weekly reports with assumptions.Previous day data for ACG,BC-10,CPO-5,MECL,Vankor,SPOC,SCB,A1&amp;A3</v>
          </cell>
          <cell r="AJ39" t="str">
            <v xml:space="preserve">
B06.1: Production curtailed owing to Low gas demand(compressor maintainence also ongoing)
LZC: OPEC+ Quota for May is 350mbd
A1 &amp; A3: Shutdown activities completed &amp; resumed exporting gas
BC-10: Mobo intervention campaign ongoing
SCB: intermittent Pumping</v>
          </cell>
        </row>
        <row r="40">
          <cell r="C40">
            <v>45048</v>
          </cell>
          <cell r="D40">
            <v>334226</v>
          </cell>
          <cell r="E40">
            <v>31906</v>
          </cell>
          <cell r="F40">
            <v>17954.97</v>
          </cell>
          <cell r="G40">
            <v>3003</v>
          </cell>
          <cell r="H40">
            <v>2874</v>
          </cell>
          <cell r="I40">
            <v>191000</v>
          </cell>
          <cell r="J40">
            <v>184609</v>
          </cell>
          <cell r="K40">
            <v>41619.08</v>
          </cell>
          <cell r="L40">
            <v>8592</v>
          </cell>
          <cell r="M40">
            <v>339081</v>
          </cell>
          <cell r="N40">
            <v>9541</v>
          </cell>
          <cell r="O40">
            <v>7478</v>
          </cell>
          <cell r="P40">
            <v>265.303764</v>
          </cell>
          <cell r="Q40">
            <v>0</v>
          </cell>
          <cell r="R40">
            <v>149678.48629380003</v>
          </cell>
          <cell r="S40">
            <v>19.312071177158519</v>
          </cell>
          <cell r="T40">
            <v>0.29700799999999999</v>
          </cell>
          <cell r="U40">
            <v>4.5539392944014797E-3</v>
          </cell>
          <cell r="V40">
            <v>1.2E-2</v>
          </cell>
          <cell r="W40">
            <v>0.3211</v>
          </cell>
          <cell r="X40">
            <v>6.968</v>
          </cell>
          <cell r="Y40">
            <v>13.207454</v>
          </cell>
          <cell r="Z40">
            <v>0</v>
          </cell>
          <cell r="AB40">
            <v>0</v>
          </cell>
          <cell r="AC40">
            <v>0.17414844243332098</v>
          </cell>
          <cell r="AD40">
            <v>5.7313243493502704E-2</v>
          </cell>
          <cell r="AE40">
            <v>3.4328004999999999</v>
          </cell>
          <cell r="AF40">
            <v>15.861411820006964</v>
          </cell>
          <cell r="AG40">
            <v>9.9674086621646936</v>
          </cell>
          <cell r="AH40">
            <v>202305</v>
          </cell>
          <cell r="AI40" t="str">
            <v>S-1 figures based on last monthly &amp; weekly reports with assumptions.Previous day data for ACG,BC-10,CPO-5,MECL,SPOC,SCB,A1&amp;A3</v>
          </cell>
          <cell r="AJ40" t="str">
            <v>LZC: OPEC+ Quota for May is 350mbd
A1 &amp; A3: Shutdown activities completed &amp; resumed exporting gas
BC-10: Mobo intervention campaign ongoing
ACG: In Central Azeri, Gas Injection Compressors (GIC) Train: 2/3/4 are online, GIC Train:1 is under maintenance. Oil Production ramped up to 334 kbd
SCB: intermittent Pumping</v>
          </cell>
        </row>
        <row r="41">
          <cell r="C41">
            <v>45049</v>
          </cell>
          <cell r="D41">
            <v>368826</v>
          </cell>
          <cell r="E41">
            <v>30987</v>
          </cell>
          <cell r="F41">
            <v>17903.18</v>
          </cell>
          <cell r="G41">
            <v>3014</v>
          </cell>
          <cell r="H41">
            <v>2893</v>
          </cell>
          <cell r="I41">
            <v>191000</v>
          </cell>
          <cell r="J41">
            <v>183813</v>
          </cell>
          <cell r="K41">
            <v>40938.11</v>
          </cell>
          <cell r="L41">
            <v>9125</v>
          </cell>
          <cell r="M41">
            <v>388587</v>
          </cell>
          <cell r="N41">
            <v>9479</v>
          </cell>
          <cell r="O41">
            <v>2872</v>
          </cell>
          <cell r="P41">
            <v>277.44307799999996</v>
          </cell>
          <cell r="Q41">
            <v>0</v>
          </cell>
          <cell r="R41">
            <v>150105.72973510003</v>
          </cell>
          <cell r="S41">
            <v>13.519865665006355</v>
          </cell>
          <cell r="T41">
            <v>0.29601699999999997</v>
          </cell>
          <cell r="U41">
            <v>4.7870999895227766E-3</v>
          </cell>
          <cell r="V41">
            <v>1.2E-2</v>
          </cell>
          <cell r="W41">
            <v>0.31191000000000002</v>
          </cell>
          <cell r="X41">
            <v>6.968</v>
          </cell>
          <cell r="Y41">
            <v>13.070379999999998</v>
          </cell>
          <cell r="Z41">
            <v>0</v>
          </cell>
          <cell r="AB41">
            <v>0</v>
          </cell>
          <cell r="AC41">
            <v>0.17131676044253524</v>
          </cell>
          <cell r="AD41">
            <v>6.0484727323182698E-2</v>
          </cell>
          <cell r="AE41">
            <v>3.4295005000000001</v>
          </cell>
          <cell r="AF41">
            <v>15.805457783869038</v>
          </cell>
          <cell r="AG41">
            <v>9.7786350396900019</v>
          </cell>
          <cell r="AH41">
            <v>202305</v>
          </cell>
          <cell r="AJ41" t="str">
            <v>ACG:In Central Azeri, Gas Injection Compressors (GIC) Train 2/3/4 are online, GIC Train 1 is under maintenance. Oil Production ramped up to 369 kbd
LZC: OPEC+ Quota for May is 350kbd</v>
          </cell>
        </row>
        <row r="42">
          <cell r="C42">
            <v>45050</v>
          </cell>
          <cell r="D42">
            <v>372581</v>
          </cell>
          <cell r="E42">
            <v>34208</v>
          </cell>
          <cell r="F42">
            <v>17884.68</v>
          </cell>
          <cell r="G42">
            <v>3000</v>
          </cell>
          <cell r="H42">
            <v>2932</v>
          </cell>
          <cell r="I42">
            <v>191000</v>
          </cell>
          <cell r="J42">
            <v>176715</v>
          </cell>
          <cell r="K42">
            <v>40830.29</v>
          </cell>
          <cell r="L42">
            <v>9188</v>
          </cell>
          <cell r="M42">
            <v>386985</v>
          </cell>
          <cell r="N42">
            <v>9251</v>
          </cell>
          <cell r="O42">
            <v>1063</v>
          </cell>
          <cell r="P42">
            <v>283.41838799999999</v>
          </cell>
          <cell r="Q42">
            <v>0</v>
          </cell>
          <cell r="R42">
            <v>148413.88287459998</v>
          </cell>
          <cell r="S42">
            <v>13.989358539078628</v>
          </cell>
          <cell r="T42">
            <v>0.29619499999999999</v>
          </cell>
          <cell r="U42">
            <v>4.8630740173355568E-3</v>
          </cell>
          <cell r="V42">
            <v>1.2E-2</v>
          </cell>
          <cell r="W42">
            <v>0.32269999999999999</v>
          </cell>
          <cell r="X42">
            <v>6.968</v>
          </cell>
          <cell r="Y42">
            <v>13.299504000000001</v>
          </cell>
          <cell r="Z42">
            <v>0</v>
          </cell>
          <cell r="AA42">
            <v>0</v>
          </cell>
          <cell r="AB42">
            <v>0</v>
          </cell>
          <cell r="AC42">
            <v>0.17018408764622095</v>
          </cell>
          <cell r="AD42">
            <v>5.6661956635621985E-2</v>
          </cell>
          <cell r="AE42">
            <v>3.4216004999999998</v>
          </cell>
          <cell r="AF42">
            <v>15.818738372405825</v>
          </cell>
          <cell r="AG42">
            <v>9.8569928046691757</v>
          </cell>
          <cell r="AH42">
            <v>202305</v>
          </cell>
        </row>
        <row r="43">
          <cell r="C43">
            <v>45051</v>
          </cell>
          <cell r="D43">
            <v>341055</v>
          </cell>
          <cell r="E43">
            <v>31579</v>
          </cell>
          <cell r="F43">
            <v>17857.099999999999</v>
          </cell>
          <cell r="G43">
            <v>3017</v>
          </cell>
          <cell r="H43">
            <v>2912</v>
          </cell>
          <cell r="I43">
            <v>191000</v>
          </cell>
          <cell r="J43">
            <v>185107</v>
          </cell>
          <cell r="K43">
            <v>42571.16</v>
          </cell>
          <cell r="L43">
            <v>8985</v>
          </cell>
          <cell r="M43">
            <v>381805</v>
          </cell>
          <cell r="N43">
            <v>9380</v>
          </cell>
          <cell r="O43">
            <v>5736</v>
          </cell>
          <cell r="P43">
            <v>277.56887399999999</v>
          </cell>
          <cell r="Q43">
            <v>0</v>
          </cell>
          <cell r="R43">
            <v>151186.71774329999</v>
          </cell>
          <cell r="S43">
            <v>13.788025949533765</v>
          </cell>
          <cell r="T43">
            <v>0.29927300000000001</v>
          </cell>
          <cell r="U43">
            <v>4.9801640676545456E-3</v>
          </cell>
          <cell r="V43">
            <v>1.2E-2</v>
          </cell>
          <cell r="W43">
            <v>0.32189999999999996</v>
          </cell>
          <cell r="X43">
            <v>6.968</v>
          </cell>
          <cell r="Y43">
            <v>13.071717000000001</v>
          </cell>
          <cell r="Z43">
            <v>0</v>
          </cell>
          <cell r="AA43">
            <v>0</v>
          </cell>
          <cell r="AB43">
            <v>0</v>
          </cell>
          <cell r="AC43">
            <v>0.17075042404437812</v>
          </cell>
          <cell r="AD43">
            <v>5.6661956635621985E-2</v>
          </cell>
          <cell r="AE43">
            <v>3.4191004999999999</v>
          </cell>
          <cell r="AF43">
            <v>15.826044111942053</v>
          </cell>
          <cell r="AG43">
            <v>9.7934096976108691</v>
          </cell>
          <cell r="AH43">
            <v>202305</v>
          </cell>
        </row>
        <row r="44">
          <cell r="C44">
            <v>45052</v>
          </cell>
          <cell r="D44">
            <v>368773</v>
          </cell>
          <cell r="E44">
            <v>30761</v>
          </cell>
          <cell r="F44">
            <v>17853.419999999998</v>
          </cell>
          <cell r="G44">
            <v>3021</v>
          </cell>
          <cell r="H44">
            <v>2940</v>
          </cell>
          <cell r="I44">
            <v>191000</v>
          </cell>
          <cell r="J44">
            <v>184824</v>
          </cell>
          <cell r="K44">
            <v>42376.3</v>
          </cell>
          <cell r="L44">
            <v>8799</v>
          </cell>
          <cell r="M44">
            <v>381794</v>
          </cell>
          <cell r="N44">
            <v>9221</v>
          </cell>
          <cell r="O44">
            <v>842</v>
          </cell>
          <cell r="P44">
            <v>277.44307799999996</v>
          </cell>
          <cell r="Q44">
            <v>0</v>
          </cell>
          <cell r="R44">
            <v>149490.81343510002</v>
          </cell>
          <cell r="S44">
            <v>13.446241933245929</v>
          </cell>
          <cell r="T44">
            <v>0.30536999999999997</v>
          </cell>
          <cell r="U44">
            <v>4.6476396514765804E-3</v>
          </cell>
          <cell r="V44">
            <v>1.2E-2</v>
          </cell>
          <cell r="W44">
            <v>0.31580999999999998</v>
          </cell>
          <cell r="X44">
            <v>6.968</v>
          </cell>
          <cell r="Y44">
            <v>13.121687</v>
          </cell>
          <cell r="Z44">
            <v>0</v>
          </cell>
          <cell r="AA44">
            <v>0</v>
          </cell>
          <cell r="AB44">
            <v>0</v>
          </cell>
          <cell r="AC44">
            <v>0.17301576963700668</v>
          </cell>
          <cell r="AD44">
            <v>5.3094037327232002E-2</v>
          </cell>
          <cell r="AE44">
            <v>3.4103005</v>
          </cell>
          <cell r="AF44">
            <v>15.797217589275855</v>
          </cell>
          <cell r="AG44">
            <v>9.783791621181873</v>
          </cell>
          <cell r="AH44">
            <v>202305</v>
          </cell>
        </row>
        <row r="45">
          <cell r="C45">
            <v>45053</v>
          </cell>
          <cell r="D45">
            <v>353914</v>
          </cell>
          <cell r="E45">
            <v>30654</v>
          </cell>
          <cell r="F45">
            <v>17836.98</v>
          </cell>
          <cell r="G45">
            <v>3036</v>
          </cell>
          <cell r="H45">
            <v>2913</v>
          </cell>
          <cell r="I45">
            <v>191000</v>
          </cell>
          <cell r="J45">
            <v>184073</v>
          </cell>
          <cell r="K45">
            <v>40849.82</v>
          </cell>
          <cell r="L45">
            <v>8984</v>
          </cell>
          <cell r="M45">
            <v>375770</v>
          </cell>
          <cell r="N45">
            <v>9168</v>
          </cell>
          <cell r="O45">
            <v>5567</v>
          </cell>
          <cell r="P45">
            <v>286.50038999999998</v>
          </cell>
          <cell r="Q45">
            <v>0</v>
          </cell>
          <cell r="R45">
            <v>150202.70957549999</v>
          </cell>
          <cell r="S45">
            <v>12.751913509105274</v>
          </cell>
          <cell r="T45">
            <v>0.30693100000000001</v>
          </cell>
          <cell r="U45">
            <v>4.7196776413221692E-3</v>
          </cell>
          <cell r="V45">
            <v>1.2E-2</v>
          </cell>
          <cell r="W45">
            <v>0.31977</v>
          </cell>
          <cell r="X45">
            <v>6.968</v>
          </cell>
          <cell r="Y45">
            <v>13.204934999999999</v>
          </cell>
          <cell r="Z45">
            <v>0</v>
          </cell>
          <cell r="AA45">
            <v>0</v>
          </cell>
          <cell r="AB45">
            <v>0</v>
          </cell>
          <cell r="AC45">
            <v>0.17131676044253524</v>
          </cell>
          <cell r="AD45">
            <v>5.5784135218478421E-2</v>
          </cell>
          <cell r="AE45">
            <v>3.4034005000000001</v>
          </cell>
          <cell r="AF45">
            <v>15.749645331830653</v>
          </cell>
          <cell r="AG45">
            <v>9.7835258755565384</v>
          </cell>
          <cell r="AH45">
            <v>202305</v>
          </cell>
          <cell r="AI45" t="str">
            <v>S-1 figures based on last monthly &amp; weekly reports with assumptions.Previous day data for ACG,CPO-5,GPOC,SPOC</v>
          </cell>
          <cell r="AJ45" t="str">
            <v>ACG:WA Wells startup post CA gas outage
LZC: OPEC+ Quota for May is 350kbd</v>
          </cell>
        </row>
        <row r="46">
          <cell r="C46">
            <v>45054</v>
          </cell>
          <cell r="D46">
            <v>355948</v>
          </cell>
          <cell r="E46">
            <v>31447</v>
          </cell>
          <cell r="F46">
            <v>17864.07</v>
          </cell>
          <cell r="G46">
            <v>2972</v>
          </cell>
          <cell r="H46">
            <v>2890</v>
          </cell>
          <cell r="I46">
            <v>172000</v>
          </cell>
          <cell r="J46">
            <v>184378.08000000002</v>
          </cell>
          <cell r="K46">
            <v>41315.269999999997</v>
          </cell>
          <cell r="L46">
            <v>8942</v>
          </cell>
          <cell r="M46">
            <v>373453</v>
          </cell>
          <cell r="N46">
            <v>9233</v>
          </cell>
          <cell r="O46">
            <v>556</v>
          </cell>
          <cell r="P46">
            <v>269.392134</v>
          </cell>
          <cell r="Q46">
            <v>0</v>
          </cell>
          <cell r="R46">
            <v>144715.69006030002</v>
          </cell>
          <cell r="S46">
            <v>7.488099856433724</v>
          </cell>
          <cell r="T46">
            <v>0.30408800000000002</v>
          </cell>
          <cell r="U46">
            <v>4.5238101980195214E-3</v>
          </cell>
          <cell r="V46">
            <v>1.2E-2</v>
          </cell>
          <cell r="W46">
            <v>0.32055</v>
          </cell>
          <cell r="X46">
            <v>6.968</v>
          </cell>
          <cell r="Y46">
            <v>13.338633</v>
          </cell>
          <cell r="Z46">
            <v>0</v>
          </cell>
          <cell r="AA46">
            <v>0</v>
          </cell>
          <cell r="AB46">
            <v>0</v>
          </cell>
          <cell r="AC46">
            <v>0.17216626503977098</v>
          </cell>
          <cell r="AD46">
            <v>5.9776806825486271E-2</v>
          </cell>
          <cell r="AE46">
            <v>3.4064005000000002</v>
          </cell>
          <cell r="AF46">
            <v>15.822362925354028</v>
          </cell>
          <cell r="AG46">
            <v>9.7119710480169879</v>
          </cell>
          <cell r="AH46">
            <v>202305</v>
          </cell>
          <cell r="AI46" t="str">
            <v>S-1 figures based on last monthly &amp; weekly reports with assumptions.Previous day data for CPO-5,I.E.,Vankor,SCB</v>
          </cell>
          <cell r="AJ46" t="str">
            <v>velocity</v>
          </cell>
        </row>
        <row r="47">
          <cell r="C47">
            <v>45055</v>
          </cell>
          <cell r="D47">
            <v>372007</v>
          </cell>
          <cell r="E47">
            <v>26472</v>
          </cell>
          <cell r="F47">
            <v>17916.599999999999</v>
          </cell>
          <cell r="G47">
            <v>2973</v>
          </cell>
          <cell r="H47">
            <v>2823</v>
          </cell>
          <cell r="I47">
            <v>172000</v>
          </cell>
          <cell r="J47">
            <v>184154.88</v>
          </cell>
          <cell r="K47">
            <v>41310.14</v>
          </cell>
          <cell r="L47">
            <v>8966</v>
          </cell>
          <cell r="M47">
            <v>359176</v>
          </cell>
          <cell r="N47">
            <v>9257</v>
          </cell>
          <cell r="O47">
            <v>4744</v>
          </cell>
          <cell r="P47">
            <v>272.22254399999997</v>
          </cell>
          <cell r="Q47">
            <v>0</v>
          </cell>
          <cell r="R47">
            <v>144768.18314480002</v>
          </cell>
          <cell r="S47">
            <v>9.8737919336706792</v>
          </cell>
          <cell r="T47">
            <v>0.265179</v>
          </cell>
          <cell r="U47">
            <v>4.4053609403449552E-3</v>
          </cell>
          <cell r="V47">
            <v>1.2E-2</v>
          </cell>
          <cell r="W47">
            <v>0.32114999999999999</v>
          </cell>
          <cell r="X47">
            <v>6.968</v>
          </cell>
          <cell r="Y47">
            <v>13.188585</v>
          </cell>
          <cell r="AB47">
            <v>0</v>
          </cell>
          <cell r="AC47">
            <v>0.16848507845174954</v>
          </cell>
          <cell r="AD47">
            <v>6.0852845981984836E-2</v>
          </cell>
          <cell r="AE47">
            <v>3.3922005</v>
          </cell>
          <cell r="AF47">
            <v>15.777367498520446</v>
          </cell>
          <cell r="AG47">
            <v>9.7040659730969967</v>
          </cell>
          <cell r="AH47">
            <v>202305</v>
          </cell>
          <cell r="AJ47" t="str">
            <v xml:space="preserve">
BC-10:deferment due to MOBO campaign</v>
          </cell>
        </row>
        <row r="48">
          <cell r="C48">
            <v>45056</v>
          </cell>
          <cell r="D48">
            <v>363857</v>
          </cell>
          <cell r="E48">
            <v>21050</v>
          </cell>
          <cell r="F48">
            <v>17836.05</v>
          </cell>
          <cell r="G48">
            <v>2996</v>
          </cell>
          <cell r="H48">
            <v>2881</v>
          </cell>
          <cell r="I48">
            <v>172000</v>
          </cell>
          <cell r="J48">
            <v>183611.76</v>
          </cell>
          <cell r="K48">
            <v>43756.86</v>
          </cell>
          <cell r="L48">
            <v>8928</v>
          </cell>
          <cell r="M48">
            <v>374665</v>
          </cell>
          <cell r="N48">
            <v>6214</v>
          </cell>
          <cell r="O48">
            <v>902</v>
          </cell>
          <cell r="P48">
            <v>262.66204799999997</v>
          </cell>
          <cell r="Q48">
            <v>0</v>
          </cell>
          <cell r="R48">
            <v>142334.1222216</v>
          </cell>
          <cell r="S48">
            <v>7.4773394648687352</v>
          </cell>
          <cell r="T48">
            <v>0.214279</v>
          </cell>
          <cell r="U48">
            <v>4.6326883705652315E-3</v>
          </cell>
          <cell r="V48">
            <v>1.2E-2</v>
          </cell>
          <cell r="W48">
            <v>0.31874000000000002</v>
          </cell>
          <cell r="X48">
            <v>6.968</v>
          </cell>
          <cell r="Y48">
            <v>13.168697</v>
          </cell>
          <cell r="AB48">
            <v>0</v>
          </cell>
          <cell r="AC48">
            <v>0.13846924934942104</v>
          </cell>
          <cell r="AD48">
            <v>5.7086708934239845E-2</v>
          </cell>
          <cell r="AE48">
            <v>3.3925005000000001</v>
          </cell>
          <cell r="AF48">
            <v>15.768277799330022</v>
          </cell>
          <cell r="AG48">
            <v>9.6213247253860992</v>
          </cell>
          <cell r="AH48">
            <v>202305</v>
          </cell>
          <cell r="AI48" t="str">
            <v>S-1 figures based on last monthly &amp; weekly reports with assumptions.Previous day data for ACG,BC-10,CPO-5,Vankor</v>
          </cell>
          <cell r="AJ48" t="str">
            <v>BC-10:deferment due to MOBO campaign</v>
          </cell>
        </row>
        <row r="49">
          <cell r="C49">
            <v>45057</v>
          </cell>
          <cell r="D49">
            <v>363959</v>
          </cell>
          <cell r="E49">
            <v>15252</v>
          </cell>
          <cell r="F49">
            <v>17790.150000000001</v>
          </cell>
          <cell r="G49">
            <v>2993</v>
          </cell>
          <cell r="H49">
            <v>2907</v>
          </cell>
          <cell r="I49">
            <v>172000</v>
          </cell>
          <cell r="J49">
            <v>181186.32</v>
          </cell>
          <cell r="K49">
            <v>43138.070000000007</v>
          </cell>
          <cell r="L49">
            <v>8903</v>
          </cell>
          <cell r="M49">
            <v>365425</v>
          </cell>
          <cell r="N49">
            <v>9018</v>
          </cell>
          <cell r="O49">
            <v>509</v>
          </cell>
          <cell r="P49">
            <v>272.09674799999999</v>
          </cell>
          <cell r="Q49">
            <v>0</v>
          </cell>
          <cell r="R49">
            <v>139757.93088660002</v>
          </cell>
          <cell r="S49">
            <v>7.2391950094436552</v>
          </cell>
          <cell r="T49">
            <v>0.17521999999999999</v>
          </cell>
          <cell r="U49">
            <v>4.5967260092822535E-3</v>
          </cell>
          <cell r="V49">
            <v>1.2E-2</v>
          </cell>
          <cell r="W49">
            <v>0.31889000000000001</v>
          </cell>
          <cell r="X49">
            <v>6.968</v>
          </cell>
          <cell r="Y49">
            <v>13.165925999999999</v>
          </cell>
          <cell r="AB49">
            <v>0</v>
          </cell>
          <cell r="AC49">
            <v>0.16055636887754957</v>
          </cell>
          <cell r="AD49">
            <v>5.816274809073841E-2</v>
          </cell>
          <cell r="AE49">
            <v>3.3911004999999999</v>
          </cell>
          <cell r="AF49">
            <v>15.765332850059607</v>
          </cell>
          <cell r="AG49">
            <v>9.6064113822476056</v>
          </cell>
          <cell r="AH49">
            <v>202305</v>
          </cell>
          <cell r="AI49" t="str">
            <v>S-1 figures based on last monthly &amp; weekly reports with assumptions.Previous day data for ACG,BC-10,CPO-5,Vankor,MECL,SPOC,SCB</v>
          </cell>
          <cell r="AJ49" t="str">
            <v>BC-10:deferment due to MOBO campaign</v>
          </cell>
        </row>
        <row r="50">
          <cell r="C50">
            <v>45058</v>
          </cell>
          <cell r="D50">
            <v>366047</v>
          </cell>
          <cell r="E50">
            <v>16283</v>
          </cell>
          <cell r="F50">
            <v>17905.21</v>
          </cell>
          <cell r="G50">
            <v>2977</v>
          </cell>
          <cell r="H50">
            <v>2876</v>
          </cell>
          <cell r="I50">
            <v>172000</v>
          </cell>
          <cell r="J50">
            <v>181521.12</v>
          </cell>
          <cell r="K50">
            <v>43534.720000000001</v>
          </cell>
          <cell r="L50">
            <v>8994</v>
          </cell>
          <cell r="M50">
            <v>353045</v>
          </cell>
          <cell r="N50">
            <v>9004</v>
          </cell>
          <cell r="O50">
            <v>5092</v>
          </cell>
          <cell r="P50">
            <v>258.070494</v>
          </cell>
          <cell r="Q50">
            <v>0</v>
          </cell>
          <cell r="R50">
            <v>141664.38812230001</v>
          </cell>
          <cell r="S50">
            <v>7.0942128915154266</v>
          </cell>
          <cell r="T50">
            <v>0.15842600000000001</v>
          </cell>
          <cell r="U50">
            <v>4.8043732496665693E-3</v>
          </cell>
          <cell r="V50">
            <v>1.2E-2</v>
          </cell>
          <cell r="W50">
            <v>0.31877</v>
          </cell>
          <cell r="X50">
            <v>6.968</v>
          </cell>
          <cell r="Y50">
            <v>13.191987999999998</v>
          </cell>
          <cell r="AB50">
            <v>0</v>
          </cell>
          <cell r="AC50">
            <v>0.18774051598909236</v>
          </cell>
          <cell r="AD50">
            <v>5.8417599469909133E-2</v>
          </cell>
          <cell r="AE50">
            <v>3.3744005000000001</v>
          </cell>
          <cell r="AF50">
            <v>3.3553449413417074</v>
          </cell>
          <cell r="AG50">
            <v>7.4912086406436273</v>
          </cell>
          <cell r="AH50">
            <v>202305</v>
          </cell>
        </row>
        <row r="51">
          <cell r="C51">
            <v>45059</v>
          </cell>
          <cell r="D51">
            <v>373640</v>
          </cell>
          <cell r="E51">
            <v>15239</v>
          </cell>
          <cell r="F51">
            <v>18270.82</v>
          </cell>
          <cell r="G51">
            <v>2933</v>
          </cell>
          <cell r="H51">
            <v>2790</v>
          </cell>
          <cell r="I51">
            <v>172000</v>
          </cell>
          <cell r="J51">
            <v>182227.92</v>
          </cell>
          <cell r="K51">
            <v>43017.17</v>
          </cell>
          <cell r="L51">
            <v>9198</v>
          </cell>
          <cell r="M51">
            <v>363755</v>
          </cell>
          <cell r="N51">
            <v>9315</v>
          </cell>
          <cell r="O51">
            <v>628</v>
          </cell>
          <cell r="P51">
            <v>264.61188599999997</v>
          </cell>
          <cell r="Q51">
            <v>0</v>
          </cell>
          <cell r="R51">
            <v>140489.3825487</v>
          </cell>
          <cell r="S51">
            <v>7.3292424967506458</v>
          </cell>
          <cell r="T51">
            <v>0.15516099999999999</v>
          </cell>
          <cell r="U51">
            <v>4.6697267710047088E-3</v>
          </cell>
          <cell r="V51">
            <v>1.2E-2</v>
          </cell>
          <cell r="W51">
            <v>0.31886000000000003</v>
          </cell>
          <cell r="X51">
            <v>6.968</v>
          </cell>
          <cell r="Y51">
            <v>13.131442999999999</v>
          </cell>
          <cell r="AB51">
            <v>0</v>
          </cell>
          <cell r="AC51">
            <v>0.16933458304898527</v>
          </cell>
          <cell r="AD51">
            <v>5.3320571886494854E-2</v>
          </cell>
          <cell r="AE51">
            <v>3.3526004999999999</v>
          </cell>
          <cell r="AF51">
            <v>0</v>
          </cell>
          <cell r="AG51">
            <v>6.8957282183046296</v>
          </cell>
          <cell r="AH51">
            <v>202305</v>
          </cell>
          <cell r="AJ51" t="str">
            <v>CPO-5:Indico-5 choke changes from 42 to 46/64.</v>
          </cell>
        </row>
        <row r="52">
          <cell r="C52">
            <v>45060</v>
          </cell>
          <cell r="D52">
            <v>370978</v>
          </cell>
          <cell r="E52">
            <v>15528</v>
          </cell>
          <cell r="F52">
            <v>18271.82</v>
          </cell>
          <cell r="G52">
            <v>2966</v>
          </cell>
          <cell r="H52">
            <v>2928</v>
          </cell>
          <cell r="I52">
            <v>172000</v>
          </cell>
          <cell r="J52">
            <v>181826.16</v>
          </cell>
          <cell r="K52">
            <v>42273.090000000004</v>
          </cell>
          <cell r="L52">
            <v>9066</v>
          </cell>
          <cell r="M52">
            <v>370747</v>
          </cell>
          <cell r="N52">
            <v>9311</v>
          </cell>
          <cell r="O52">
            <v>229</v>
          </cell>
          <cell r="P52">
            <v>253.66763399999996</v>
          </cell>
          <cell r="Q52">
            <v>0</v>
          </cell>
          <cell r="R52">
            <v>140453.5128353</v>
          </cell>
          <cell r="S52">
            <v>9.5843940342123783</v>
          </cell>
          <cell r="T52">
            <v>0.177651</v>
          </cell>
          <cell r="U52">
            <v>4.7848063271102399E-3</v>
          </cell>
          <cell r="V52">
            <v>1.2E-2</v>
          </cell>
          <cell r="W52">
            <v>0.31773000000000001</v>
          </cell>
          <cell r="X52">
            <v>6.968</v>
          </cell>
          <cell r="Y52">
            <v>13.152818</v>
          </cell>
          <cell r="AB52">
            <v>0</v>
          </cell>
          <cell r="AC52">
            <v>0.16168904167386386</v>
          </cell>
          <cell r="AD52">
            <v>5.4396611042993426E-2</v>
          </cell>
          <cell r="AE52">
            <v>3.3552005</v>
          </cell>
          <cell r="AF52">
            <v>0</v>
          </cell>
          <cell r="AG52">
            <v>6.9591619806206051</v>
          </cell>
          <cell r="AH52">
            <v>202305</v>
          </cell>
          <cell r="AI52" t="str">
            <v>S-1 figures based on last monthly &amp; weekly reports with assumptions.Previous day data for ACG,CPO-5.</v>
          </cell>
          <cell r="AJ52" t="str">
            <v xml:space="preserve">
CPO-5:Indico-5 choke changed from 42 to 46/64.
A1-A3:s/d due to cyclone.FM declared.
BC-10:Deferment due to MOBO campaign</v>
          </cell>
        </row>
        <row r="53">
          <cell r="C53">
            <v>45061</v>
          </cell>
          <cell r="D53">
            <v>370029</v>
          </cell>
          <cell r="E53">
            <v>14610</v>
          </cell>
          <cell r="F53">
            <v>18232.14</v>
          </cell>
          <cell r="G53">
            <v>2950</v>
          </cell>
          <cell r="H53">
            <v>2896</v>
          </cell>
          <cell r="I53">
            <v>189000</v>
          </cell>
          <cell r="J53">
            <v>181900.56</v>
          </cell>
          <cell r="K53">
            <v>43518.68</v>
          </cell>
          <cell r="L53">
            <v>8980</v>
          </cell>
          <cell r="M53">
            <v>384846</v>
          </cell>
          <cell r="N53">
            <v>9313</v>
          </cell>
          <cell r="O53">
            <v>7551</v>
          </cell>
          <cell r="P53">
            <v>270.27270599999997</v>
          </cell>
          <cell r="Q53">
            <v>0</v>
          </cell>
          <cell r="R53">
            <v>147326.40121769998</v>
          </cell>
          <cell r="S53">
            <v>7.2762900435229527</v>
          </cell>
          <cell r="T53">
            <v>0.18330099999999999</v>
          </cell>
          <cell r="U53">
            <v>4.7680994033646035E-3</v>
          </cell>
          <cell r="V53">
            <v>1.2E-2</v>
          </cell>
          <cell r="W53">
            <v>0.32195999999999997</v>
          </cell>
          <cell r="X53">
            <v>6.968</v>
          </cell>
          <cell r="Y53">
            <v>13.197951</v>
          </cell>
          <cell r="AB53">
            <v>0</v>
          </cell>
          <cell r="AC53">
            <v>0.15942369608123527</v>
          </cell>
          <cell r="AD53">
            <v>5.7086708934239845E-2</v>
          </cell>
          <cell r="AE53">
            <v>3.3240004999999999</v>
          </cell>
          <cell r="AF53">
            <v>0</v>
          </cell>
          <cell r="AG53">
            <v>6.9101100147303676</v>
          </cell>
          <cell r="AH53">
            <v>202305</v>
          </cell>
          <cell r="AI53" t="str">
            <v>S-1 figures based on last monthly &amp; weekly reports with assumptions.Previous day data for ACG,BC-10,CPO-5,SPOC</v>
          </cell>
          <cell r="AJ53" t="str">
            <v xml:space="preserve">
A1-A3: S/d due to cyclone.FM declared.
BC-10: Deferment due to MOBO campaign
CPO-5:Indico-5 choke changed from 42 to 46/64.
Sakh-1:Prodcution updated based on latest weekly report.Production curtailment due to ongoing work of exhaust header on GIC #1 turbine at Odoptu and the activity to be completed by this week</v>
          </cell>
        </row>
        <row r="54">
          <cell r="C54">
            <v>45062</v>
          </cell>
          <cell r="D54">
            <v>376696</v>
          </cell>
          <cell r="E54">
            <v>14843</v>
          </cell>
          <cell r="F54">
            <v>18176.419999999998</v>
          </cell>
          <cell r="G54">
            <v>2945</v>
          </cell>
          <cell r="H54">
            <v>2403</v>
          </cell>
          <cell r="I54">
            <v>189000</v>
          </cell>
          <cell r="J54">
            <v>183195</v>
          </cell>
          <cell r="K54">
            <v>45157.1</v>
          </cell>
          <cell r="L54">
            <v>9161</v>
          </cell>
          <cell r="M54">
            <v>365927</v>
          </cell>
          <cell r="N54">
            <v>8391</v>
          </cell>
          <cell r="O54">
            <v>679</v>
          </cell>
          <cell r="P54">
            <v>253.03865399999995</v>
          </cell>
          <cell r="R54">
            <v>144183.9052443</v>
          </cell>
          <cell r="S54">
            <v>7.2683613339487536</v>
          </cell>
          <cell r="T54">
            <v>0.172462</v>
          </cell>
          <cell r="U54">
            <v>4.91192053167661E-3</v>
          </cell>
          <cell r="V54">
            <v>1.2E-2</v>
          </cell>
          <cell r="W54">
            <v>0.17036999999999999</v>
          </cell>
          <cell r="X54">
            <v>6.968</v>
          </cell>
          <cell r="Y54">
            <v>13.250941000000001</v>
          </cell>
          <cell r="AB54">
            <v>0</v>
          </cell>
          <cell r="AC54">
            <v>0.17131676044253524</v>
          </cell>
          <cell r="AD54">
            <v>5.9238787247236982E-2</v>
          </cell>
          <cell r="AE54">
            <v>3.3328004999999998</v>
          </cell>
          <cell r="AF54">
            <v>0</v>
          </cell>
          <cell r="AG54">
            <v>6.7754174747339642</v>
          </cell>
          <cell r="AH54">
            <v>202305</v>
          </cell>
          <cell r="AI54" t="str">
            <v>S-1 figures based on last monthly &amp; weekly reports with assumptions.Previous day data for ACG,CPO-5,MECL,SPOC.</v>
          </cell>
          <cell r="AJ54" t="str">
            <v xml:space="preserve">
A1-A3: S/d due to cyclone.FM declared.
BC-10: Deferment due to MOBO campaign
Sakh-1:Production curtailment due to ongoing work of exhaust header on GIC #1 turbine at Odoptu and the activity to be completed by this week
IEC: S/D of APG plant for planned maintenance.
SCB:Intermittent pumping</v>
          </cell>
        </row>
        <row r="55">
          <cell r="C55">
            <v>45063</v>
          </cell>
          <cell r="D55">
            <v>378160</v>
          </cell>
          <cell r="E55">
            <v>16195</v>
          </cell>
          <cell r="F55">
            <v>18256.27</v>
          </cell>
          <cell r="G55">
            <v>2925</v>
          </cell>
          <cell r="H55">
            <v>2297</v>
          </cell>
          <cell r="I55">
            <v>189000</v>
          </cell>
          <cell r="J55">
            <v>180858.96000000002</v>
          </cell>
          <cell r="K55">
            <v>43541.19</v>
          </cell>
          <cell r="L55">
            <v>9115</v>
          </cell>
          <cell r="M55">
            <v>357333</v>
          </cell>
          <cell r="N55">
            <v>9106</v>
          </cell>
          <cell r="O55">
            <v>6371</v>
          </cell>
          <cell r="P55">
            <v>257.00122799999997</v>
          </cell>
          <cell r="Q55">
            <v>0</v>
          </cell>
          <cell r="R55">
            <v>145513.6864026</v>
          </cell>
          <cell r="S55">
            <v>7.4730919418825543</v>
          </cell>
          <cell r="T55">
            <v>0.16312499999999999</v>
          </cell>
          <cell r="U55">
            <v>4.341364927353198E-3</v>
          </cell>
          <cell r="V55">
            <v>1.2E-2</v>
          </cell>
          <cell r="W55">
            <v>0.13979</v>
          </cell>
          <cell r="X55">
            <v>6.968</v>
          </cell>
          <cell r="Y55">
            <v>13.288001</v>
          </cell>
          <cell r="AB55">
            <v>0</v>
          </cell>
          <cell r="AC55">
            <v>0.16112270527570671</v>
          </cell>
          <cell r="AD55">
            <v>5.7086708934239845E-2</v>
          </cell>
          <cell r="AE55">
            <v>3.3161005000000001</v>
          </cell>
          <cell r="AF55">
            <v>0.11315401235179684</v>
          </cell>
          <cell r="AG55">
            <v>6.7660209775604629</v>
          </cell>
          <cell r="AH55">
            <v>202305</v>
          </cell>
          <cell r="AI55" t="str">
            <v>S-1 figures based on last monthly &amp; weekly reports with assumptions.Previous day data for ACG,BC-10,CPO-5,Vankor,SPOC,SCB,A1&amp;A3</v>
          </cell>
          <cell r="AJ55" t="str">
            <v>A1-A3: S/d due to cyclone.FM declared.
BC-10: Deferment due to MOBO campaign
Sakh-1:Production curtailment due to ongoing work on GIC
Imperial: S/D of APG plant for planned maintenance.
SCB:Intermittent pumping
LZC:Quota for may is 350k bopd.</v>
          </cell>
        </row>
        <row r="56">
          <cell r="C56">
            <v>45064</v>
          </cell>
          <cell r="D56">
            <v>357814</v>
          </cell>
          <cell r="E56">
            <v>15805</v>
          </cell>
          <cell r="F56">
            <v>17999.189999999999</v>
          </cell>
          <cell r="G56">
            <v>2905</v>
          </cell>
          <cell r="H56">
            <v>2353</v>
          </cell>
          <cell r="I56">
            <v>189000</v>
          </cell>
          <cell r="J56">
            <v>178158.24000000002</v>
          </cell>
          <cell r="K56">
            <v>42465.54</v>
          </cell>
          <cell r="L56">
            <v>9079</v>
          </cell>
          <cell r="M56">
            <v>339887</v>
          </cell>
          <cell r="N56">
            <v>9120</v>
          </cell>
          <cell r="O56">
            <v>932</v>
          </cell>
          <cell r="P56">
            <v>259.831638</v>
          </cell>
          <cell r="Q56">
            <v>0</v>
          </cell>
          <cell r="R56">
            <v>140954.02678709998</v>
          </cell>
          <cell r="S56">
            <v>7.7038740241315953</v>
          </cell>
          <cell r="T56">
            <v>0.18210000000000001</v>
          </cell>
          <cell r="U56">
            <v>4.1832154881678166E-3</v>
          </cell>
          <cell r="V56">
            <v>1.2E-2</v>
          </cell>
          <cell r="W56">
            <v>0.13883000000000001</v>
          </cell>
          <cell r="X56">
            <v>6.968</v>
          </cell>
          <cell r="Y56">
            <v>13.189328999999999</v>
          </cell>
          <cell r="AB56">
            <v>0</v>
          </cell>
          <cell r="AC56">
            <v>0.16423755546557098</v>
          </cell>
          <cell r="AD56">
            <v>5.3235621426771282E-2</v>
          </cell>
          <cell r="AE56">
            <v>3.3160004999999999</v>
          </cell>
          <cell r="AF56">
            <v>5.0885608542618224</v>
          </cell>
          <cell r="AG56">
            <v>7.5943262306955877</v>
          </cell>
          <cell r="AH56">
            <v>202305</v>
          </cell>
          <cell r="AI56" t="str">
            <v>S-1 figures based on last monthly &amp; weekly reports with assumptions.Previous day data for ACG,CPO-5,Vankor,SPOC,SCB</v>
          </cell>
          <cell r="AJ56" t="str">
            <v>A1-A3: Reactivation started.Export started on 18-05.
BC-10: Deferment due to MOBO campaign
Sakh-1:Production curtailment due to ongoing work on GIC
Imperial: S/D of APG plant for planned maintenance.
SCB:Intermittent pumping
LZC:Quota for may is 350k bopd.
CPO-5:Flash fire incident around flare.ESP closed to control the situation.</v>
          </cell>
        </row>
        <row r="57">
          <cell r="C57">
            <v>45065</v>
          </cell>
          <cell r="D57">
            <v>352867</v>
          </cell>
          <cell r="E57">
            <v>17667</v>
          </cell>
          <cell r="F57">
            <v>17470.240000000002</v>
          </cell>
          <cell r="G57">
            <v>2921</v>
          </cell>
          <cell r="H57">
            <v>2339</v>
          </cell>
          <cell r="I57">
            <v>189000</v>
          </cell>
          <cell r="J57">
            <v>180152.16</v>
          </cell>
          <cell r="K57">
            <v>42686.71</v>
          </cell>
          <cell r="L57">
            <v>9067</v>
          </cell>
          <cell r="M57">
            <v>348463</v>
          </cell>
          <cell r="N57">
            <v>8025</v>
          </cell>
          <cell r="O57">
            <v>6147</v>
          </cell>
          <cell r="P57">
            <v>249.32767199999998</v>
          </cell>
          <cell r="Q57">
            <v>0</v>
          </cell>
          <cell r="R57">
            <v>143840.90600239998</v>
          </cell>
          <cell r="S57">
            <v>7.1610405864979727</v>
          </cell>
          <cell r="T57">
            <v>0.196133</v>
          </cell>
          <cell r="U57">
            <v>3.3776302786091908E-3</v>
          </cell>
          <cell r="V57">
            <v>1.2E-2</v>
          </cell>
          <cell r="W57">
            <v>0.13816999999999999</v>
          </cell>
          <cell r="X57">
            <v>6.968</v>
          </cell>
          <cell r="Y57">
            <v>13.02511</v>
          </cell>
          <cell r="AB57">
            <v>0</v>
          </cell>
          <cell r="AC57">
            <v>0.16197220987294242</v>
          </cell>
          <cell r="AD57">
            <v>5.6208887517096282E-2</v>
          </cell>
          <cell r="AE57">
            <v>3.2958004999999999</v>
          </cell>
          <cell r="AF57">
            <v>10.746629590510468</v>
          </cell>
          <cell r="AG57">
            <v>8.4953766422227712</v>
          </cell>
          <cell r="AH57">
            <v>202305</v>
          </cell>
        </row>
        <row r="58">
          <cell r="C58">
            <v>45066</v>
          </cell>
          <cell r="D58">
            <v>366490</v>
          </cell>
          <cell r="E58">
            <v>17717</v>
          </cell>
          <cell r="F58">
            <v>18208.12</v>
          </cell>
          <cell r="G58">
            <v>2917</v>
          </cell>
          <cell r="H58">
            <v>2578</v>
          </cell>
          <cell r="I58">
            <v>189000</v>
          </cell>
          <cell r="J58">
            <v>180263.76</v>
          </cell>
          <cell r="K58">
            <v>40922.789999999994</v>
          </cell>
          <cell r="L58">
            <v>9036</v>
          </cell>
          <cell r="M58">
            <v>371506</v>
          </cell>
          <cell r="N58">
            <v>9344</v>
          </cell>
          <cell r="O58">
            <v>978</v>
          </cell>
          <cell r="P58">
            <v>245.17640399999996</v>
          </cell>
          <cell r="Q58">
            <v>0</v>
          </cell>
          <cell r="R58">
            <v>143500.51248179999</v>
          </cell>
          <cell r="S58">
            <v>7.377381090594004</v>
          </cell>
          <cell r="T58">
            <v>0.19365599999999999</v>
          </cell>
          <cell r="U58">
            <v>4.7645881176960302E-3</v>
          </cell>
          <cell r="V58">
            <v>1.2E-2</v>
          </cell>
          <cell r="W58">
            <v>0.21246999999999999</v>
          </cell>
          <cell r="X58">
            <v>6.968</v>
          </cell>
          <cell r="Y58">
            <v>13.077776</v>
          </cell>
          <cell r="AB58">
            <v>0</v>
          </cell>
          <cell r="AC58">
            <v>0.14469894972914962</v>
          </cell>
          <cell r="AD58">
            <v>5.9068886327789838E-2</v>
          </cell>
          <cell r="AE58">
            <v>3.2888004999999998</v>
          </cell>
          <cell r="AF58">
            <v>12.790112899160972</v>
          </cell>
          <cell r="AG58">
            <v>8.9321554517337951</v>
          </cell>
          <cell r="AH58">
            <v>202305</v>
          </cell>
        </row>
        <row r="59">
          <cell r="C59">
            <v>45067</v>
          </cell>
          <cell r="D59">
            <v>366091</v>
          </cell>
          <cell r="E59">
            <v>19371</v>
          </cell>
          <cell r="F59">
            <v>16968.66</v>
          </cell>
          <cell r="G59">
            <v>2943</v>
          </cell>
          <cell r="H59">
            <v>2856</v>
          </cell>
          <cell r="I59">
            <v>189000</v>
          </cell>
          <cell r="J59">
            <v>183433.2</v>
          </cell>
          <cell r="K59">
            <v>41459.58</v>
          </cell>
          <cell r="L59">
            <v>8995</v>
          </cell>
          <cell r="M59">
            <v>362185</v>
          </cell>
          <cell r="N59">
            <v>8143.0000000000009</v>
          </cell>
          <cell r="O59">
            <v>5566</v>
          </cell>
          <cell r="P59">
            <v>204.544296</v>
          </cell>
          <cell r="Q59">
            <v>0</v>
          </cell>
          <cell r="R59">
            <v>145621.5797832</v>
          </cell>
          <cell r="S59">
            <v>7.2573177741846866</v>
          </cell>
          <cell r="T59">
            <v>0.201125</v>
          </cell>
          <cell r="U59">
            <v>4.504781295041442E-3</v>
          </cell>
          <cell r="V59">
            <v>1.2E-2</v>
          </cell>
          <cell r="W59">
            <v>0.33032</v>
          </cell>
          <cell r="X59">
            <v>6.968</v>
          </cell>
          <cell r="Y59">
            <v>12.982498</v>
          </cell>
          <cell r="AB59">
            <v>0</v>
          </cell>
          <cell r="AC59">
            <v>0.16168904167386386</v>
          </cell>
          <cell r="AD59">
            <v>5.402849238419128E-2</v>
          </cell>
          <cell r="AE59">
            <v>3.2708005</v>
          </cell>
          <cell r="AF59">
            <v>15.340410650522301</v>
          </cell>
          <cell r="AG59">
            <v>9.4495978446167879</v>
          </cell>
          <cell r="AH59">
            <v>202305</v>
          </cell>
          <cell r="AI59" t="str">
            <v>S-1 figures based on last monthly &amp; weekly reports with assumptions.Previous day data for ACG,CPO-5.</v>
          </cell>
          <cell r="AJ59" t="str">
            <v>BC-10:deferment due to MOBO campaign</v>
          </cell>
        </row>
        <row r="60">
          <cell r="C60">
            <v>45068</v>
          </cell>
          <cell r="D60">
            <v>372237</v>
          </cell>
          <cell r="E60">
            <v>18723</v>
          </cell>
          <cell r="F60">
            <v>12756.49</v>
          </cell>
          <cell r="G60">
            <v>2956</v>
          </cell>
          <cell r="H60">
            <v>2682</v>
          </cell>
          <cell r="I60">
            <v>189000</v>
          </cell>
          <cell r="J60">
            <v>183812.64</v>
          </cell>
          <cell r="K60">
            <v>44072.68</v>
          </cell>
          <cell r="L60">
            <v>8381</v>
          </cell>
          <cell r="M60">
            <v>354144</v>
          </cell>
          <cell r="N60">
            <v>9064</v>
          </cell>
          <cell r="O60">
            <v>975</v>
          </cell>
          <cell r="P60">
            <v>237.12546</v>
          </cell>
          <cell r="Q60">
            <v>0</v>
          </cell>
          <cell r="R60">
            <v>141034.30680700002</v>
          </cell>
          <cell r="S60">
            <v>7.1856762198178119</v>
          </cell>
          <cell r="T60">
            <v>0.23827899999999999</v>
          </cell>
          <cell r="U60">
            <v>4.0022993257765177E-3</v>
          </cell>
          <cell r="V60">
            <v>1.2E-2</v>
          </cell>
          <cell r="W60">
            <v>0.33057999999999998</v>
          </cell>
          <cell r="X60">
            <v>6.968</v>
          </cell>
          <cell r="Y60">
            <v>13.018044</v>
          </cell>
          <cell r="AB60">
            <v>0</v>
          </cell>
          <cell r="AC60">
            <v>0.16565339646096383</v>
          </cell>
          <cell r="AD60">
            <v>5.9918390925025558E-2</v>
          </cell>
          <cell r="AE60">
            <v>3.2649005</v>
          </cell>
          <cell r="AF60">
            <v>15.404718148533048</v>
          </cell>
          <cell r="AG60">
            <v>9.4781940404371685</v>
          </cell>
          <cell r="AH60">
            <v>202305</v>
          </cell>
          <cell r="AJ60" t="str">
            <v xml:space="preserve">
IEC:Well 6r (South maiskoye) due to ESP jam. WOR being mobilised.
CPO-5:Restricted availability of tankers due to USO workers union strike.Wells operations being managed to optimize production while managing the ullage in storage tanks.</v>
          </cell>
        </row>
        <row r="61">
          <cell r="C61">
            <v>45069</v>
          </cell>
          <cell r="D61">
            <v>411275</v>
          </cell>
          <cell r="E61">
            <v>18566</v>
          </cell>
          <cell r="F61">
            <v>12736.39</v>
          </cell>
          <cell r="G61">
            <v>2961</v>
          </cell>
          <cell r="H61">
            <v>2555</v>
          </cell>
          <cell r="I61">
            <v>189000</v>
          </cell>
          <cell r="J61">
            <v>184132.56</v>
          </cell>
          <cell r="K61">
            <v>45474.579999999994</v>
          </cell>
          <cell r="L61">
            <v>7627</v>
          </cell>
          <cell r="M61">
            <v>350514</v>
          </cell>
          <cell r="N61">
            <v>7104</v>
          </cell>
          <cell r="O61">
            <v>5534</v>
          </cell>
          <cell r="P61">
            <v>253.73053200000001</v>
          </cell>
          <cell r="Q61">
            <v>0</v>
          </cell>
          <cell r="R61">
            <v>143477.14858940002</v>
          </cell>
          <cell r="S61">
            <v>8.760657743092823</v>
          </cell>
          <cell r="T61">
            <v>0.239649</v>
          </cell>
          <cell r="U61">
            <v>4.0216963474134001E-3</v>
          </cell>
          <cell r="V61">
            <v>1.2E-2</v>
          </cell>
          <cell r="W61">
            <v>0.32407999999999998</v>
          </cell>
          <cell r="X61">
            <v>6.968</v>
          </cell>
          <cell r="Y61">
            <v>12.96083</v>
          </cell>
          <cell r="AB61">
            <v>0</v>
          </cell>
          <cell r="AC61">
            <v>0.15036231371072101</v>
          </cell>
          <cell r="AD61">
            <v>5.9918390925025558E-2</v>
          </cell>
          <cell r="AE61">
            <v>3.2735004999999999</v>
          </cell>
          <cell r="AF61">
            <v>15.463503866661759</v>
          </cell>
          <cell r="AG61">
            <v>9.5057655045193226</v>
          </cell>
          <cell r="AH61">
            <v>202305</v>
          </cell>
          <cell r="AI61" t="str">
            <v>S-1 figures based on last monthly &amp; weekly reports with assumptions.Previous day data for ACG,BC-10,CPO-5,MECL,Vankor,SPOC</v>
          </cell>
          <cell r="AJ61" t="str">
            <v>BC-10:Deferment due to MOBO campaign. Full ramp expected by 01 June.
IEC:Well 6r (South maiskoye) due to ESP jam. WOR being mobilised.
CPO-5:Restricted availability of tankers due to USO workers union strike.Wells operations being managed to optimize production while managing the ullage in storage tanks.</v>
          </cell>
        </row>
        <row r="62">
          <cell r="C62">
            <v>45070</v>
          </cell>
          <cell r="D62">
            <v>408062</v>
          </cell>
          <cell r="E62">
            <v>20057</v>
          </cell>
          <cell r="F62">
            <v>13205.95</v>
          </cell>
          <cell r="G62">
            <v>2952</v>
          </cell>
          <cell r="H62">
            <v>2658</v>
          </cell>
          <cell r="I62">
            <v>189000</v>
          </cell>
          <cell r="J62">
            <v>184117.68000000002</v>
          </cell>
          <cell r="K62">
            <v>46075.09</v>
          </cell>
          <cell r="L62">
            <v>7614</v>
          </cell>
          <cell r="M62">
            <v>348882</v>
          </cell>
          <cell r="N62">
            <v>7537</v>
          </cell>
          <cell r="O62">
            <v>1063</v>
          </cell>
          <cell r="P62">
            <v>251.15171399999997</v>
          </cell>
          <cell r="Q62">
            <v>0</v>
          </cell>
          <cell r="R62">
            <v>142568.60227130001</v>
          </cell>
          <cell r="S62">
            <v>10.759258892189372</v>
          </cell>
          <cell r="T62">
            <v>0.25021100000000002</v>
          </cell>
          <cell r="U62">
            <v>3.7590861595879336E-3</v>
          </cell>
          <cell r="V62">
            <v>1.2E-2</v>
          </cell>
          <cell r="W62">
            <v>0.32788999999999996</v>
          </cell>
          <cell r="X62">
            <v>6.968</v>
          </cell>
          <cell r="Y62">
            <v>13.060227999999999</v>
          </cell>
          <cell r="AB62">
            <v>0</v>
          </cell>
          <cell r="AC62">
            <v>0.14668112712269959</v>
          </cell>
          <cell r="AD62">
            <v>5.9918390925025558E-2</v>
          </cell>
          <cell r="AE62">
            <v>3.2550005</v>
          </cell>
          <cell r="AF62">
            <v>15.464976341296966</v>
          </cell>
          <cell r="AG62">
            <v>9.5757749740952764</v>
          </cell>
          <cell r="AH62">
            <v>202305</v>
          </cell>
          <cell r="AI62" t="str">
            <v>S-1 figures based on last monthly &amp; weekly reports with assumptions.Previous day data for ACG,CPO-5,GPOC,SPOC,SCB.</v>
          </cell>
          <cell r="AJ62" t="str">
            <v xml:space="preserve">
BC-10:Deferment due to MOBO campaign. Full ramp up expected by 01 June.
IEC:Well 6r (South maiskoye) closed due to ESP jam. WOR being mobilised.
CPO-5:Restricted availability of tankers due to USO workers union strike.Wells operations being managed to optimize production while managing the ullage in storage tanks.</v>
          </cell>
        </row>
        <row r="63">
          <cell r="C63">
            <v>45071</v>
          </cell>
          <cell r="D63">
            <v>366918</v>
          </cell>
          <cell r="E63">
            <v>18937</v>
          </cell>
          <cell r="F63">
            <v>15324.71</v>
          </cell>
          <cell r="G63">
            <v>2969</v>
          </cell>
          <cell r="H63">
            <v>2646</v>
          </cell>
          <cell r="I63">
            <v>189000</v>
          </cell>
          <cell r="J63">
            <v>184154.88</v>
          </cell>
          <cell r="K63">
            <v>45939.33</v>
          </cell>
          <cell r="L63">
            <v>7560</v>
          </cell>
          <cell r="M63">
            <v>347429</v>
          </cell>
          <cell r="N63">
            <v>8786</v>
          </cell>
          <cell r="O63">
            <v>5732</v>
          </cell>
          <cell r="P63">
            <v>237.31415399999997</v>
          </cell>
          <cell r="Q63">
            <v>0</v>
          </cell>
          <cell r="R63">
            <v>144698.75546929997</v>
          </cell>
          <cell r="S63">
            <v>10.78757571209723</v>
          </cell>
          <cell r="T63">
            <v>0.24354100000000001</v>
          </cell>
          <cell r="U63">
            <v>4.2299099241958722E-3</v>
          </cell>
          <cell r="V63">
            <v>1.2E-2</v>
          </cell>
          <cell r="W63">
            <v>0.32025999999999999</v>
          </cell>
          <cell r="X63">
            <v>6.968</v>
          </cell>
          <cell r="Y63">
            <v>13.316769000000001</v>
          </cell>
          <cell r="AB63">
            <v>0</v>
          </cell>
          <cell r="AC63">
            <v>0.15630884589137101</v>
          </cell>
          <cell r="AD63">
            <v>6.1022746901431973E-2</v>
          </cell>
          <cell r="AE63">
            <v>3.2570005000000002</v>
          </cell>
          <cell r="AF63">
            <v>15.880837158463756</v>
          </cell>
          <cell r="AG63">
            <v>9.7071255596438455</v>
          </cell>
          <cell r="AH63">
            <v>202305</v>
          </cell>
          <cell r="AI63" t="str">
            <v>S-1 figures based on last monthly/weekly report.Previous day data for BC-10,GPOC(DPR not recvd from field),SPOC(DPR not recvd from Heglig)</v>
          </cell>
          <cell r="AJ63" t="str">
            <v xml:space="preserve">
BC-10:Deferment due to MOBO campaign. Full ramp up expected by 01 June
CPO-5:Production being revamped after lifting of strike.</v>
          </cell>
        </row>
        <row r="64">
          <cell r="C64">
            <v>45072</v>
          </cell>
          <cell r="D64">
            <v>343323</v>
          </cell>
          <cell r="E64">
            <v>20987</v>
          </cell>
          <cell r="F64">
            <v>17676.349999999999</v>
          </cell>
          <cell r="G64">
            <v>2950</v>
          </cell>
          <cell r="H64">
            <v>2685</v>
          </cell>
          <cell r="I64">
            <v>189000</v>
          </cell>
          <cell r="J64">
            <v>184854.24000000002</v>
          </cell>
          <cell r="K64">
            <v>45808.27</v>
          </cell>
          <cell r="L64">
            <v>7565</v>
          </cell>
          <cell r="M64">
            <v>344784</v>
          </cell>
          <cell r="N64">
            <v>8809</v>
          </cell>
          <cell r="O64">
            <v>1534</v>
          </cell>
          <cell r="P64">
            <v>263.41682400000002</v>
          </cell>
          <cell r="Q64">
            <v>0</v>
          </cell>
          <cell r="R64">
            <v>144762.41002079999</v>
          </cell>
          <cell r="S64">
            <v>9.3168000860831324</v>
          </cell>
          <cell r="T64">
            <v>0.241871</v>
          </cell>
          <cell r="U64">
            <v>4.22651190580693E-3</v>
          </cell>
          <cell r="V64">
            <v>1.2E-2</v>
          </cell>
          <cell r="W64">
            <v>0.32083</v>
          </cell>
          <cell r="X64">
            <v>6.968</v>
          </cell>
          <cell r="Y64">
            <v>13.235933000000001</v>
          </cell>
          <cell r="AB64">
            <v>0</v>
          </cell>
          <cell r="AC64">
            <v>0.1534771639005853</v>
          </cell>
          <cell r="AD64">
            <v>5.816274809073841E-2</v>
          </cell>
          <cell r="AE64">
            <v>3.2337004999999999</v>
          </cell>
          <cell r="AF64">
            <v>15.900658932399256</v>
          </cell>
          <cell r="AG64">
            <v>9.6436792210958195</v>
          </cell>
          <cell r="AH64">
            <v>202305</v>
          </cell>
        </row>
        <row r="65">
          <cell r="C65">
            <v>45073</v>
          </cell>
          <cell r="D65">
            <v>343323</v>
          </cell>
          <cell r="E65">
            <v>22660</v>
          </cell>
          <cell r="F65">
            <v>18323.509999999998</v>
          </cell>
          <cell r="G65">
            <v>2936</v>
          </cell>
          <cell r="H65">
            <v>2694</v>
          </cell>
          <cell r="I65">
            <v>189000</v>
          </cell>
          <cell r="J65">
            <v>184809.60000000001</v>
          </cell>
          <cell r="K65">
            <v>44213.760000000002</v>
          </cell>
          <cell r="L65">
            <v>7641</v>
          </cell>
          <cell r="M65">
            <v>329427</v>
          </cell>
          <cell r="N65">
            <v>8849</v>
          </cell>
          <cell r="O65">
            <v>5430</v>
          </cell>
          <cell r="P65">
            <v>269.95821599999999</v>
          </cell>
          <cell r="Q65">
            <v>0</v>
          </cell>
          <cell r="R65">
            <v>146228.69674720001</v>
          </cell>
          <cell r="S65">
            <v>9.3168000860831324</v>
          </cell>
          <cell r="T65">
            <v>0.25197599999999998</v>
          </cell>
          <cell r="U65">
            <v>4.6422594556940876E-3</v>
          </cell>
          <cell r="V65">
            <v>1.2E-2</v>
          </cell>
          <cell r="W65">
            <v>0.31914999999999999</v>
          </cell>
          <cell r="X65">
            <v>6.968</v>
          </cell>
          <cell r="Y65">
            <v>13.051994000000001</v>
          </cell>
          <cell r="AB65">
            <v>0</v>
          </cell>
          <cell r="AC65">
            <v>0.15404350029874245</v>
          </cell>
          <cell r="AD65">
            <v>5.9295420887052697E-2</v>
          </cell>
          <cell r="AE65">
            <v>3.2394004999999999</v>
          </cell>
          <cell r="AF65">
            <v>15.873871220766423</v>
          </cell>
          <cell r="AG65">
            <v>9.5957209095254807</v>
          </cell>
          <cell r="AH65">
            <v>202305</v>
          </cell>
        </row>
        <row r="66">
          <cell r="C66">
            <v>45074</v>
          </cell>
          <cell r="D66">
            <v>335687</v>
          </cell>
          <cell r="E66">
            <v>23767</v>
          </cell>
          <cell r="F66">
            <v>18221.439999999999</v>
          </cell>
          <cell r="G66">
            <v>2921</v>
          </cell>
          <cell r="H66">
            <v>2810</v>
          </cell>
          <cell r="I66">
            <v>189000</v>
          </cell>
          <cell r="J66">
            <v>184846.80000000002</v>
          </cell>
          <cell r="K66">
            <v>45907.38</v>
          </cell>
          <cell r="L66">
            <v>7597</v>
          </cell>
          <cell r="M66">
            <v>279880</v>
          </cell>
          <cell r="N66">
            <v>8934</v>
          </cell>
          <cell r="O66">
            <v>798</v>
          </cell>
          <cell r="P66">
            <v>263.79421199999996</v>
          </cell>
          <cell r="Q66">
            <v>0</v>
          </cell>
          <cell r="R66">
            <v>142982.6043454</v>
          </cell>
          <cell r="S66">
            <v>6.1920390092511033</v>
          </cell>
          <cell r="T66">
            <v>0.25436199999999998</v>
          </cell>
          <cell r="U66">
            <v>4.8063554270601199E-3</v>
          </cell>
          <cell r="V66">
            <v>1.2E-2</v>
          </cell>
          <cell r="W66">
            <v>0.3175</v>
          </cell>
          <cell r="X66">
            <v>6.968</v>
          </cell>
          <cell r="Y66">
            <v>12.871735000000001</v>
          </cell>
          <cell r="AB66">
            <v>0</v>
          </cell>
          <cell r="AC66">
            <v>0.15234449110427101</v>
          </cell>
          <cell r="AD66">
            <v>5.816274809073841E-2</v>
          </cell>
          <cell r="AE66">
            <v>3.2368005000000002</v>
          </cell>
          <cell r="AF66">
            <v>15.91606328242913</v>
          </cell>
          <cell r="AG66">
            <v>9.4811433661833604</v>
          </cell>
          <cell r="AH66">
            <v>202305</v>
          </cell>
          <cell r="AI66" t="str">
            <v>S-1 figures based on last monthly/weekly rep.Previous day data for BC-10,CPO-5,GPOC(DPR not recvd from field),ACG(not uploaded by operator on sharepoint)</v>
          </cell>
          <cell r="AJ66" t="str">
            <v xml:space="preserve">
BC-10:Deferment due to MOBO campaign. Full ramp up expected by 01 June
LZC:Curtailment  to meet May quota(350 kbopd)</v>
          </cell>
        </row>
        <row r="67">
          <cell r="C67">
            <v>45075</v>
          </cell>
          <cell r="D67">
            <v>339108</v>
          </cell>
          <cell r="E67">
            <v>23736</v>
          </cell>
          <cell r="F67">
            <v>18170.36</v>
          </cell>
          <cell r="G67">
            <v>2941</v>
          </cell>
          <cell r="H67">
            <v>2814</v>
          </cell>
          <cell r="I67">
            <v>152000</v>
          </cell>
          <cell r="J67">
            <v>177287.76</v>
          </cell>
          <cell r="K67">
            <v>45634.59</v>
          </cell>
          <cell r="L67">
            <v>7608</v>
          </cell>
          <cell r="M67">
            <v>253728</v>
          </cell>
          <cell r="N67">
            <v>9030</v>
          </cell>
          <cell r="O67">
            <v>6065</v>
          </cell>
          <cell r="P67">
            <v>227.69076000000001</v>
          </cell>
          <cell r="Q67">
            <v>0</v>
          </cell>
          <cell r="R67">
            <v>134655.64274199997</v>
          </cell>
          <cell r="S67">
            <v>6.8011338054691119</v>
          </cell>
          <cell r="T67">
            <v>0.248637</v>
          </cell>
          <cell r="U67">
            <v>4.8070067139180002E-3</v>
          </cell>
          <cell r="V67">
            <v>1.2E-2</v>
          </cell>
          <cell r="W67">
            <v>0.31627999999999995</v>
          </cell>
          <cell r="X67">
            <v>6.968</v>
          </cell>
          <cell r="Y67">
            <v>13.314225</v>
          </cell>
          <cell r="AB67">
            <v>0</v>
          </cell>
          <cell r="AC67">
            <v>0.15206132290519245</v>
          </cell>
          <cell r="AD67">
            <v>5.9295420887052697E-2</v>
          </cell>
          <cell r="AE67">
            <v>3.2192004999999999</v>
          </cell>
          <cell r="AF67">
            <v>15.912948432239265</v>
          </cell>
          <cell r="AG67">
            <v>9.5994679579611475</v>
          </cell>
          <cell r="AH67">
            <v>202305</v>
          </cell>
          <cell r="AI67" t="str">
            <v>S-1 figures based on last monthly/weekly rep.Previous day data for BC-10,CPO-5,GPOC(delay from NCPF heglig),ACG(not uploaded by operator on sharepoint)</v>
          </cell>
          <cell r="AJ67" t="str">
            <v xml:space="preserve">
BC-10:Deferment due to MOBO campaign. Full ramp up expected by 01 June
LZC:Curtailment  to meet May quota(350 kbopd)</v>
          </cell>
        </row>
        <row r="68">
          <cell r="C68">
            <v>45076</v>
          </cell>
          <cell r="D68">
            <v>348648</v>
          </cell>
          <cell r="E68">
            <v>23610</v>
          </cell>
          <cell r="F68">
            <v>18302.98</v>
          </cell>
          <cell r="G68">
            <v>2938</v>
          </cell>
          <cell r="H68">
            <v>2620</v>
          </cell>
          <cell r="I68">
            <v>152000</v>
          </cell>
          <cell r="J68">
            <v>185174.16</v>
          </cell>
          <cell r="K68">
            <v>44281.93</v>
          </cell>
          <cell r="L68">
            <v>7567</v>
          </cell>
          <cell r="M68">
            <v>270479</v>
          </cell>
          <cell r="N68">
            <v>9163</v>
          </cell>
          <cell r="O68">
            <v>993</v>
          </cell>
          <cell r="P68">
            <v>246.81175199999998</v>
          </cell>
          <cell r="Q68">
            <v>0</v>
          </cell>
          <cell r="R68">
            <v>135106.21293839999</v>
          </cell>
          <cell r="S68">
            <v>8.0051649879511899</v>
          </cell>
          <cell r="T68">
            <v>0.24454500000000001</v>
          </cell>
          <cell r="U68">
            <v>4.6359731216745427E-3</v>
          </cell>
          <cell r="V68">
            <v>1.2E-2</v>
          </cell>
          <cell r="W68">
            <v>0.32113999999999998</v>
          </cell>
          <cell r="X68">
            <v>6.968</v>
          </cell>
          <cell r="Y68">
            <v>13.131181</v>
          </cell>
          <cell r="AB68">
            <v>0</v>
          </cell>
          <cell r="AC68">
            <v>0.15687518228952815</v>
          </cell>
          <cell r="AD68">
            <v>5.3886908284652001E-2</v>
          </cell>
          <cell r="AE68">
            <v>3.2161005</v>
          </cell>
          <cell r="AF68">
            <v>15.918526845761113</v>
          </cell>
          <cell r="AG68">
            <v>9.5812445245519431</v>
          </cell>
          <cell r="AH68">
            <v>202305</v>
          </cell>
          <cell r="AI68" t="str">
            <v>S-1 figures based on last monthly/weekly rep.Previous day data for ACG,BC-10,CPO-5,MECL,GPOC(delay from NCPF heglig),ACG(not uploaded by operator)</v>
          </cell>
          <cell r="AJ68" t="str">
            <v xml:space="preserve">
BC-10:Deferment due to MOBO campaign. Full ramp up expected by 01 June
LZC:Curtailment  to meet May quota(350 kbopd)</v>
          </cell>
        </row>
        <row r="69">
          <cell r="C69">
            <v>45077</v>
          </cell>
          <cell r="D69">
            <v>354792</v>
          </cell>
          <cell r="E69">
            <v>23478</v>
          </cell>
          <cell r="F69">
            <v>18160.05</v>
          </cell>
          <cell r="G69">
            <v>2908</v>
          </cell>
          <cell r="H69">
            <v>2613</v>
          </cell>
          <cell r="I69">
            <v>152000</v>
          </cell>
          <cell r="J69">
            <v>184437.6</v>
          </cell>
          <cell r="K69">
            <v>44204.9</v>
          </cell>
          <cell r="L69">
            <v>7633</v>
          </cell>
          <cell r="M69">
            <v>287577</v>
          </cell>
          <cell r="N69">
            <v>8995</v>
          </cell>
          <cell r="O69">
            <v>5197</v>
          </cell>
          <cell r="P69">
            <v>249.516366</v>
          </cell>
          <cell r="Q69">
            <v>0</v>
          </cell>
          <cell r="R69">
            <v>137243.86481469998</v>
          </cell>
          <cell r="S69">
            <v>11.67955553919473</v>
          </cell>
          <cell r="T69">
            <v>0.244926</v>
          </cell>
          <cell r="U69">
            <v>4.6913325045944039E-3</v>
          </cell>
          <cell r="V69">
            <v>1.2E-2</v>
          </cell>
          <cell r="W69">
            <v>0.31529000000000001</v>
          </cell>
          <cell r="X69">
            <v>6.968</v>
          </cell>
          <cell r="Y69">
            <v>13.073879999999999</v>
          </cell>
          <cell r="AB69">
            <v>0</v>
          </cell>
          <cell r="AC69">
            <v>0.15772468688676386</v>
          </cell>
          <cell r="AD69">
            <v>5.4934630621242708E-2</v>
          </cell>
          <cell r="AE69">
            <v>3.2059004999999998</v>
          </cell>
          <cell r="AF69">
            <v>15.876617952297485</v>
          </cell>
          <cell r="AG69">
            <v>9.6343143304052283</v>
          </cell>
          <cell r="AH69">
            <v>202305</v>
          </cell>
          <cell r="AI69" t="str">
            <v>Previous day data for BC-10,CPO-5,MECL,GPOC (not recvd from ncpf heglig since 28th may),Vankor(not recvd from operator).    S-1 data based on weekly/monthly.</v>
          </cell>
          <cell r="AJ69" t="str">
            <v xml:space="preserve">
BC-10:Deferment due to MOBO campaign.
LZC:Curtailment  to meet May quota(350 kbopd)</v>
          </cell>
        </row>
        <row r="70">
          <cell r="C70">
            <v>45078</v>
          </cell>
          <cell r="D70">
            <v>367584</v>
          </cell>
          <cell r="E70">
            <v>24975</v>
          </cell>
          <cell r="F70">
            <v>18118.810000000001</v>
          </cell>
          <cell r="G70">
            <v>2886</v>
          </cell>
          <cell r="H70">
            <v>2639</v>
          </cell>
          <cell r="I70">
            <v>152000</v>
          </cell>
          <cell r="J70">
            <v>186401.76</v>
          </cell>
          <cell r="K70">
            <v>41016.720000000001</v>
          </cell>
          <cell r="L70">
            <v>7609</v>
          </cell>
          <cell r="M70">
            <v>295791</v>
          </cell>
          <cell r="N70">
            <v>8808</v>
          </cell>
          <cell r="O70">
            <v>496</v>
          </cell>
          <cell r="P70">
            <v>252.34677599999998</v>
          </cell>
          <cell r="Q70">
            <v>0</v>
          </cell>
          <cell r="R70">
            <v>136066.3922992</v>
          </cell>
          <cell r="S70">
            <v>10.420023389693243</v>
          </cell>
          <cell r="T70">
            <v>0.24562600000000001</v>
          </cell>
          <cell r="U70">
            <v>4.513276341013798E-3</v>
          </cell>
          <cell r="V70">
            <v>1.2E-2</v>
          </cell>
          <cell r="W70">
            <v>0.31758999999999998</v>
          </cell>
          <cell r="X70">
            <v>5.67</v>
          </cell>
          <cell r="Y70">
            <v>12.971073000000001</v>
          </cell>
          <cell r="AB70">
            <v>0</v>
          </cell>
          <cell r="AC70">
            <v>0.15319399570150674</v>
          </cell>
          <cell r="AD70">
            <v>5.1508295412392005E-2</v>
          </cell>
          <cell r="AE70">
            <v>3.1988004999999999</v>
          </cell>
          <cell r="AF70">
            <v>15.898931606384876</v>
          </cell>
          <cell r="AG70">
            <v>9.3199830895181748</v>
          </cell>
          <cell r="AH70">
            <v>202306</v>
          </cell>
          <cell r="AJ70" t="str">
            <v>S-1:Production curtailment due to planned activities on LP Compressor No.2 at Berkut platform, during which it was shut down, and the work has been completed.</v>
          </cell>
        </row>
        <row r="71">
          <cell r="C71">
            <v>45079</v>
          </cell>
          <cell r="D71">
            <v>363903</v>
          </cell>
          <cell r="E71">
            <v>33906</v>
          </cell>
          <cell r="F71">
            <v>18107.47</v>
          </cell>
          <cell r="G71">
            <v>2961</v>
          </cell>
          <cell r="H71">
            <v>2644</v>
          </cell>
          <cell r="I71">
            <v>152000</v>
          </cell>
          <cell r="J71">
            <v>186342.24000000002</v>
          </cell>
          <cell r="K71">
            <v>38999.019999999997</v>
          </cell>
          <cell r="L71">
            <v>7532</v>
          </cell>
          <cell r="M71">
            <v>335412</v>
          </cell>
          <cell r="N71">
            <v>9013</v>
          </cell>
          <cell r="O71">
            <v>4739</v>
          </cell>
          <cell r="P71">
            <v>241.21383</v>
          </cell>
          <cell r="Q71">
            <v>0</v>
          </cell>
          <cell r="R71">
            <v>141188.3969235</v>
          </cell>
          <cell r="S71">
            <v>10.065213636247799</v>
          </cell>
          <cell r="T71">
            <v>0.27798499999999998</v>
          </cell>
          <cell r="U71">
            <v>4.7052926968089775E-3</v>
          </cell>
          <cell r="V71">
            <v>1.2E-2</v>
          </cell>
          <cell r="W71">
            <v>0.31736999999999999</v>
          </cell>
          <cell r="X71">
            <v>5.67</v>
          </cell>
          <cell r="Y71">
            <v>13.032879000000001</v>
          </cell>
          <cell r="AB71">
            <v>0</v>
          </cell>
          <cell r="AC71">
            <v>0.16225537807202101</v>
          </cell>
          <cell r="AD71">
            <v>5.5359382919860568E-2</v>
          </cell>
          <cell r="AE71">
            <v>3.1969004999999999</v>
          </cell>
          <cell r="AF71">
            <v>15.870926271496005</v>
          </cell>
          <cell r="AG71">
            <v>9.3334291657952768</v>
          </cell>
          <cell r="AH71">
            <v>202306</v>
          </cell>
        </row>
        <row r="72">
          <cell r="C72">
            <v>45080</v>
          </cell>
          <cell r="D72">
            <v>357775</v>
          </cell>
          <cell r="E72">
            <v>28516</v>
          </cell>
          <cell r="F72">
            <v>18093.11</v>
          </cell>
          <cell r="G72">
            <v>2995</v>
          </cell>
          <cell r="H72">
            <v>2653</v>
          </cell>
          <cell r="I72">
            <v>152000</v>
          </cell>
          <cell r="J72">
            <v>186364.56</v>
          </cell>
          <cell r="K72">
            <v>40105.18</v>
          </cell>
          <cell r="L72">
            <v>7160</v>
          </cell>
          <cell r="M72">
            <v>341133</v>
          </cell>
          <cell r="N72">
            <v>6811</v>
          </cell>
          <cell r="O72">
            <v>931</v>
          </cell>
          <cell r="P72">
            <v>269.26633800000002</v>
          </cell>
          <cell r="Q72">
            <v>0</v>
          </cell>
          <cell r="R72">
            <v>138276.12995209999</v>
          </cell>
          <cell r="S72">
            <v>11.016375616952715</v>
          </cell>
          <cell r="T72">
            <v>0.27461600000000003</v>
          </cell>
          <cell r="U72">
            <v>4.8376455130583014E-3</v>
          </cell>
          <cell r="V72">
            <v>1.2E-2</v>
          </cell>
          <cell r="W72">
            <v>0.32006000000000001</v>
          </cell>
          <cell r="X72">
            <v>5.67</v>
          </cell>
          <cell r="Y72">
            <v>12.982191</v>
          </cell>
          <cell r="AB72">
            <v>0</v>
          </cell>
          <cell r="AC72">
            <v>0.14781379991901389</v>
          </cell>
          <cell r="AD72">
            <v>5.6435422076359133E-2</v>
          </cell>
          <cell r="AE72">
            <v>3.1715005000000001</v>
          </cell>
          <cell r="AF72">
            <v>15.862855977822266</v>
          </cell>
          <cell r="AG72">
            <v>9.3301350366621687</v>
          </cell>
          <cell r="AH72">
            <v>202306</v>
          </cell>
          <cell r="AJ72" t="str">
            <v>PCB:General shutdown reported on 02.06.2023 (18:00) due to failure in the National Electrical grid affecting Process equipment and 25 wells</v>
          </cell>
        </row>
        <row r="73">
          <cell r="C73">
            <v>45081</v>
          </cell>
          <cell r="D73">
            <v>361652</v>
          </cell>
          <cell r="E73">
            <v>34233</v>
          </cell>
          <cell r="F73">
            <v>18077.93</v>
          </cell>
          <cell r="G73">
            <v>3034</v>
          </cell>
          <cell r="H73">
            <v>2686</v>
          </cell>
          <cell r="I73">
            <v>152000</v>
          </cell>
          <cell r="J73">
            <v>186014.88</v>
          </cell>
          <cell r="K73">
            <v>45815.98</v>
          </cell>
          <cell r="L73">
            <v>7597</v>
          </cell>
          <cell r="M73">
            <v>334626</v>
          </cell>
          <cell r="N73">
            <v>9019</v>
          </cell>
          <cell r="O73">
            <v>3484</v>
          </cell>
          <cell r="P73">
            <v>242.094402</v>
          </cell>
          <cell r="Q73">
            <v>0</v>
          </cell>
          <cell r="R73">
            <v>142384.93473090001</v>
          </cell>
          <cell r="S73">
            <v>11.213743851710474</v>
          </cell>
          <cell r="T73">
            <v>0.27838600000000002</v>
          </cell>
          <cell r="U73">
            <v>4.8510110520548098E-3</v>
          </cell>
          <cell r="V73">
            <v>1.2E-2</v>
          </cell>
          <cell r="W73">
            <v>0.31630000000000003</v>
          </cell>
          <cell r="X73">
            <v>5.67</v>
          </cell>
          <cell r="Y73">
            <v>12.722027000000001</v>
          </cell>
          <cell r="AB73">
            <v>0</v>
          </cell>
          <cell r="AC73">
            <v>0.17584745162779239</v>
          </cell>
          <cell r="AD73">
            <v>5.7568094872673413E-2</v>
          </cell>
          <cell r="AE73">
            <v>3.1740005</v>
          </cell>
          <cell r="AF73">
            <v>15.858891623035166</v>
          </cell>
          <cell r="AG73">
            <v>9.2683066892550556</v>
          </cell>
          <cell r="AH73">
            <v>202306</v>
          </cell>
          <cell r="AI73" t="str">
            <v>Previous day data for BC-10,CPO-5,GPOC,SCB. Sakh based on last weekly/monthly.</v>
          </cell>
          <cell r="AJ73" t="str">
            <v>BC-10:Ramp up ongoing.
LZC:Quota for June'23 is 350k BOPD.
GPOC:Pigging operation has been started in EL Toor field from 31st May 2023. Accordingly, some amount of crude is being diverted to COST at El-Toor FPF.(Crude diverted : 4.3k bbls)</v>
          </cell>
        </row>
        <row r="74">
          <cell r="C74">
            <v>45082</v>
          </cell>
          <cell r="D74">
            <v>367626</v>
          </cell>
          <cell r="E74">
            <v>33698</v>
          </cell>
          <cell r="F74">
            <v>18064.080000000002</v>
          </cell>
          <cell r="G74">
            <v>3033</v>
          </cell>
          <cell r="H74">
            <v>2617</v>
          </cell>
          <cell r="I74">
            <v>170000</v>
          </cell>
          <cell r="J74">
            <v>185925.6</v>
          </cell>
          <cell r="K74">
            <v>44705.090000000004</v>
          </cell>
          <cell r="L74">
            <v>7564</v>
          </cell>
          <cell r="M74">
            <v>331222</v>
          </cell>
          <cell r="N74">
            <v>9007</v>
          </cell>
          <cell r="O74">
            <v>5319</v>
          </cell>
          <cell r="P74">
            <v>245.23930200000001</v>
          </cell>
          <cell r="Q74">
            <v>0</v>
          </cell>
          <cell r="R74">
            <v>146188.32778590001</v>
          </cell>
          <cell r="S74">
            <v>10.90933803770101</v>
          </cell>
          <cell r="T74">
            <v>0.32875900000000002</v>
          </cell>
          <cell r="U74">
            <v>4.5618113703358651E-3</v>
          </cell>
          <cell r="V74">
            <v>1.2E-2</v>
          </cell>
          <cell r="W74">
            <v>0.31613999999999998</v>
          </cell>
          <cell r="X74">
            <v>5.67</v>
          </cell>
          <cell r="Y74">
            <v>12.67</v>
          </cell>
          <cell r="AB74">
            <v>0</v>
          </cell>
          <cell r="AC74">
            <v>0.18037814281304951</v>
          </cell>
          <cell r="AD74">
            <v>5.5982352957833423E-2</v>
          </cell>
          <cell r="AE74">
            <v>3.1665005000000002</v>
          </cell>
          <cell r="AF74">
            <v>15.837172622165838</v>
          </cell>
          <cell r="AG74">
            <v>9.2537830142908888</v>
          </cell>
          <cell r="AH74">
            <v>202306</v>
          </cell>
          <cell r="AI74" t="str">
            <v>Previous day data for BC-10,CPO-5. Sakh based on last weekly/monthly.</v>
          </cell>
          <cell r="AJ74" t="str">
            <v xml:space="preserve">
BC-10:Ramp up ongoing.
LZC:Quota for June'23 is 350k BOPD.</v>
          </cell>
        </row>
        <row r="75">
          <cell r="C75">
            <v>45083</v>
          </cell>
          <cell r="D75">
            <v>368594</v>
          </cell>
          <cell r="E75">
            <v>35579</v>
          </cell>
          <cell r="F75">
            <v>17830.73</v>
          </cell>
          <cell r="G75">
            <v>3017</v>
          </cell>
          <cell r="H75">
            <v>2595</v>
          </cell>
          <cell r="I75">
            <v>170000</v>
          </cell>
          <cell r="J75">
            <v>185814</v>
          </cell>
          <cell r="K75">
            <v>43685.599999999999</v>
          </cell>
          <cell r="L75">
            <v>7490</v>
          </cell>
          <cell r="M75">
            <v>335360</v>
          </cell>
          <cell r="N75">
            <v>9417</v>
          </cell>
          <cell r="O75">
            <v>683</v>
          </cell>
          <cell r="P75">
            <v>261.404088</v>
          </cell>
          <cell r="Q75">
            <v>0</v>
          </cell>
          <cell r="R75">
            <v>144586.9667396</v>
          </cell>
          <cell r="S75">
            <v>8.1359886959254908</v>
          </cell>
          <cell r="T75">
            <v>0.31488300000000002</v>
          </cell>
          <cell r="U75">
            <v>4.3375987903054537E-3</v>
          </cell>
          <cell r="V75">
            <v>1.2E-2</v>
          </cell>
          <cell r="W75">
            <v>0.32064999999999999</v>
          </cell>
          <cell r="X75">
            <v>5.67</v>
          </cell>
          <cell r="Y75">
            <v>12.46</v>
          </cell>
          <cell r="AB75">
            <v>0</v>
          </cell>
          <cell r="AC75">
            <v>0.15659201409044959</v>
          </cell>
          <cell r="AD75">
            <v>5.7086708934239845E-2</v>
          </cell>
          <cell r="AE75">
            <v>3.1513005000000001</v>
          </cell>
          <cell r="AF75">
            <v>15.923482289244987</v>
          </cell>
          <cell r="AG75">
            <v>9.1413830873243871</v>
          </cell>
          <cell r="AH75">
            <v>202306</v>
          </cell>
          <cell r="AI75" t="str">
            <v>Previous day data for BC-10,CPO-5,MECL,GPOC,SPOC,Vankor,SCB. Sakh based on last weekly/monthly.</v>
          </cell>
          <cell r="AJ75" t="str">
            <v xml:space="preserve">
BC-10:Ramp up ongoing.
LZC:Quota for June'23 is 350k BOPD.
CPO-5:Well Mariposa closed for about 5 hrs during the day for electrical board generation system installation.</v>
          </cell>
        </row>
        <row r="76">
          <cell r="C76">
            <v>45084</v>
          </cell>
          <cell r="D76">
            <v>365960</v>
          </cell>
          <cell r="E76">
            <v>38082</v>
          </cell>
          <cell r="F76">
            <v>18037.43</v>
          </cell>
          <cell r="G76">
            <v>3008</v>
          </cell>
          <cell r="H76">
            <v>2736</v>
          </cell>
          <cell r="I76">
            <v>170000</v>
          </cell>
          <cell r="J76">
            <v>185874</v>
          </cell>
          <cell r="K76">
            <v>48158.43</v>
          </cell>
          <cell r="L76">
            <v>7496</v>
          </cell>
          <cell r="M76">
            <v>321247</v>
          </cell>
          <cell r="N76">
            <v>8154.9999999999991</v>
          </cell>
          <cell r="O76">
            <v>5656</v>
          </cell>
          <cell r="P76">
            <v>242.34599399999999</v>
          </cell>
          <cell r="Q76">
            <v>0</v>
          </cell>
          <cell r="R76">
            <v>147895.66019729999</v>
          </cell>
          <cell r="S76">
            <v>7.1035574420850276</v>
          </cell>
          <cell r="T76">
            <v>0.33373399999999998</v>
          </cell>
          <cell r="U76">
            <v>4.8040617646475823E-3</v>
          </cell>
          <cell r="V76">
            <v>1.2E-2</v>
          </cell>
          <cell r="W76">
            <v>0.31824000000000002</v>
          </cell>
          <cell r="X76">
            <v>5.67</v>
          </cell>
          <cell r="Y76">
            <v>12.62</v>
          </cell>
          <cell r="AB76">
            <v>0</v>
          </cell>
          <cell r="AC76">
            <v>0.15262765930334957</v>
          </cell>
          <cell r="AD76">
            <v>4.8478395682251298E-2</v>
          </cell>
          <cell r="AE76">
            <v>3.1482005000000002</v>
          </cell>
          <cell r="AF76">
            <v>15.962644451177555</v>
          </cell>
          <cell r="AG76">
            <v>9.1635233826438718</v>
          </cell>
          <cell r="AH76">
            <v>202306</v>
          </cell>
          <cell r="AI76" t="str">
            <v>Last day data for BC-10,CPO-5,SCB,Vankor(OTP not recvd for DPR access). 
LZC:Quota for June'23 is 350k BOPD.</v>
          </cell>
          <cell r="AJ76" t="str">
            <v>Sakh-1:Figure based on latest prod'n report( for last week,Prod'n was curtailed due to planned activities on LP Compressor No.2 at Berkut platform)
IEC:Well SM#6r put back on prod'n after WOR
CPO-5:Well Mariposa closed for 5 hrs on 6-june for electrical board generation system installation.
PCB:Electrical flickering reported on 06.06.2023 affecting production.
GPOC:Out of 48kbopd, about 1.6 kbopd is from FPF stock tank.</v>
          </cell>
        </row>
        <row r="77">
          <cell r="C77">
            <v>45085</v>
          </cell>
          <cell r="D77">
            <v>368365</v>
          </cell>
          <cell r="E77">
            <v>33208</v>
          </cell>
          <cell r="F77">
            <v>17956</v>
          </cell>
          <cell r="G77">
            <v>3012</v>
          </cell>
          <cell r="H77">
            <v>2701</v>
          </cell>
          <cell r="I77">
            <v>170000</v>
          </cell>
          <cell r="J77">
            <v>184393</v>
          </cell>
          <cell r="K77">
            <v>44645.17</v>
          </cell>
          <cell r="L77">
            <v>7492</v>
          </cell>
          <cell r="M77">
            <v>364507</v>
          </cell>
          <cell r="N77">
            <v>8621</v>
          </cell>
          <cell r="O77">
            <v>503</v>
          </cell>
          <cell r="P77">
            <v>247.440732</v>
          </cell>
          <cell r="Q77">
            <v>0</v>
          </cell>
          <cell r="R77">
            <v>145003.64732940003</v>
          </cell>
          <cell r="S77">
            <v>7.645541375121411</v>
          </cell>
          <cell r="T77">
            <v>0.339362</v>
          </cell>
          <cell r="U77">
            <v>4.2791245571957293E-3</v>
          </cell>
          <cell r="V77">
            <v>1.2E-2</v>
          </cell>
          <cell r="W77">
            <v>0.32499</v>
          </cell>
          <cell r="X77">
            <v>5.67</v>
          </cell>
          <cell r="Y77">
            <v>12.84</v>
          </cell>
          <cell r="AB77">
            <v>0</v>
          </cell>
          <cell r="AC77">
            <v>0.15460983669689959</v>
          </cell>
          <cell r="AD77">
            <v>4.1059388866392744E-2</v>
          </cell>
          <cell r="AE77">
            <v>3.1435002500000002</v>
          </cell>
          <cell r="AF77">
            <v>15.968364448798942</v>
          </cell>
          <cell r="AG77">
            <v>9.2372530393343784</v>
          </cell>
          <cell r="AH77">
            <v>202306</v>
          </cell>
          <cell r="AI77" t="str">
            <v>Last day data for BC-10,CPO-5,MECL,SCB.</v>
          </cell>
          <cell r="AJ77" t="str">
            <v>Sakh-1:Figure based on latest prod'n report( for last week,Prod'n was curtailed due to planned activities on LP Compressor No.2 at Berkut platform)
LZC:Quota for the month is 350k bopd.</v>
          </cell>
        </row>
        <row r="78">
          <cell r="C78">
            <v>45086</v>
          </cell>
          <cell r="D78">
            <v>375871</v>
          </cell>
          <cell r="E78">
            <v>37289</v>
          </cell>
          <cell r="F78">
            <v>17913.8</v>
          </cell>
          <cell r="G78">
            <v>3008</v>
          </cell>
          <cell r="H78">
            <v>2838</v>
          </cell>
          <cell r="I78">
            <v>170000</v>
          </cell>
          <cell r="J78">
            <v>183626.64</v>
          </cell>
          <cell r="K78">
            <v>43774.3</v>
          </cell>
          <cell r="L78">
            <v>2564</v>
          </cell>
          <cell r="M78">
            <v>364731</v>
          </cell>
          <cell r="N78">
            <v>8710</v>
          </cell>
          <cell r="O78">
            <v>9947</v>
          </cell>
          <cell r="P78">
            <v>244.86191399999998</v>
          </cell>
          <cell r="Q78">
            <v>0</v>
          </cell>
          <cell r="R78">
            <v>148573.70436129998</v>
          </cell>
          <cell r="S78">
            <v>8.3279767349007674</v>
          </cell>
          <cell r="T78">
            <v>0.35206999999999999</v>
          </cell>
          <cell r="U78">
            <v>4.5748654243133874E-3</v>
          </cell>
          <cell r="V78">
            <v>1.2E-2</v>
          </cell>
          <cell r="W78">
            <v>0.33127999999999996</v>
          </cell>
          <cell r="X78">
            <v>5.67</v>
          </cell>
          <cell r="Y78">
            <v>12.707090000000001</v>
          </cell>
          <cell r="AB78">
            <v>0</v>
          </cell>
          <cell r="AC78">
            <v>0.14866330451624959</v>
          </cell>
          <cell r="AD78">
            <v>5.5104531540689852E-2</v>
          </cell>
          <cell r="AE78">
            <v>3.1324002499999999</v>
          </cell>
          <cell r="AF78">
            <v>15.81763401642942</v>
          </cell>
          <cell r="AG78">
            <v>9.2027336397792929</v>
          </cell>
          <cell r="AH78">
            <v>202306</v>
          </cell>
          <cell r="AJ78" t="str">
            <v xml:space="preserve">LZC:Quota for the month is 350k bopd.
SPOC: Export to PS#1 stopped at 0811 hours on MCC PETCO instruction to manage SCOTS pipeline high viscosity issue due to 2BOPCO low export </v>
          </cell>
        </row>
        <row r="79">
          <cell r="C79">
            <v>45087</v>
          </cell>
          <cell r="D79">
            <v>386119</v>
          </cell>
          <cell r="E79">
            <v>37113</v>
          </cell>
          <cell r="F79">
            <v>17909.849999999999</v>
          </cell>
          <cell r="G79">
            <v>3022</v>
          </cell>
          <cell r="H79">
            <v>2786</v>
          </cell>
          <cell r="I79">
            <v>170000</v>
          </cell>
          <cell r="J79">
            <v>185382.48</v>
          </cell>
          <cell r="K79">
            <v>44096.86</v>
          </cell>
          <cell r="L79">
            <v>5475</v>
          </cell>
          <cell r="M79">
            <v>360802</v>
          </cell>
          <cell r="N79">
            <v>8817</v>
          </cell>
          <cell r="O79">
            <v>941</v>
          </cell>
          <cell r="P79">
            <v>241.59121799999997</v>
          </cell>
          <cell r="Q79">
            <v>0</v>
          </cell>
          <cell r="R79">
            <v>146205.32349809998</v>
          </cell>
          <cell r="S79">
            <v>7.2590167833791561</v>
          </cell>
          <cell r="T79">
            <v>0.338092</v>
          </cell>
          <cell r="U79">
            <v>4.7224526896731383E-3</v>
          </cell>
          <cell r="V79">
            <v>1.2E-2</v>
          </cell>
          <cell r="W79">
            <v>0.33039999999999997</v>
          </cell>
          <cell r="X79">
            <v>5.67</v>
          </cell>
          <cell r="Y79">
            <v>12.572089</v>
          </cell>
          <cell r="AB79">
            <v>0</v>
          </cell>
          <cell r="AC79">
            <v>0.14838013631717104</v>
          </cell>
          <cell r="AD79">
            <v>5.816274809073841E-2</v>
          </cell>
          <cell r="AE79">
            <v>3.1098002500000002</v>
          </cell>
          <cell r="AF79">
            <v>15.746417214361159</v>
          </cell>
          <cell r="AG79">
            <v>9.1173049377514115</v>
          </cell>
          <cell r="AH79">
            <v>202306</v>
          </cell>
        </row>
        <row r="80">
          <cell r="C80">
            <v>45088</v>
          </cell>
          <cell r="D80">
            <v>367784</v>
          </cell>
          <cell r="E80">
            <v>29270</v>
          </cell>
          <cell r="F80">
            <v>18011.13</v>
          </cell>
          <cell r="G80">
            <v>3012</v>
          </cell>
          <cell r="H80">
            <v>2871</v>
          </cell>
          <cell r="I80">
            <v>170000</v>
          </cell>
          <cell r="J80">
            <v>187190.40000000002</v>
          </cell>
          <cell r="K80">
            <v>45539.24</v>
          </cell>
          <cell r="L80">
            <v>7683</v>
          </cell>
          <cell r="M80">
            <v>353283</v>
          </cell>
          <cell r="N80">
            <v>8992</v>
          </cell>
          <cell r="O80">
            <v>2872</v>
          </cell>
          <cell r="P80">
            <v>226.68439199999997</v>
          </cell>
          <cell r="Q80">
            <v>0</v>
          </cell>
          <cell r="R80">
            <v>145662.5871264</v>
          </cell>
          <cell r="S80">
            <v>6.9027911889383162</v>
          </cell>
          <cell r="T80">
            <v>0.27602599999999999</v>
          </cell>
          <cell r="U80">
            <v>4.41983083531787E-3</v>
          </cell>
          <cell r="V80">
            <v>1.2E-2</v>
          </cell>
          <cell r="W80">
            <v>0.33139999999999997</v>
          </cell>
          <cell r="X80">
            <v>5.67</v>
          </cell>
          <cell r="Y80">
            <v>12.431450999999999</v>
          </cell>
          <cell r="AB80">
            <v>0</v>
          </cell>
          <cell r="AC80">
            <v>0.14838013631717104</v>
          </cell>
          <cell r="AD80">
            <v>5.6208887517096282E-2</v>
          </cell>
          <cell r="AE80">
            <v>3.0448002500000002</v>
          </cell>
          <cell r="AF80">
            <v>15.745794244323184</v>
          </cell>
          <cell r="AG80">
            <v>9.026403142085865</v>
          </cell>
          <cell r="AH80">
            <v>202306</v>
          </cell>
          <cell r="AI80" t="str">
            <v>Last day data used for ACG,BC-10,CPO-5,MECL,Vankor,GPOC,SPOC.</v>
          </cell>
          <cell r="AJ80" t="str">
            <v>Sakh-1:Figure based on latest prod'n report( for last week,Prod'n was curtailed due to planned activities on LP Compressor No.2 at Berkut platform)
LZC:Quota for the month is 350k bopd._x000D_
BC-10:ALM1(Mobo-1 and 3) rampdown due to intervention plan.</v>
          </cell>
        </row>
        <row r="81">
          <cell r="C81">
            <v>45089</v>
          </cell>
          <cell r="D81">
            <v>364213</v>
          </cell>
          <cell r="E81">
            <v>29195</v>
          </cell>
          <cell r="F81">
            <v>18012.55</v>
          </cell>
          <cell r="G81">
            <v>3021</v>
          </cell>
          <cell r="H81">
            <v>2848</v>
          </cell>
          <cell r="I81">
            <v>182000</v>
          </cell>
          <cell r="J81">
            <v>188261.76000000001</v>
          </cell>
          <cell r="K81">
            <v>48008.7</v>
          </cell>
          <cell r="L81">
            <v>7671</v>
          </cell>
          <cell r="M81">
            <v>360879</v>
          </cell>
          <cell r="N81">
            <v>9212</v>
          </cell>
          <cell r="O81">
            <v>558</v>
          </cell>
          <cell r="P81">
            <v>234.79823399999998</v>
          </cell>
          <cell r="Q81">
            <v>0</v>
          </cell>
          <cell r="R81">
            <v>148241.45585530001</v>
          </cell>
          <cell r="S81">
            <v>6.8906149563779362</v>
          </cell>
          <cell r="T81">
            <v>0.29881099999999999</v>
          </cell>
          <cell r="U81">
            <v>4.5539959280412974E-3</v>
          </cell>
          <cell r="V81">
            <v>1.2E-2</v>
          </cell>
          <cell r="W81">
            <v>0.33138000000000001</v>
          </cell>
          <cell r="X81">
            <v>5.67</v>
          </cell>
          <cell r="Y81">
            <v>12.246572</v>
          </cell>
          <cell r="AB81">
            <v>0</v>
          </cell>
          <cell r="AC81">
            <v>0.15291082750242818</v>
          </cell>
          <cell r="AD81">
            <v>5.7086708934239845E-2</v>
          </cell>
          <cell r="AE81">
            <v>2.99990025</v>
          </cell>
          <cell r="AF81">
            <v>15.747804738536644</v>
          </cell>
          <cell r="AG81">
            <v>8.9652654852921518</v>
          </cell>
          <cell r="AH81">
            <v>202306</v>
          </cell>
          <cell r="AI81" t="str">
            <v>Prev day data for BC-10,CPO-5,SCB,GPOC</v>
          </cell>
          <cell r="AJ81" t="str">
            <v xml:space="preserve">
Sakh-1:Figure based on latest prod'n report( for last week,Prod'n was curtailed due to planned activities on LP Compressor No.2 at Berkut platform)
LZC:Quota for the month is 350k bopd.
BC-10:ALM1(Mobo-1 and 3) rampdown due to intervention (for repair for subset hydraulic line of ALM-1).</v>
          </cell>
        </row>
        <row r="82">
          <cell r="C82">
            <v>45090</v>
          </cell>
          <cell r="D82">
            <v>363659</v>
          </cell>
          <cell r="E82">
            <v>29082</v>
          </cell>
          <cell r="F82">
            <v>17950.310000000001</v>
          </cell>
          <cell r="G82">
            <v>3026</v>
          </cell>
          <cell r="H82">
            <v>2812</v>
          </cell>
          <cell r="I82">
            <v>182000</v>
          </cell>
          <cell r="J82">
            <v>188455</v>
          </cell>
          <cell r="K82">
            <v>47777.5</v>
          </cell>
          <cell r="L82">
            <v>5897</v>
          </cell>
          <cell r="M82">
            <v>348823</v>
          </cell>
          <cell r="N82">
            <v>9273</v>
          </cell>
          <cell r="O82">
            <v>7055</v>
          </cell>
          <cell r="P82">
            <v>215.92883399999997</v>
          </cell>
          <cell r="Q82">
            <v>0</v>
          </cell>
          <cell r="R82">
            <v>149800.32412530002</v>
          </cell>
          <cell r="S82">
            <v>7.1737831554565137</v>
          </cell>
          <cell r="T82">
            <v>0.271061</v>
          </cell>
          <cell r="U82">
            <v>4.6786748860955917E-3</v>
          </cell>
          <cell r="V82">
            <v>1.2E-2</v>
          </cell>
          <cell r="W82">
            <v>0.33237</v>
          </cell>
          <cell r="X82">
            <v>5.67</v>
          </cell>
          <cell r="Y82">
            <v>12.31</v>
          </cell>
          <cell r="AB82">
            <v>0</v>
          </cell>
          <cell r="AC82">
            <v>0.15517617309505674</v>
          </cell>
          <cell r="AD82">
            <v>5.816274809073841E-2</v>
          </cell>
          <cell r="AE82">
            <v>2.9964002500000002</v>
          </cell>
          <cell r="AF82">
            <v>15.655152103798134</v>
          </cell>
          <cell r="AG82">
            <v>8.9652363817337459</v>
          </cell>
          <cell r="AH82">
            <v>202306</v>
          </cell>
          <cell r="AI82" t="str">
            <v>Prev day data for CPO-5,MECL,GPOC(delay from Heglig,not recvd for 12th and 13th)</v>
          </cell>
          <cell r="AJ82" t="str">
            <v xml:space="preserve">
SPOC:Export stopped at 1800 hrs due to 2B-OPCO flow below threshhold limit.
Sakh-1:Production curtailment due to COST Tank#1 cleaning at Chayvo.Figure based on latest prod'n report for last week.
LZC:Quota for the month is 350k bopd.
BC-10:ALM1(Mobo-1 and 3) rampdown due to intervention (for repair for subset hydraulic line of ALM-1).</v>
          </cell>
        </row>
        <row r="83">
          <cell r="C83">
            <v>45091</v>
          </cell>
          <cell r="D83">
            <v>358827</v>
          </cell>
          <cell r="E83">
            <v>29711</v>
          </cell>
          <cell r="F83">
            <v>17901.43</v>
          </cell>
          <cell r="G83">
            <v>3039</v>
          </cell>
          <cell r="H83">
            <v>2770</v>
          </cell>
          <cell r="I83">
            <v>182000</v>
          </cell>
          <cell r="J83">
            <v>189228.96000000002</v>
          </cell>
          <cell r="K83">
            <v>44930.189999999995</v>
          </cell>
          <cell r="L83">
            <v>3935</v>
          </cell>
          <cell r="M83">
            <v>353369</v>
          </cell>
          <cell r="N83">
            <v>9153</v>
          </cell>
          <cell r="O83">
            <v>589</v>
          </cell>
          <cell r="P83">
            <v>222.91051199999998</v>
          </cell>
          <cell r="Q83">
            <v>0</v>
          </cell>
          <cell r="R83">
            <v>146390.27028040003</v>
          </cell>
          <cell r="S83">
            <v>6.8747575372295406</v>
          </cell>
          <cell r="T83">
            <v>0.27135900000000002</v>
          </cell>
          <cell r="U83">
            <v>4.3964694588938882E-3</v>
          </cell>
          <cell r="V83">
            <v>1.2E-2</v>
          </cell>
          <cell r="W83">
            <v>0.32816000000000001</v>
          </cell>
          <cell r="X83">
            <v>5.67</v>
          </cell>
          <cell r="Y83">
            <v>12.200682</v>
          </cell>
          <cell r="AB83">
            <v>0</v>
          </cell>
          <cell r="AC83">
            <v>0.18320982480383521</v>
          </cell>
          <cell r="AD83">
            <v>5.3547106445757713E-2</v>
          </cell>
          <cell r="AE83">
            <v>2.9846002500000002</v>
          </cell>
          <cell r="AF83">
            <v>15.747238402138487</v>
          </cell>
          <cell r="AG83">
            <v>8.9371612419014959</v>
          </cell>
          <cell r="AH83">
            <v>202306</v>
          </cell>
          <cell r="AI83" t="str">
            <v>Prev day data for CPO-5,GPOC.Interim DPR for ACG.GPOC report not recvd(12-14th) due to network issue at Heglig.</v>
          </cell>
          <cell r="AJ83" t="str">
            <v>SPOC:Export resumed at 1145 hrs
B-06.1:Well LD-3P shut in for pressure buildup monitoring.
Sakh-1:Figure based on latest prod'n report( for last week,Prod'n was curtailed due to planned activities on LP Compressor No.2 at Berkut platform)
LZC:Quota for the month is 350k bopd.
BC-10:ALM1(Mobo-1 and 3) rampdown due to intervention (for repair for subset hydraulic line of ALM-1).</v>
          </cell>
        </row>
        <row r="84">
          <cell r="C84">
            <v>45092</v>
          </cell>
          <cell r="D84">
            <v>332780</v>
          </cell>
          <cell r="E84">
            <v>29421</v>
          </cell>
          <cell r="F84">
            <v>17886.8</v>
          </cell>
          <cell r="G84">
            <v>3023</v>
          </cell>
          <cell r="H84">
            <v>2823</v>
          </cell>
          <cell r="I84">
            <v>182000</v>
          </cell>
          <cell r="J84">
            <v>190457</v>
          </cell>
          <cell r="K84">
            <v>41728.379999999997</v>
          </cell>
          <cell r="L84">
            <v>7690</v>
          </cell>
          <cell r="M84">
            <v>369274</v>
          </cell>
          <cell r="N84">
            <v>9300</v>
          </cell>
          <cell r="O84">
            <v>4835</v>
          </cell>
          <cell r="P84">
            <v>221.08646999999999</v>
          </cell>
          <cell r="Q84">
            <v>0</v>
          </cell>
          <cell r="R84">
            <v>148519.72441149998</v>
          </cell>
          <cell r="S84">
            <v>6.7411021472644546</v>
          </cell>
          <cell r="T84">
            <v>0.27214699999999997</v>
          </cell>
          <cell r="U84">
            <v>4.2161196329007465E-3</v>
          </cell>
          <cell r="V84">
            <v>1.2E-2</v>
          </cell>
          <cell r="W84">
            <v>0.32527999999999996</v>
          </cell>
          <cell r="X84">
            <v>5.67</v>
          </cell>
          <cell r="Y84">
            <v>12.21</v>
          </cell>
          <cell r="AB84">
            <v>0</v>
          </cell>
          <cell r="AC84">
            <v>0.17641378802594954</v>
          </cell>
          <cell r="AD84">
            <v>5.4906313801334851E-2</v>
          </cell>
          <cell r="AE84">
            <v>2.9543002500000002</v>
          </cell>
          <cell r="AF84">
            <v>15.748795827233417</v>
          </cell>
          <cell r="AG84">
            <v>8.9201288786779092</v>
          </cell>
          <cell r="AH84">
            <v>202306</v>
          </cell>
          <cell r="AI84" t="str">
            <v>Prev day data for ACG,CPO-5,SCB,GPOC(delay due to network issue at Heglig.)</v>
          </cell>
          <cell r="AJ84" t="str">
            <v>B-06.1:Well LD-3P shut in for pressure buildup monitoring.
Sakh-1:Figure based on latest prod'n report( for last week,Prod'n was curtailed due to planned activities on LP Compressor No.2 at Berkut platform)
LZC:Quota for the month is 350k bopd.
BC-10:ALM1(Mobo-1 and 3) rampdown due to intervention (for repair for subset hydraulic line of ALM-1).</v>
          </cell>
        </row>
        <row r="85">
          <cell r="C85">
            <v>45093</v>
          </cell>
          <cell r="D85">
            <v>352843</v>
          </cell>
          <cell r="E85">
            <v>29403</v>
          </cell>
          <cell r="F85">
            <v>17914.439999999999</v>
          </cell>
          <cell r="G85">
            <v>3008</v>
          </cell>
          <cell r="H85">
            <v>2773</v>
          </cell>
          <cell r="I85">
            <v>182000</v>
          </cell>
          <cell r="J85">
            <v>190902.96000000002</v>
          </cell>
          <cell r="K85">
            <v>50519.97</v>
          </cell>
          <cell r="L85">
            <v>7724</v>
          </cell>
          <cell r="M85">
            <v>368683</v>
          </cell>
          <cell r="N85">
            <v>8620</v>
          </cell>
          <cell r="O85">
            <v>830</v>
          </cell>
          <cell r="P85">
            <v>156.238632</v>
          </cell>
          <cell r="Q85">
            <v>0</v>
          </cell>
          <cell r="R85">
            <v>149532.59578440001</v>
          </cell>
          <cell r="S85">
            <v>6.9463990915964153</v>
          </cell>
          <cell r="T85">
            <v>0.27455499999999999</v>
          </cell>
          <cell r="U85">
            <v>4.1246563045983682E-3</v>
          </cell>
          <cell r="V85">
            <v>1.2E-2</v>
          </cell>
          <cell r="W85">
            <v>0.32647999999999999</v>
          </cell>
          <cell r="X85">
            <v>5.67</v>
          </cell>
          <cell r="Y85">
            <v>12.480666999999999</v>
          </cell>
          <cell r="AB85">
            <v>0</v>
          </cell>
          <cell r="AC85">
            <v>0.16140587347478527</v>
          </cell>
          <cell r="AD85">
            <v>5.459482878234842E-2</v>
          </cell>
          <cell r="AE85">
            <v>2.3988002499999999</v>
          </cell>
          <cell r="AF85">
            <v>15.688112882170879</v>
          </cell>
          <cell r="AG85">
            <v>8.7349642284933111</v>
          </cell>
          <cell r="AH85">
            <v>202306</v>
          </cell>
          <cell r="AJ85" t="str">
            <v>_x000D_
B-06.1:Gas compressor trip during the day</v>
          </cell>
        </row>
        <row r="86">
          <cell r="C86">
            <v>45094</v>
          </cell>
          <cell r="D86">
            <v>337621</v>
          </cell>
          <cell r="E86">
            <v>29233</v>
          </cell>
          <cell r="F86">
            <v>17895.7</v>
          </cell>
          <cell r="G86">
            <v>3022</v>
          </cell>
          <cell r="H86">
            <v>2807</v>
          </cell>
          <cell r="I86">
            <v>182000</v>
          </cell>
          <cell r="J86">
            <v>190449.12000000002</v>
          </cell>
          <cell r="K86">
            <v>49991.259999999995</v>
          </cell>
          <cell r="L86">
            <v>7684</v>
          </cell>
          <cell r="M86">
            <v>328604</v>
          </cell>
          <cell r="N86">
            <v>8600</v>
          </cell>
          <cell r="O86">
            <v>6153</v>
          </cell>
          <cell r="P86">
            <v>256.18355399999996</v>
          </cell>
          <cell r="Q86">
            <v>0</v>
          </cell>
          <cell r="R86">
            <v>149471.93889930003</v>
          </cell>
          <cell r="S86">
            <v>6.971601061314411</v>
          </cell>
          <cell r="T86">
            <v>0.27382400000000001</v>
          </cell>
          <cell r="U86">
            <v>4.334937009234114E-3</v>
          </cell>
          <cell r="V86">
            <v>1.2E-2</v>
          </cell>
          <cell r="W86">
            <v>0.33423000000000003</v>
          </cell>
          <cell r="X86">
            <v>5.67</v>
          </cell>
          <cell r="Y86">
            <v>12.596613999999999</v>
          </cell>
          <cell r="AB86">
            <v>0</v>
          </cell>
          <cell r="AC86">
            <v>0.16197220987294242</v>
          </cell>
          <cell r="AD86">
            <v>5.5161165180505567E-2</v>
          </cell>
          <cell r="AE86">
            <v>3.00240025</v>
          </cell>
          <cell r="AF86">
            <v>8.762271801827568</v>
          </cell>
          <cell r="AG86">
            <v>7.8679082883917397</v>
          </cell>
          <cell r="AH86">
            <v>202306</v>
          </cell>
          <cell r="AI86" t="str">
            <v>Intermi data for Acg</v>
          </cell>
        </row>
        <row r="87">
          <cell r="C87">
            <v>45095</v>
          </cell>
          <cell r="D87">
            <v>348050</v>
          </cell>
          <cell r="E87">
            <v>29170</v>
          </cell>
          <cell r="F87">
            <v>17847.830000000002</v>
          </cell>
          <cell r="G87">
            <v>3043</v>
          </cell>
          <cell r="H87">
            <v>2851</v>
          </cell>
          <cell r="I87">
            <v>182000</v>
          </cell>
          <cell r="J87">
            <v>190092</v>
          </cell>
          <cell r="K87">
            <v>47701.93</v>
          </cell>
          <cell r="L87">
            <v>3106</v>
          </cell>
          <cell r="M87">
            <v>359528</v>
          </cell>
          <cell r="N87">
            <v>8615</v>
          </cell>
          <cell r="O87">
            <v>1090</v>
          </cell>
          <cell r="P87">
            <v>181.020444</v>
          </cell>
          <cell r="Q87">
            <v>0</v>
          </cell>
          <cell r="R87">
            <v>147126.79019979999</v>
          </cell>
          <cell r="S87">
            <v>7.0959119007098996</v>
          </cell>
          <cell r="T87">
            <v>0.28206300000000001</v>
          </cell>
          <cell r="U87">
            <v>4.4481759720456353E-3</v>
          </cell>
          <cell r="V87">
            <v>1.2E-2</v>
          </cell>
          <cell r="W87">
            <v>0.33029000000000003</v>
          </cell>
          <cell r="X87">
            <v>5.67</v>
          </cell>
          <cell r="Y87">
            <v>12.468109</v>
          </cell>
          <cell r="AB87">
            <v>0</v>
          </cell>
          <cell r="AC87">
            <v>0.16593656466004242</v>
          </cell>
          <cell r="AD87">
            <v>5.5387699739768419E-2</v>
          </cell>
          <cell r="AE87">
            <v>2.97610025</v>
          </cell>
          <cell r="AF87">
            <v>3.1068082130104457</v>
          </cell>
          <cell r="AG87">
            <v>6.8629952488071178</v>
          </cell>
          <cell r="AH87">
            <v>202306</v>
          </cell>
          <cell r="AI87" t="str">
            <v>Previous day data for BC-10,CPO-5.S-1 based on last weekly report.Interim data for Acg</v>
          </cell>
          <cell r="AJ87" t="str">
            <v xml:space="preserve">
A1-A3:Reduced production due to China pipeline gas leakage and troubleshooting ongoing.
SPOC:Export stopped due to 2B-OPCO flow below threshhold limit.(restarted today morning)
BC-10:ALM1(Mobo-1 and 3) rampdown due to intervention (for repair for subset hydraulic line of ALM-1).</v>
          </cell>
        </row>
        <row r="88">
          <cell r="C88">
            <v>45096</v>
          </cell>
          <cell r="D88">
            <v>336616</v>
          </cell>
          <cell r="E88">
            <v>30057</v>
          </cell>
          <cell r="F88">
            <v>17829.34</v>
          </cell>
          <cell r="G88">
            <v>3050</v>
          </cell>
          <cell r="H88">
            <v>2813</v>
          </cell>
          <cell r="I88">
            <v>168000</v>
          </cell>
          <cell r="J88">
            <v>187436</v>
          </cell>
          <cell r="K88">
            <v>48067.979999999996</v>
          </cell>
          <cell r="L88">
            <v>5911</v>
          </cell>
          <cell r="M88">
            <v>354107</v>
          </cell>
          <cell r="N88">
            <v>8891</v>
          </cell>
          <cell r="O88">
            <v>6642</v>
          </cell>
          <cell r="P88">
            <v>214.79666999999998</v>
          </cell>
          <cell r="Q88">
            <v>0</v>
          </cell>
          <cell r="R88">
            <v>146381.88985149999</v>
          </cell>
          <cell r="S88">
            <v>6.9523456237770693</v>
          </cell>
          <cell r="T88">
            <v>0.27842499999999998</v>
          </cell>
          <cell r="U88">
            <v>4.5403472208457099E-3</v>
          </cell>
          <cell r="V88">
            <v>1.2E-2</v>
          </cell>
          <cell r="W88">
            <v>0.33033999999999997</v>
          </cell>
          <cell r="X88">
            <v>5.67</v>
          </cell>
          <cell r="Y88">
            <v>12.57</v>
          </cell>
          <cell r="AB88">
            <v>0</v>
          </cell>
          <cell r="AC88">
            <v>0.16961775124806383</v>
          </cell>
          <cell r="AD88">
            <v>5.459482878234842E-2</v>
          </cell>
          <cell r="AE88">
            <v>2.9789002500000001</v>
          </cell>
          <cell r="AF88">
            <v>3.0157979538265933</v>
          </cell>
          <cell r="AG88">
            <v>6.8711788257645896</v>
          </cell>
          <cell r="AH88">
            <v>202306</v>
          </cell>
          <cell r="AI88" t="str">
            <v>Previous day data for ACG,CPO-5</v>
          </cell>
          <cell r="AJ88" t="str">
            <v>BC-10:ALM1(Mobo-1 and 3) rampdown due to intervention (for repair for subset hydraulic line of ALM-1).
A1-A3: Deferment due to leakage(china side). Pipechina completed troubleshoot in this morning, wells being restarted today.
B-06.1:Well LD-3P closed for pressure build up study.</v>
          </cell>
        </row>
        <row r="89">
          <cell r="C89">
            <v>45097</v>
          </cell>
          <cell r="D89">
            <v>370622</v>
          </cell>
          <cell r="E89">
            <v>28937</v>
          </cell>
          <cell r="F89">
            <v>17832.41</v>
          </cell>
          <cell r="G89">
            <v>3039</v>
          </cell>
          <cell r="H89">
            <v>2802</v>
          </cell>
          <cell r="I89">
            <v>168000</v>
          </cell>
          <cell r="J89">
            <v>186424.08000000002</v>
          </cell>
          <cell r="K89">
            <v>48733.280000000006</v>
          </cell>
          <cell r="L89">
            <v>7615</v>
          </cell>
          <cell r="M89">
            <v>336799</v>
          </cell>
          <cell r="N89">
            <v>9007</v>
          </cell>
          <cell r="O89">
            <v>7058</v>
          </cell>
          <cell r="P89">
            <v>234.92402999999999</v>
          </cell>
          <cell r="Q89">
            <v>0</v>
          </cell>
          <cell r="R89">
            <v>146660.8905635</v>
          </cell>
          <cell r="S89">
            <v>6.6485061461657624</v>
          </cell>
          <cell r="T89">
            <v>0.28081</v>
          </cell>
          <cell r="U89">
            <v>4.6352085675370313E-3</v>
          </cell>
          <cell r="V89">
            <v>1.2E-2</v>
          </cell>
          <cell r="W89">
            <v>0.32876</v>
          </cell>
          <cell r="X89">
            <v>5.67</v>
          </cell>
          <cell r="Y89">
            <v>12.514488</v>
          </cell>
          <cell r="AA89">
            <v>0</v>
          </cell>
          <cell r="AB89">
            <v>0</v>
          </cell>
          <cell r="AC89">
            <v>0.17924547001673524</v>
          </cell>
          <cell r="AD89">
            <v>5.9521955446315548E-2</v>
          </cell>
          <cell r="AE89">
            <v>2.9825002500000002</v>
          </cell>
          <cell r="AF89">
            <v>10.029392859064355</v>
          </cell>
          <cell r="AG89">
            <v>8.0458184003950137</v>
          </cell>
          <cell r="AH89">
            <v>202306</v>
          </cell>
          <cell r="AI89" t="str">
            <v>Previous day data for BC-10,CPO-5,MECL,SCB,SPOC (network issue)</v>
          </cell>
          <cell r="AJ89" t="str">
            <v>BC-10:ALM1(Mobo-1 and 3) rampdown due to intervention (for repair for subset hydraulic line of ALM-1).
A1-A3: Ramp-up ongoing
B-06.1:Well LD-3P closed for pressure build up study.
LZC:Quota for the month is 350k bopd.</v>
          </cell>
        </row>
        <row r="90">
          <cell r="C90">
            <v>45098</v>
          </cell>
          <cell r="D90">
            <v>362764</v>
          </cell>
          <cell r="E90">
            <v>29553</v>
          </cell>
          <cell r="F90">
            <v>17752.03</v>
          </cell>
          <cell r="G90">
            <v>3053</v>
          </cell>
          <cell r="H90">
            <v>2804</v>
          </cell>
          <cell r="I90">
            <v>168000</v>
          </cell>
          <cell r="J90">
            <v>186498</v>
          </cell>
          <cell r="K90">
            <v>50769.17</v>
          </cell>
          <cell r="L90">
            <v>3947</v>
          </cell>
          <cell r="M90">
            <v>326026</v>
          </cell>
          <cell r="N90">
            <v>9063</v>
          </cell>
          <cell r="O90">
            <v>964</v>
          </cell>
          <cell r="P90">
            <v>219.639816</v>
          </cell>
          <cell r="Q90">
            <v>0</v>
          </cell>
          <cell r="R90">
            <v>143372.47356719998</v>
          </cell>
          <cell r="S90">
            <v>6.8353971575576171</v>
          </cell>
          <cell r="T90">
            <v>0.28245999999999999</v>
          </cell>
          <cell r="U90">
            <v>4.6890954758216832E-3</v>
          </cell>
          <cell r="V90">
            <v>1.2E-2</v>
          </cell>
          <cell r="W90">
            <v>0.33043</v>
          </cell>
          <cell r="X90">
            <v>5.67</v>
          </cell>
          <cell r="Y90">
            <v>12.63</v>
          </cell>
          <cell r="AA90">
            <v>0</v>
          </cell>
          <cell r="AB90">
            <v>0</v>
          </cell>
          <cell r="AC90">
            <v>0.17782962902134239</v>
          </cell>
          <cell r="AD90">
            <v>6.0399776863459126E-2</v>
          </cell>
          <cell r="AE90">
            <v>2.9795002500000001</v>
          </cell>
          <cell r="AF90">
            <v>15.521525030652958</v>
          </cell>
          <cell r="AG90">
            <v>9.014829778821392</v>
          </cell>
          <cell r="AH90">
            <v>202306</v>
          </cell>
          <cell r="AI90" t="str">
            <v>Prev day data for CPO-5</v>
          </cell>
          <cell r="AJ90" t="str">
            <v>BC-10:ALM1(Mobo-1 and 3) rampdown due to intervention (for repair for subset hydraulic line of ALM-1).
B-06.1:Well LD-3P reopened during the day with 1% choke for performance testing
LZC:Quota for the month is 350k bopd.
SPOC: Provisional figure (DPR awaited)</v>
          </cell>
        </row>
        <row r="91">
          <cell r="C91">
            <v>45099</v>
          </cell>
          <cell r="D91">
            <v>362483</v>
          </cell>
          <cell r="E91">
            <v>29610</v>
          </cell>
          <cell r="F91">
            <v>17782.23</v>
          </cell>
          <cell r="G91">
            <v>3007</v>
          </cell>
          <cell r="H91">
            <v>2815</v>
          </cell>
          <cell r="I91">
            <v>168000</v>
          </cell>
          <cell r="J91">
            <v>185241.12</v>
          </cell>
          <cell r="K91">
            <v>47945.5</v>
          </cell>
          <cell r="L91">
            <v>1526</v>
          </cell>
          <cell r="M91">
            <v>335122</v>
          </cell>
          <cell r="N91">
            <v>8374</v>
          </cell>
          <cell r="O91">
            <v>218</v>
          </cell>
          <cell r="P91">
            <v>217.815774</v>
          </cell>
          <cell r="Q91">
            <v>0</v>
          </cell>
          <cell r="R91">
            <v>141762.56909830004</v>
          </cell>
          <cell r="S91">
            <v>7.1839772106233388</v>
          </cell>
          <cell r="T91">
            <v>0.28586400000000001</v>
          </cell>
          <cell r="U91">
            <v>4.6883309216841709E-3</v>
          </cell>
          <cell r="V91">
            <v>1.2E-2</v>
          </cell>
          <cell r="W91">
            <v>0.32133999999999996</v>
          </cell>
          <cell r="X91">
            <v>5.67</v>
          </cell>
          <cell r="Y91">
            <v>12.496467000000001</v>
          </cell>
          <cell r="AB91">
            <v>0</v>
          </cell>
          <cell r="AC91">
            <v>0.16168904167386386</v>
          </cell>
          <cell r="AD91">
            <v>6.1532449659773406E-2</v>
          </cell>
          <cell r="AE91">
            <v>2.9833002500000001</v>
          </cell>
          <cell r="AF91">
            <v>15.330669664474001</v>
          </cell>
          <cell r="AG91">
            <v>8.9479341351191941</v>
          </cell>
          <cell r="AH91">
            <v>202306</v>
          </cell>
          <cell r="AI91" t="str">
            <v>Prev day data for Vankor,GPOC,SPOC</v>
          </cell>
          <cell r="AJ91" t="str">
            <v xml:space="preserve">
BC-10:ALM1(Mobo-1 and 3) rampdown due to intervention (for repair for subset hydraulic line of ALM-1).
SCB: Intermittent pumping. Field prod 3.5k bopd
LZC:Quota for the month is 350k bopd.</v>
          </cell>
        </row>
        <row r="92">
          <cell r="C92">
            <v>45100</v>
          </cell>
          <cell r="D92">
            <v>365332</v>
          </cell>
          <cell r="E92">
            <v>29711</v>
          </cell>
          <cell r="F92">
            <v>17787.45</v>
          </cell>
          <cell r="G92">
            <v>3017</v>
          </cell>
          <cell r="H92">
            <v>2798</v>
          </cell>
          <cell r="I92">
            <v>168000</v>
          </cell>
          <cell r="J92">
            <v>175703.04000000001</v>
          </cell>
          <cell r="K92">
            <v>48351.780000000006</v>
          </cell>
          <cell r="L92">
            <v>6743</v>
          </cell>
          <cell r="M92">
            <v>344506</v>
          </cell>
          <cell r="N92">
            <v>8836</v>
          </cell>
          <cell r="O92">
            <v>4288</v>
          </cell>
          <cell r="P92">
            <v>209.01005399999997</v>
          </cell>
          <cell r="Q92">
            <v>0</v>
          </cell>
          <cell r="R92">
            <v>142777.79287430001</v>
          </cell>
          <cell r="S92">
            <v>8.3265608939053699</v>
          </cell>
          <cell r="T92">
            <v>0.27719500000000002</v>
          </cell>
          <cell r="U92">
            <v>4.5983117511970931E-3</v>
          </cell>
          <cell r="V92">
            <v>1.2E-2</v>
          </cell>
          <cell r="W92">
            <v>0.32139000000000001</v>
          </cell>
          <cell r="X92">
            <v>5.67</v>
          </cell>
          <cell r="Y92">
            <v>12.476372999999999</v>
          </cell>
          <cell r="AB92">
            <v>0</v>
          </cell>
          <cell r="AC92">
            <v>0.15772468688676386</v>
          </cell>
          <cell r="AD92">
            <v>6.0682945062537685E-2</v>
          </cell>
          <cell r="AE92">
            <v>2.9722002500000002</v>
          </cell>
          <cell r="AF92">
            <v>15.037817112986943</v>
          </cell>
          <cell r="AG92">
            <v>8.9111939201653918</v>
          </cell>
          <cell r="AH92">
            <v>202306</v>
          </cell>
          <cell r="AJ92" t="str">
            <v xml:space="preserve">
SCB:field prod 3.5 k bopd</v>
          </cell>
        </row>
        <row r="93">
          <cell r="C93">
            <v>45101</v>
          </cell>
          <cell r="D93">
            <v>361880</v>
          </cell>
          <cell r="E93">
            <v>29491</v>
          </cell>
          <cell r="F93">
            <v>17771.37</v>
          </cell>
          <cell r="G93">
            <v>2909</v>
          </cell>
          <cell r="H93">
            <v>2783</v>
          </cell>
          <cell r="I93">
            <v>168000</v>
          </cell>
          <cell r="J93">
            <v>176127.12</v>
          </cell>
          <cell r="K93">
            <v>46197.070000000007</v>
          </cell>
          <cell r="L93">
            <v>2146</v>
          </cell>
          <cell r="M93">
            <v>365995</v>
          </cell>
          <cell r="N93">
            <v>9010</v>
          </cell>
          <cell r="O93">
            <v>7277</v>
          </cell>
          <cell r="P93">
            <v>222.53312400000002</v>
          </cell>
          <cell r="Q93">
            <v>0</v>
          </cell>
          <cell r="R93">
            <v>143101.33810579998</v>
          </cell>
          <cell r="S93">
            <v>6.948381268989964</v>
          </cell>
          <cell r="T93">
            <v>0.27388899999999999</v>
          </cell>
          <cell r="U93">
            <v>4.5048379286812571E-3</v>
          </cell>
          <cell r="V93">
            <v>1.2E-2</v>
          </cell>
          <cell r="W93">
            <v>0.32518999999999998</v>
          </cell>
          <cell r="X93">
            <v>5.67</v>
          </cell>
          <cell r="Y93">
            <v>12.399906000000001</v>
          </cell>
          <cell r="AB93">
            <v>0</v>
          </cell>
          <cell r="AC93">
            <v>0.16282171447017812</v>
          </cell>
          <cell r="AD93">
            <v>5.955027226622342E-2</v>
          </cell>
          <cell r="AE93">
            <v>2.9746002499999999</v>
          </cell>
          <cell r="AF93">
            <v>15.028812364256245</v>
          </cell>
          <cell r="AG93">
            <v>8.8619752957855162</v>
          </cell>
          <cell r="AH93">
            <v>202306</v>
          </cell>
          <cell r="AJ93" t="str">
            <v>Vankor:Replacement of defective sections of the infield piping at the C-1 slug catcher and shut-off and control valves at FWKF-South</v>
          </cell>
        </row>
        <row r="94">
          <cell r="C94">
            <v>45102</v>
          </cell>
          <cell r="D94">
            <v>360050</v>
          </cell>
          <cell r="E94">
            <v>32113</v>
          </cell>
          <cell r="F94">
            <v>17777.11</v>
          </cell>
          <cell r="G94">
            <v>3003</v>
          </cell>
          <cell r="H94">
            <v>2836</v>
          </cell>
          <cell r="I94">
            <v>168000</v>
          </cell>
          <cell r="J94">
            <v>183485.28</v>
          </cell>
          <cell r="K94">
            <v>45826.119999999995</v>
          </cell>
          <cell r="L94">
            <v>7528</v>
          </cell>
          <cell r="M94">
            <v>367442</v>
          </cell>
          <cell r="N94">
            <v>8708</v>
          </cell>
          <cell r="O94">
            <v>3867</v>
          </cell>
          <cell r="P94">
            <v>212.90973</v>
          </cell>
          <cell r="Q94">
            <v>0</v>
          </cell>
          <cell r="R94">
            <v>145646.14417849999</v>
          </cell>
          <cell r="S94">
            <v>7.2114445259339615</v>
          </cell>
          <cell r="T94">
            <v>0.287352</v>
          </cell>
          <cell r="U94">
            <v>4.6467335132395291E-3</v>
          </cell>
          <cell r="V94">
            <v>1.2E-2</v>
          </cell>
          <cell r="W94">
            <v>0.32267000000000001</v>
          </cell>
          <cell r="X94">
            <v>5.67</v>
          </cell>
          <cell r="Y94">
            <v>12.552438</v>
          </cell>
          <cell r="AB94">
            <v>0</v>
          </cell>
          <cell r="AC94">
            <v>0.16083953707662813</v>
          </cell>
          <cell r="AD94">
            <v>5.9295420887052697E-2</v>
          </cell>
          <cell r="AE94">
            <v>2.75070025</v>
          </cell>
          <cell r="AF94">
            <v>15.028670780156704</v>
          </cell>
          <cell r="AG94">
            <v>8.8078256645682327</v>
          </cell>
          <cell r="AH94">
            <v>202306</v>
          </cell>
          <cell r="AI94" t="str">
            <v>Prev day data for ACG,BC-10,SPOC,SCB,Myanmar</v>
          </cell>
          <cell r="AJ94" t="str">
            <v>GPOC:Power trip in EL Nar FPF.
SCB:Intermittent pumping,field prod 3.5k.
B-06.1:Gas turbine trip(wells closed for about 1.5 hrs)
BC-10:Details sought from the operator, about reason for delay and timeline for normal production resumption.</v>
          </cell>
        </row>
        <row r="95">
          <cell r="C95">
            <v>45103</v>
          </cell>
          <cell r="D95">
            <v>362606</v>
          </cell>
          <cell r="E95">
            <v>31962</v>
          </cell>
          <cell r="F95">
            <v>17746.240000000002</v>
          </cell>
          <cell r="G95">
            <v>3010</v>
          </cell>
          <cell r="H95">
            <v>2772</v>
          </cell>
          <cell r="I95">
            <v>174000</v>
          </cell>
          <cell r="J95">
            <v>183790.32</v>
          </cell>
          <cell r="K95">
            <v>47027.65</v>
          </cell>
          <cell r="L95">
            <v>7587</v>
          </cell>
          <cell r="M95">
            <v>366334</v>
          </cell>
          <cell r="N95">
            <v>8214</v>
          </cell>
          <cell r="O95">
            <v>732</v>
          </cell>
          <cell r="P95">
            <v>224.86034999999998</v>
          </cell>
          <cell r="Q95">
            <v>0</v>
          </cell>
          <cell r="R95">
            <v>145828.95320750002</v>
          </cell>
          <cell r="S95">
            <v>6.959424828754031</v>
          </cell>
          <cell r="T95">
            <v>0.29993300000000001</v>
          </cell>
          <cell r="U95">
            <v>4.5974339297799498E-3</v>
          </cell>
          <cell r="V95">
            <v>1.2E-2</v>
          </cell>
          <cell r="W95">
            <v>0.33302999999999999</v>
          </cell>
          <cell r="X95">
            <v>5.67</v>
          </cell>
          <cell r="Y95">
            <v>12.470635</v>
          </cell>
          <cell r="AB95">
            <v>0</v>
          </cell>
          <cell r="AC95">
            <v>0.19510288916513518</v>
          </cell>
          <cell r="AD95">
            <v>6.2183736517654124E-2</v>
          </cell>
          <cell r="AE95">
            <v>2.9606002500000002</v>
          </cell>
          <cell r="AF95">
            <v>15.027906226019192</v>
          </cell>
          <cell r="AG95">
            <v>8.8937069106335542</v>
          </cell>
          <cell r="AH95">
            <v>202306</v>
          </cell>
          <cell r="AI95" t="str">
            <v>Prev day data for ACG,SPOC,LZC</v>
          </cell>
          <cell r="AJ95" t="str">
            <v xml:space="preserve">
SCB:Intermittent pumping.Field prod 3.6 kbopd
S-1:Based on last weekly/monthly.Production curtailment due to COST Tank#1 cleaning at Chayvo and also due to ongoing maintenance activities at Berkut Platform</v>
          </cell>
        </row>
        <row r="96">
          <cell r="C96">
            <v>45104</v>
          </cell>
          <cell r="D96">
            <v>360310</v>
          </cell>
          <cell r="E96">
            <v>31553</v>
          </cell>
          <cell r="F96">
            <v>17701.53</v>
          </cell>
          <cell r="G96">
            <v>2964</v>
          </cell>
          <cell r="H96">
            <v>2774</v>
          </cell>
          <cell r="I96">
            <v>174000</v>
          </cell>
          <cell r="J96">
            <v>185300.64</v>
          </cell>
          <cell r="K96">
            <v>47460.480000000003</v>
          </cell>
          <cell r="L96">
            <v>7683</v>
          </cell>
          <cell r="M96">
            <v>368893</v>
          </cell>
          <cell r="N96">
            <v>8221</v>
          </cell>
          <cell r="O96">
            <v>470</v>
          </cell>
          <cell r="P96">
            <v>216.99809999999999</v>
          </cell>
          <cell r="Q96">
            <v>0</v>
          </cell>
          <cell r="R96">
            <v>146132.03129499999</v>
          </cell>
          <cell r="S96">
            <v>7.0228545053476337</v>
          </cell>
          <cell r="T96">
            <v>0.308174</v>
          </cell>
          <cell r="U96">
            <v>4.7208103141184827E-3</v>
          </cell>
          <cell r="V96">
            <v>1.2E-2</v>
          </cell>
          <cell r="W96">
            <v>0.32229000000000002</v>
          </cell>
          <cell r="X96">
            <v>5.67</v>
          </cell>
          <cell r="Y96">
            <v>12.341331</v>
          </cell>
          <cell r="AB96">
            <v>0</v>
          </cell>
          <cell r="AC96">
            <v>0.17386527423424239</v>
          </cell>
          <cell r="AD96">
            <v>5.8417599469909133E-2</v>
          </cell>
          <cell r="AE96">
            <v>2.9565002499999999</v>
          </cell>
          <cell r="AF96">
            <v>14.951394178628163</v>
          </cell>
          <cell r="AG96">
            <v>8.834429889113931</v>
          </cell>
          <cell r="AH96">
            <v>202306</v>
          </cell>
          <cell r="AI96" t="str">
            <v>Prev day data for BC-10,MECL,IEC,SPOC,SCB,LZC</v>
          </cell>
          <cell r="AJ96" t="str">
            <v xml:space="preserve">
SCB:Intermittent pumping.Field prod 3.6 kbopd
S-1:Based on last weekly/monthly.Production curtailment due to COST Tank#1 cleaning at Chayvo and also due to ongoing maintenance activities at Berkut Platform
</v>
          </cell>
        </row>
        <row r="97">
          <cell r="C97">
            <v>45105</v>
          </cell>
          <cell r="D97">
            <v>376872</v>
          </cell>
          <cell r="E97">
            <v>31113</v>
          </cell>
          <cell r="F97">
            <v>17710.41</v>
          </cell>
          <cell r="G97">
            <v>2881</v>
          </cell>
          <cell r="H97">
            <v>2764</v>
          </cell>
          <cell r="I97">
            <v>174000</v>
          </cell>
          <cell r="J97">
            <v>185605.68000000002</v>
          </cell>
          <cell r="K97">
            <v>41229.53</v>
          </cell>
          <cell r="L97">
            <v>7604</v>
          </cell>
          <cell r="M97">
            <v>371976</v>
          </cell>
          <cell r="N97">
            <v>8506</v>
          </cell>
          <cell r="O97">
            <v>5386</v>
          </cell>
          <cell r="P97">
            <v>214.48218</v>
          </cell>
          <cell r="Q97">
            <v>0</v>
          </cell>
          <cell r="R97">
            <v>146972.981481</v>
          </cell>
          <cell r="S97">
            <v>6.8770228828221711</v>
          </cell>
          <cell r="T97">
            <v>0.30797999999999998</v>
          </cell>
          <cell r="U97">
            <v>4.6989497291496174E-3</v>
          </cell>
          <cell r="V97">
            <v>1.2E-2</v>
          </cell>
          <cell r="W97">
            <v>0.32041000000000003</v>
          </cell>
          <cell r="X97">
            <v>5.67</v>
          </cell>
          <cell r="Y97">
            <v>12.381644</v>
          </cell>
          <cell r="AB97">
            <v>0</v>
          </cell>
          <cell r="AC97">
            <v>0.17386527423424239</v>
          </cell>
          <cell r="AD97">
            <v>5.7313243493502704E-2</v>
          </cell>
          <cell r="AE97">
            <v>2.9467002500000001</v>
          </cell>
          <cell r="AF97">
            <v>15.028246027858085</v>
          </cell>
          <cell r="AG97">
            <v>8.8478079482026395</v>
          </cell>
          <cell r="AH97">
            <v>202306</v>
          </cell>
          <cell r="AJ97" t="str">
            <v>MECL:Deferment due to power failure due to electrical storm</v>
          </cell>
        </row>
        <row r="98">
          <cell r="C98">
            <v>45106</v>
          </cell>
          <cell r="D98">
            <v>356489</v>
          </cell>
          <cell r="E98">
            <v>32126</v>
          </cell>
          <cell r="F98">
            <v>17650.37</v>
          </cell>
          <cell r="G98">
            <v>2952</v>
          </cell>
          <cell r="H98">
            <v>2761</v>
          </cell>
          <cell r="I98">
            <v>174000</v>
          </cell>
          <cell r="J98">
            <v>186396.78263999999</v>
          </cell>
          <cell r="K98">
            <v>46450.450000000004</v>
          </cell>
          <cell r="L98">
            <v>7583</v>
          </cell>
          <cell r="M98">
            <v>374362</v>
          </cell>
          <cell r="N98">
            <v>8903</v>
          </cell>
          <cell r="O98">
            <v>483</v>
          </cell>
          <cell r="P98">
            <v>217.689978</v>
          </cell>
          <cell r="Q98">
            <v>0</v>
          </cell>
          <cell r="R98">
            <v>146451.32012649998</v>
          </cell>
          <cell r="S98">
            <v>6.7125021591575162</v>
          </cell>
          <cell r="T98">
            <v>0.316826</v>
          </cell>
          <cell r="U98">
            <v>4.6998558673866687E-3</v>
          </cell>
          <cell r="V98">
            <v>1.2E-2</v>
          </cell>
          <cell r="W98">
            <v>0.31710000000000005</v>
          </cell>
          <cell r="X98">
            <v>5.67</v>
          </cell>
          <cell r="Y98">
            <v>12.093973999999999</v>
          </cell>
          <cell r="AB98">
            <v>0</v>
          </cell>
          <cell r="AC98">
            <v>0.1815108156093638</v>
          </cell>
          <cell r="AD98">
            <v>5.244275046935129E-2</v>
          </cell>
          <cell r="AE98">
            <v>2.9309002500000001</v>
          </cell>
          <cell r="AF98">
            <v>14.276434459304483</v>
          </cell>
          <cell r="AG98">
            <v>8.6322672194702417</v>
          </cell>
          <cell r="AH98">
            <v>202306</v>
          </cell>
        </row>
        <row r="99">
          <cell r="C99">
            <v>45107</v>
          </cell>
          <cell r="D99">
            <v>353498</v>
          </cell>
          <cell r="E99">
            <v>33365</v>
          </cell>
          <cell r="F99">
            <v>17675.45</v>
          </cell>
          <cell r="G99">
            <v>2966</v>
          </cell>
          <cell r="H99">
            <v>2788</v>
          </cell>
          <cell r="I99">
            <v>174000</v>
          </cell>
          <cell r="J99">
            <v>185278.32</v>
          </cell>
          <cell r="K99">
            <v>45104.51</v>
          </cell>
          <cell r="L99">
            <v>7566</v>
          </cell>
          <cell r="M99">
            <v>373235</v>
          </cell>
          <cell r="N99">
            <v>9134</v>
          </cell>
          <cell r="O99">
            <v>6134</v>
          </cell>
          <cell r="P99">
            <v>200.141436</v>
          </cell>
          <cell r="Q99">
            <v>0</v>
          </cell>
          <cell r="R99">
            <v>148369.76064620001</v>
          </cell>
          <cell r="S99">
            <v>6.9059060391281815</v>
          </cell>
          <cell r="T99">
            <v>0.33451900000000001</v>
          </cell>
          <cell r="U99">
            <v>4.6858956751720951E-3</v>
          </cell>
          <cell r="V99">
            <v>1.2E-2</v>
          </cell>
          <cell r="W99">
            <v>0.32874000000000003</v>
          </cell>
          <cell r="X99">
            <v>5.67</v>
          </cell>
          <cell r="Y99">
            <v>12.367387000000001</v>
          </cell>
          <cell r="AB99">
            <v>0</v>
          </cell>
          <cell r="AC99">
            <v>0.19680189835960663</v>
          </cell>
          <cell r="AD99">
            <v>5.3547106445757713E-2</v>
          </cell>
          <cell r="AE99">
            <v>2.9484002500000002</v>
          </cell>
          <cell r="AF99">
            <v>14.932195374730636</v>
          </cell>
          <cell r="AG99">
            <v>8.8457076840785493</v>
          </cell>
          <cell r="AH99">
            <v>202306</v>
          </cell>
        </row>
        <row r="100">
          <cell r="C100">
            <v>45108</v>
          </cell>
          <cell r="D100">
            <v>358619</v>
          </cell>
          <cell r="E100">
            <v>34730</v>
          </cell>
          <cell r="F100">
            <v>17647.13</v>
          </cell>
          <cell r="G100">
            <v>2927</v>
          </cell>
          <cell r="H100">
            <v>2884</v>
          </cell>
          <cell r="I100">
            <v>174000</v>
          </cell>
          <cell r="J100">
            <v>184221.84</v>
          </cell>
          <cell r="K100">
            <v>46260.19</v>
          </cell>
          <cell r="L100">
            <v>7346</v>
          </cell>
          <cell r="M100">
            <v>369592</v>
          </cell>
          <cell r="N100">
            <v>9134</v>
          </cell>
          <cell r="O100">
            <v>834</v>
          </cell>
          <cell r="P100">
            <v>225.80381999999997</v>
          </cell>
          <cell r="Q100">
            <v>0</v>
          </cell>
          <cell r="R100">
            <v>146620.27001900002</v>
          </cell>
          <cell r="S100">
            <v>6.7093873089676519</v>
          </cell>
          <cell r="T100">
            <v>0.31986500000000001</v>
          </cell>
          <cell r="U100">
            <v>4.6695851869051697E-3</v>
          </cell>
          <cell r="V100">
            <v>1.2E-2</v>
          </cell>
          <cell r="W100">
            <v>0.32644999999999996</v>
          </cell>
          <cell r="X100">
            <v>7.016</v>
          </cell>
          <cell r="Y100">
            <v>12.500062</v>
          </cell>
          <cell r="AB100">
            <v>0</v>
          </cell>
          <cell r="AC100">
            <v>0.19680189835960663</v>
          </cell>
          <cell r="AD100">
            <v>5.4651462422164135E-2</v>
          </cell>
          <cell r="AE100">
            <v>2.94620025</v>
          </cell>
          <cell r="AF100">
            <v>15.171529136591843</v>
          </cell>
          <cell r="AG100">
            <v>9.1787440859770228</v>
          </cell>
          <cell r="AH100">
            <v>202307</v>
          </cell>
        </row>
        <row r="101">
          <cell r="C101">
            <v>45109</v>
          </cell>
          <cell r="D101">
            <v>350793</v>
          </cell>
          <cell r="E101">
            <v>34981</v>
          </cell>
          <cell r="F101">
            <v>17690.240000000002</v>
          </cell>
          <cell r="G101">
            <v>2952</v>
          </cell>
          <cell r="H101">
            <v>2778</v>
          </cell>
          <cell r="I101">
            <v>174000</v>
          </cell>
          <cell r="J101">
            <v>182071.68000000002</v>
          </cell>
          <cell r="K101">
            <v>48913.24</v>
          </cell>
          <cell r="L101">
            <v>7408</v>
          </cell>
          <cell r="M101">
            <v>325971</v>
          </cell>
          <cell r="N101">
            <v>8712</v>
          </cell>
          <cell r="O101">
            <v>6350</v>
          </cell>
          <cell r="P101">
            <v>202.02837599999998</v>
          </cell>
          <cell r="Q101">
            <v>0</v>
          </cell>
          <cell r="R101">
            <v>146967.5558692</v>
          </cell>
          <cell r="S101">
            <v>6.9047733663318676</v>
          </cell>
          <cell r="T101">
            <v>0.33312199999999997</v>
          </cell>
          <cell r="U101">
            <v>4.6647996443407412E-3</v>
          </cell>
          <cell r="V101">
            <v>1.2E-2</v>
          </cell>
          <cell r="W101">
            <v>0.32532</v>
          </cell>
          <cell r="X101">
            <v>7.016</v>
          </cell>
          <cell r="Y101">
            <v>12.500054</v>
          </cell>
          <cell r="AB101">
            <v>0</v>
          </cell>
          <cell r="AC101">
            <v>0.18972269338264236</v>
          </cell>
          <cell r="AD101">
            <v>5.6690273455529842E-2</v>
          </cell>
          <cell r="AE101">
            <v>2.9389002500000001</v>
          </cell>
          <cell r="AF101">
            <v>15.176909332374334</v>
          </cell>
          <cell r="AG101">
            <v>9.1833679091712455</v>
          </cell>
          <cell r="AH101">
            <v>202307</v>
          </cell>
        </row>
        <row r="102">
          <cell r="C102">
            <v>45110</v>
          </cell>
          <cell r="D102">
            <v>353140</v>
          </cell>
          <cell r="E102">
            <v>35371</v>
          </cell>
          <cell r="F102">
            <v>17623.62</v>
          </cell>
          <cell r="G102">
            <v>2986</v>
          </cell>
          <cell r="H102">
            <v>2860</v>
          </cell>
          <cell r="I102">
            <v>174000</v>
          </cell>
          <cell r="J102">
            <v>152311.68000000002</v>
          </cell>
          <cell r="K102">
            <v>46190.01</v>
          </cell>
          <cell r="L102">
            <v>7644</v>
          </cell>
          <cell r="M102">
            <v>364230</v>
          </cell>
          <cell r="N102">
            <v>8508</v>
          </cell>
          <cell r="O102">
            <v>1408</v>
          </cell>
          <cell r="P102">
            <v>208.00368599999999</v>
          </cell>
          <cell r="Q102">
            <v>0</v>
          </cell>
          <cell r="R102">
            <v>138351.77395870004</v>
          </cell>
          <cell r="S102">
            <v>6.9339396908369633</v>
          </cell>
          <cell r="T102">
            <v>0.33385100000000001</v>
          </cell>
          <cell r="U102">
            <v>4.6535012331975064E-3</v>
          </cell>
          <cell r="V102">
            <v>1.2E-2</v>
          </cell>
          <cell r="W102">
            <v>0.31586000000000003</v>
          </cell>
          <cell r="X102">
            <v>7.016</v>
          </cell>
          <cell r="Y102">
            <v>12.163</v>
          </cell>
          <cell r="AB102">
            <v>0</v>
          </cell>
          <cell r="AC102">
            <v>0.19142170257711377</v>
          </cell>
          <cell r="AD102">
            <v>5.7822946251844122E-2</v>
          </cell>
          <cell r="AE102">
            <v>2.9473002500000001</v>
          </cell>
          <cell r="AF102">
            <v>15.175238639999773</v>
          </cell>
          <cell r="AG102">
            <v>9.0912724748057538</v>
          </cell>
          <cell r="AH102">
            <v>202307</v>
          </cell>
          <cell r="AI102" t="str">
            <v>Prev day data for Myanmar.</v>
          </cell>
          <cell r="AJ102" t="str">
            <v xml:space="preserve">
Vankor:Deferment due to Installation of the mainline block valve at the pump station  and replacement of shut-off &amp; control valve  ( FWKF-South facility)
SCB:Intermittent pumping.Field prod 3.6k.</v>
          </cell>
        </row>
        <row r="103">
          <cell r="C103">
            <v>45111</v>
          </cell>
          <cell r="D103">
            <v>347544</v>
          </cell>
          <cell r="E103">
            <v>33623</v>
          </cell>
          <cell r="F103">
            <v>17612.12</v>
          </cell>
          <cell r="G103">
            <v>3002</v>
          </cell>
          <cell r="H103">
            <v>2762</v>
          </cell>
          <cell r="I103">
            <v>174000</v>
          </cell>
          <cell r="J103">
            <v>138577</v>
          </cell>
          <cell r="K103">
            <v>45248.52</v>
          </cell>
          <cell r="L103">
            <v>7745</v>
          </cell>
          <cell r="M103">
            <v>354962</v>
          </cell>
          <cell r="N103">
            <v>8486</v>
          </cell>
          <cell r="O103">
            <v>3617</v>
          </cell>
          <cell r="P103">
            <v>213.41291399999997</v>
          </cell>
          <cell r="Q103">
            <v>0</v>
          </cell>
          <cell r="R103">
            <v>134383.36746129999</v>
          </cell>
          <cell r="S103">
            <v>6.938187213823138</v>
          </cell>
          <cell r="T103">
            <v>0.40017599999999998</v>
          </cell>
          <cell r="U103">
            <v>4.5012133757330519E-3</v>
          </cell>
          <cell r="V103">
            <v>1.2E-2</v>
          </cell>
          <cell r="W103">
            <v>0.30573</v>
          </cell>
          <cell r="X103">
            <v>7.016</v>
          </cell>
          <cell r="Y103">
            <v>12.26</v>
          </cell>
          <cell r="AB103">
            <v>0</v>
          </cell>
          <cell r="AC103">
            <v>0.18632467499369951</v>
          </cell>
          <cell r="AD103">
            <v>5.955027226622342E-2</v>
          </cell>
          <cell r="AE103">
            <v>2.9520002500000002</v>
          </cell>
          <cell r="AF103">
            <v>15.278425131744005</v>
          </cell>
          <cell r="AG103">
            <v>9.144048702054608</v>
          </cell>
          <cell r="AH103">
            <v>202307</v>
          </cell>
          <cell r="AI103" t="str">
            <v>Prev day data for SPOC.</v>
          </cell>
          <cell r="AJ103" t="str">
            <v xml:space="preserve">
Vankor:Deferment due to ongoing installation of block valve and replacement of shutoff and control valve at FWKF-South(48 hrs). Production expected to ramp up tomorrow onwards.
GPOC:Production disruption during the day in Eltoor FPF due to transimission line problem.
</v>
          </cell>
        </row>
        <row r="104">
          <cell r="C104">
            <v>45112</v>
          </cell>
          <cell r="D104">
            <v>352709</v>
          </cell>
          <cell r="E104">
            <v>34453</v>
          </cell>
          <cell r="F104">
            <v>17257.7</v>
          </cell>
          <cell r="G104">
            <v>2963</v>
          </cell>
          <cell r="H104">
            <v>2736</v>
          </cell>
          <cell r="I104">
            <v>174000</v>
          </cell>
          <cell r="J104">
            <v>169669</v>
          </cell>
          <cell r="K104">
            <v>44704.45</v>
          </cell>
          <cell r="L104">
            <v>7718</v>
          </cell>
          <cell r="M104">
            <v>351227</v>
          </cell>
          <cell r="N104">
            <v>8721</v>
          </cell>
          <cell r="O104">
            <v>7160</v>
          </cell>
          <cell r="P104">
            <v>210.64540199999999</v>
          </cell>
          <cell r="Q104">
            <v>0</v>
          </cell>
          <cell r="R104">
            <v>143666.97833089999</v>
          </cell>
          <cell r="S104">
            <v>7.0709930991909893</v>
          </cell>
          <cell r="T104">
            <v>0.412769</v>
          </cell>
          <cell r="U104">
            <v>3.4993076537532526E-3</v>
          </cell>
          <cell r="V104">
            <v>1.2E-2</v>
          </cell>
          <cell r="W104">
            <v>0.30557000000000001</v>
          </cell>
          <cell r="X104">
            <v>7.016</v>
          </cell>
          <cell r="Y104">
            <v>11.78</v>
          </cell>
          <cell r="AB104">
            <v>0</v>
          </cell>
          <cell r="AC104">
            <v>0.18575833859554233</v>
          </cell>
          <cell r="AD104">
            <v>6.0428093683366976E-2</v>
          </cell>
          <cell r="AE104">
            <v>2.9590002499999999</v>
          </cell>
          <cell r="AF104">
            <v>15.17620141187664</v>
          </cell>
          <cell r="AG104">
            <v>9.0109160931868253</v>
          </cell>
          <cell r="AH104">
            <v>202307</v>
          </cell>
          <cell r="AI104" t="str">
            <v>Prev day data for BC-10</v>
          </cell>
          <cell r="AJ104" t="str">
            <v xml:space="preserve">
SCB:Intermittent pumping. Field prod 3.5k bopd
Vankor:Ramp up ongoing.
LZC:Quota for the month is 355k.
GPOC:Power disturbance in EL toor, also 3 wells closed due to bioremediation limitation</v>
          </cell>
        </row>
        <row r="105">
          <cell r="C105">
            <v>45113</v>
          </cell>
          <cell r="D105">
            <v>341428</v>
          </cell>
          <cell r="E105">
            <v>34862</v>
          </cell>
          <cell r="F105">
            <v>16669.400000000001</v>
          </cell>
          <cell r="G105">
            <v>2990</v>
          </cell>
          <cell r="H105">
            <v>2672</v>
          </cell>
          <cell r="I105">
            <v>174000</v>
          </cell>
          <cell r="J105">
            <v>178321.92000000001</v>
          </cell>
          <cell r="K105">
            <v>46448.78</v>
          </cell>
          <cell r="L105">
            <v>5019</v>
          </cell>
          <cell r="M105">
            <v>345084</v>
          </cell>
          <cell r="N105">
            <v>7257</v>
          </cell>
          <cell r="O105">
            <v>1280</v>
          </cell>
          <cell r="P105">
            <v>220.77197999999999</v>
          </cell>
          <cell r="Q105">
            <v>0</v>
          </cell>
          <cell r="R105">
            <v>142335.01214099998</v>
          </cell>
          <cell r="S105">
            <v>6.4763398811259911</v>
          </cell>
          <cell r="T105">
            <v>0.407109</v>
          </cell>
          <cell r="U105">
            <v>2.5342704312934839E-3</v>
          </cell>
          <cell r="V105">
            <v>1.2E-2</v>
          </cell>
          <cell r="W105">
            <v>0.30513000000000001</v>
          </cell>
          <cell r="X105">
            <v>7.016</v>
          </cell>
          <cell r="Y105">
            <v>12.458591</v>
          </cell>
          <cell r="AB105">
            <v>0</v>
          </cell>
          <cell r="AC105">
            <v>0.19793457115592089</v>
          </cell>
          <cell r="AD105">
            <v>5.8927302228250551E-2</v>
          </cell>
          <cell r="AE105">
            <v>2.9617002499999998</v>
          </cell>
          <cell r="AF105">
            <v>15.16578082215055</v>
          </cell>
          <cell r="AG105">
            <v>9.1711521065399602</v>
          </cell>
          <cell r="AH105">
            <v>202307</v>
          </cell>
          <cell r="AI105" t="str">
            <v>Prev day data for ACG,SPOC</v>
          </cell>
          <cell r="AJ105" t="str">
            <v xml:space="preserve">
SCB: Intermittent pumping. Field prod 2.6 kbopd. Disruption due to power failure.
IEC:Servicing of 1st stage seperator at Maiskoye and re-filling it.
CPO-5:Mariposa well closed for PBU.
LZC:Quota for the month is 355k.</v>
          </cell>
        </row>
        <row r="106">
          <cell r="C106">
            <v>45114</v>
          </cell>
          <cell r="D106">
            <v>348952</v>
          </cell>
          <cell r="E106">
            <v>33465</v>
          </cell>
          <cell r="F106">
            <v>16974.79</v>
          </cell>
          <cell r="G106">
            <v>2985</v>
          </cell>
          <cell r="H106">
            <v>2748</v>
          </cell>
          <cell r="I106">
            <v>174000</v>
          </cell>
          <cell r="J106">
            <v>179378.40000000002</v>
          </cell>
          <cell r="K106">
            <v>44838.52</v>
          </cell>
          <cell r="L106">
            <v>7040</v>
          </cell>
          <cell r="M106">
            <v>360195</v>
          </cell>
          <cell r="N106">
            <v>8811</v>
          </cell>
          <cell r="O106">
            <v>5810</v>
          </cell>
          <cell r="P106">
            <v>210.07931999999997</v>
          </cell>
          <cell r="Q106">
            <v>0</v>
          </cell>
          <cell r="R106">
            <v>145361.15389399999</v>
          </cell>
          <cell r="S106">
            <v>10.48203722529145</v>
          </cell>
          <cell r="T106">
            <v>0.30439899999999998</v>
          </cell>
          <cell r="U106">
            <v>3.1858687741931828E-3</v>
          </cell>
          <cell r="V106">
            <v>1.2E-2</v>
          </cell>
          <cell r="W106">
            <v>0.30608999999999997</v>
          </cell>
          <cell r="X106">
            <v>7.016</v>
          </cell>
          <cell r="Y106">
            <v>12.241811</v>
          </cell>
          <cell r="AB106">
            <v>0</v>
          </cell>
          <cell r="AC106">
            <v>0.20246526234117804</v>
          </cell>
          <cell r="AD106">
            <v>6.0682945062537685E-2</v>
          </cell>
          <cell r="AE106">
            <v>2.9671002500000001</v>
          </cell>
          <cell r="AF106">
            <v>15.089778477517859</v>
          </cell>
          <cell r="AG106">
            <v>9.1717155686067482</v>
          </cell>
          <cell r="AH106">
            <v>202307</v>
          </cell>
        </row>
        <row r="107">
          <cell r="C107">
            <v>45115</v>
          </cell>
          <cell r="D107">
            <v>347304</v>
          </cell>
          <cell r="E107">
            <v>34384</v>
          </cell>
          <cell r="F107">
            <v>17472.580000000002</v>
          </cell>
          <cell r="G107">
            <v>3017</v>
          </cell>
          <cell r="H107">
            <v>2720</v>
          </cell>
          <cell r="I107">
            <v>174000</v>
          </cell>
          <cell r="J107">
            <v>179385.84</v>
          </cell>
          <cell r="K107">
            <v>45956.75</v>
          </cell>
          <cell r="L107">
            <v>7623</v>
          </cell>
          <cell r="M107">
            <v>372662</v>
          </cell>
          <cell r="N107">
            <v>8891</v>
          </cell>
          <cell r="O107">
            <v>966</v>
          </cell>
          <cell r="P107">
            <v>198.12869999999998</v>
          </cell>
          <cell r="Q107">
            <v>0</v>
          </cell>
          <cell r="R107">
            <v>144894.31096500001</v>
          </cell>
          <cell r="S107">
            <v>7.0149257957734283</v>
          </cell>
          <cell r="T107">
            <v>0.327405</v>
          </cell>
          <cell r="U107">
            <v>4.4279294458115176E-3</v>
          </cell>
          <cell r="V107">
            <v>1.2E-2</v>
          </cell>
          <cell r="W107">
            <v>0.30917</v>
          </cell>
          <cell r="X107">
            <v>7.016</v>
          </cell>
          <cell r="Y107">
            <v>12.442347999999999</v>
          </cell>
          <cell r="AB107">
            <v>0</v>
          </cell>
          <cell r="AC107">
            <v>0.21549099949879227</v>
          </cell>
          <cell r="AD107">
            <v>5.9295420887052697E-2</v>
          </cell>
          <cell r="AE107">
            <v>2.95590025</v>
          </cell>
          <cell r="AF107">
            <v>15.165667554870918</v>
          </cell>
          <cell r="AG107">
            <v>9.1626649416221788</v>
          </cell>
          <cell r="AH107">
            <v>202307</v>
          </cell>
        </row>
        <row r="108">
          <cell r="C108">
            <v>45116</v>
          </cell>
          <cell r="D108">
            <v>342793</v>
          </cell>
          <cell r="E108">
            <v>34409</v>
          </cell>
          <cell r="F108">
            <v>17428.68</v>
          </cell>
          <cell r="G108">
            <v>3037</v>
          </cell>
          <cell r="H108">
            <v>2819</v>
          </cell>
          <cell r="I108">
            <v>174000</v>
          </cell>
          <cell r="J108">
            <v>184593.84</v>
          </cell>
          <cell r="K108">
            <v>46117.43</v>
          </cell>
          <cell r="L108">
            <v>7608</v>
          </cell>
          <cell r="M108">
            <v>359736</v>
          </cell>
          <cell r="N108">
            <v>9030</v>
          </cell>
          <cell r="O108">
            <v>0</v>
          </cell>
          <cell r="P108">
            <v>209.57613599999999</v>
          </cell>
          <cell r="Q108">
            <v>0</v>
          </cell>
          <cell r="R108">
            <v>145382.75946119995</v>
          </cell>
          <cell r="S108">
            <v>7.0341812333107763</v>
          </cell>
          <cell r="T108">
            <v>0.32689200000000002</v>
          </cell>
          <cell r="U108">
            <v>4.613008180729271E-3</v>
          </cell>
          <cell r="V108">
            <v>1.2E-2</v>
          </cell>
          <cell r="W108">
            <v>0.30758999999999997</v>
          </cell>
          <cell r="X108">
            <v>7.016</v>
          </cell>
          <cell r="Y108">
            <v>12.475614</v>
          </cell>
          <cell r="AB108">
            <v>0</v>
          </cell>
          <cell r="AC108">
            <v>0.21209298110984942</v>
          </cell>
          <cell r="AD108">
            <v>6.1022746901431973E-2</v>
          </cell>
          <cell r="AE108">
            <v>2.9471002500000001</v>
          </cell>
          <cell r="AF108">
            <v>15.164591515714418</v>
          </cell>
          <cell r="AG108">
            <v>9.1663441690700971</v>
          </cell>
          <cell r="AH108">
            <v>202307</v>
          </cell>
          <cell r="AI108" t="str">
            <v>Prev day data for SPOC,SCB.</v>
          </cell>
          <cell r="AJ108" t="str">
            <v>LZC:Quota for the month is 355k. 
SCB:Intermittent pumping-field prod 3.5 kbopd</v>
          </cell>
        </row>
        <row r="109">
          <cell r="C109">
            <v>45117</v>
          </cell>
          <cell r="D109">
            <v>361465</v>
          </cell>
          <cell r="E109">
            <v>34390</v>
          </cell>
          <cell r="F109">
            <v>17460.41</v>
          </cell>
          <cell r="G109">
            <v>3007</v>
          </cell>
          <cell r="H109">
            <v>2626</v>
          </cell>
          <cell r="I109">
            <v>174000</v>
          </cell>
          <cell r="J109">
            <v>179921.52000000002</v>
          </cell>
          <cell r="K109">
            <v>48132.29</v>
          </cell>
          <cell r="L109">
            <v>7735</v>
          </cell>
          <cell r="M109">
            <v>360521</v>
          </cell>
          <cell r="N109">
            <v>8407</v>
          </cell>
          <cell r="O109">
            <v>3528</v>
          </cell>
          <cell r="P109">
            <v>228.44553599999998</v>
          </cell>
          <cell r="Q109">
            <v>0</v>
          </cell>
          <cell r="R109">
            <v>146325.27544120004</v>
          </cell>
          <cell r="S109">
            <v>7.0180406459632962</v>
          </cell>
          <cell r="T109">
            <v>0.32797199999999999</v>
          </cell>
          <cell r="U109">
            <v>4.3970357952920454E-3</v>
          </cell>
          <cell r="V109">
            <v>1.2E-2</v>
          </cell>
          <cell r="W109">
            <v>0.29686000000000001</v>
          </cell>
          <cell r="X109">
            <v>7.016</v>
          </cell>
          <cell r="Y109">
            <v>12.589489</v>
          </cell>
          <cell r="AB109">
            <v>0</v>
          </cell>
          <cell r="AC109">
            <v>0.18604150679462095</v>
          </cell>
          <cell r="AD109">
            <v>6.1277598280602696E-2</v>
          </cell>
          <cell r="AE109">
            <v>2.9524002500000002</v>
          </cell>
          <cell r="AF109">
            <v>15.17962774708549</v>
          </cell>
          <cell r="AG109">
            <v>9.1871666785426402</v>
          </cell>
          <cell r="AH109">
            <v>202307</v>
          </cell>
          <cell r="AI109" t="str">
            <v>Prev day data for SPOC</v>
          </cell>
          <cell r="AJ109" t="str">
            <v>IEC:Sn#506 closed during the day for valve repair. Reopened.
SCB:Intermittent pumping. Field prod 3.6k.</v>
          </cell>
        </row>
        <row r="110">
          <cell r="C110">
            <v>45118</v>
          </cell>
          <cell r="D110">
            <v>361407</v>
          </cell>
          <cell r="E110">
            <v>34409</v>
          </cell>
          <cell r="F110">
            <v>17458.78</v>
          </cell>
          <cell r="G110">
            <v>2969</v>
          </cell>
          <cell r="H110">
            <v>2722</v>
          </cell>
          <cell r="I110">
            <v>174000</v>
          </cell>
          <cell r="J110">
            <v>181387.2</v>
          </cell>
          <cell r="K110">
            <v>47423.839999999997</v>
          </cell>
          <cell r="L110">
            <v>7739</v>
          </cell>
          <cell r="M110">
            <v>367627</v>
          </cell>
          <cell r="N110">
            <v>7799</v>
          </cell>
          <cell r="O110">
            <v>5218</v>
          </cell>
          <cell r="P110">
            <v>220.45748999999998</v>
          </cell>
          <cell r="Q110">
            <v>0</v>
          </cell>
          <cell r="R110">
            <v>147499.61932050003</v>
          </cell>
          <cell r="S110">
            <v>6.5836606285767676</v>
          </cell>
          <cell r="T110">
            <v>0.329702</v>
          </cell>
          <cell r="U110">
            <v>4.6636386547245197E-3</v>
          </cell>
          <cell r="V110">
            <v>1.2E-2</v>
          </cell>
          <cell r="W110">
            <v>0.30652999999999997</v>
          </cell>
          <cell r="X110">
            <v>7.016</v>
          </cell>
          <cell r="Y110">
            <v>12.683</v>
          </cell>
          <cell r="AB110">
            <v>0</v>
          </cell>
          <cell r="AC110">
            <v>0.17641378802594954</v>
          </cell>
          <cell r="AD110">
            <v>5.9182153607421267E-2</v>
          </cell>
          <cell r="AE110">
            <v>2.9543002500000002</v>
          </cell>
          <cell r="AF110">
            <v>15.164195080235709</v>
          </cell>
          <cell r="AG110">
            <v>9.208103301844325</v>
          </cell>
          <cell r="AH110">
            <v>202307</v>
          </cell>
          <cell r="AI110" t="str">
            <v>Prev day data for ACG,SPOC</v>
          </cell>
          <cell r="AJ110" t="str">
            <v>Carabobo-1:Production deferment due to electrical flickering._x000D_
SCB:Intermittent pumping. Field prod 3.6k.</v>
          </cell>
        </row>
        <row r="111">
          <cell r="C111">
            <v>45119</v>
          </cell>
          <cell r="D111">
            <v>328122</v>
          </cell>
          <cell r="E111">
            <v>34610</v>
          </cell>
          <cell r="F111">
            <v>17449.63</v>
          </cell>
          <cell r="G111">
            <v>2975</v>
          </cell>
          <cell r="H111">
            <v>2743</v>
          </cell>
          <cell r="I111">
            <v>174000</v>
          </cell>
          <cell r="J111">
            <v>183470</v>
          </cell>
          <cell r="K111">
            <v>46024.97</v>
          </cell>
          <cell r="L111">
            <v>7587</v>
          </cell>
          <cell r="M111">
            <v>370416</v>
          </cell>
          <cell r="N111">
            <v>8134</v>
          </cell>
          <cell r="O111">
            <v>1014</v>
          </cell>
          <cell r="P111">
            <v>210.64540199999999</v>
          </cell>
          <cell r="Q111">
            <v>0</v>
          </cell>
          <cell r="R111">
            <v>145420.13588089999</v>
          </cell>
          <cell r="S111">
            <v>6.7430843246580032</v>
          </cell>
          <cell r="T111">
            <v>0.33180599999999999</v>
          </cell>
          <cell r="U111">
            <v>4.558809787425633E-3</v>
          </cell>
          <cell r="V111">
            <v>1.2E-2</v>
          </cell>
          <cell r="W111">
            <v>0.29747000000000001</v>
          </cell>
          <cell r="X111">
            <v>7.016</v>
          </cell>
          <cell r="Y111">
            <v>12.92</v>
          </cell>
          <cell r="AB111">
            <v>0</v>
          </cell>
          <cell r="AC111">
            <v>0.19793457115592089</v>
          </cell>
          <cell r="AD111">
            <v>6.0088291844472695E-2</v>
          </cell>
          <cell r="AE111">
            <v>2.94620025</v>
          </cell>
          <cell r="AF111">
            <v>15.165610921231099</v>
          </cell>
          <cell r="AG111">
            <v>9.2641661234250243</v>
          </cell>
          <cell r="AH111">
            <v>202307</v>
          </cell>
          <cell r="AI111" t="str">
            <v>Prev day data for ACG,BC-10,MECL,SPOC</v>
          </cell>
          <cell r="AJ111" t="str">
            <v>LZC:Quota for the month is 355 k bopd.
SCB:Intermittent pumping. field prod 3.6k bopd</v>
          </cell>
        </row>
        <row r="112">
          <cell r="C112">
            <v>45120</v>
          </cell>
          <cell r="D112">
            <v>371569</v>
          </cell>
          <cell r="E112">
            <v>35195</v>
          </cell>
          <cell r="F112">
            <v>17429.43</v>
          </cell>
          <cell r="G112">
            <v>2994</v>
          </cell>
          <cell r="H112">
            <v>2718</v>
          </cell>
          <cell r="I112">
            <v>174000</v>
          </cell>
          <cell r="J112">
            <v>184311</v>
          </cell>
          <cell r="K112">
            <v>44743</v>
          </cell>
          <cell r="L112">
            <v>7422</v>
          </cell>
          <cell r="M112">
            <v>371921</v>
          </cell>
          <cell r="N112">
            <v>8064.9999999999991</v>
          </cell>
          <cell r="O112">
            <v>6681</v>
          </cell>
          <cell r="P112">
            <v>208.31817599999997</v>
          </cell>
          <cell r="Q112">
            <v>0</v>
          </cell>
          <cell r="R112">
            <v>148728.7955792</v>
          </cell>
          <cell r="S112">
            <v>6.6705932656938902</v>
          </cell>
          <cell r="T112">
            <v>0.32932800000000001</v>
          </cell>
          <cell r="U112">
            <v>4.7796809827069181E-3</v>
          </cell>
          <cell r="V112">
            <v>1.2E-2</v>
          </cell>
          <cell r="W112">
            <v>0.30835000000000001</v>
          </cell>
          <cell r="X112">
            <v>7.016</v>
          </cell>
          <cell r="Y112">
            <v>13.06</v>
          </cell>
          <cell r="AB112">
            <v>0</v>
          </cell>
          <cell r="AC112">
            <v>0.17981180641489236</v>
          </cell>
          <cell r="AD112">
            <v>6.357126069313912E-2</v>
          </cell>
          <cell r="AE112">
            <v>2.9567002499999999</v>
          </cell>
          <cell r="AF112">
            <v>15.165242802572299</v>
          </cell>
          <cell r="AG112">
            <v>9.3133192330456094</v>
          </cell>
          <cell r="AH112">
            <v>202307</v>
          </cell>
          <cell r="AI112" t="str">
            <v xml:space="preserve"> </v>
          </cell>
          <cell r="AJ112" t="str">
            <v xml:space="preserve">
GPOC: Production deferment due to power failure(overcurrent) in the evening in Toma south,El nar and El Toor (North fields)
SCB:Intermittent pumping. Field prod 3.2k bopd. Deferment due to power failiure.
</v>
          </cell>
        </row>
        <row r="113">
          <cell r="C113">
            <v>45121</v>
          </cell>
          <cell r="D113">
            <v>373200</v>
          </cell>
          <cell r="E113">
            <v>34893</v>
          </cell>
          <cell r="F113">
            <v>17432.990000000002</v>
          </cell>
          <cell r="G113">
            <v>3032</v>
          </cell>
          <cell r="H113">
            <v>2735</v>
          </cell>
          <cell r="I113">
            <v>174000</v>
          </cell>
          <cell r="J113">
            <v>186453.84</v>
          </cell>
          <cell r="K113">
            <v>46256.36</v>
          </cell>
          <cell r="L113">
            <v>4766</v>
          </cell>
          <cell r="M113">
            <v>369099</v>
          </cell>
          <cell r="N113">
            <v>8015.0000000000009</v>
          </cell>
          <cell r="O113">
            <v>6075</v>
          </cell>
          <cell r="P113">
            <v>216.935202</v>
          </cell>
          <cell r="Q113">
            <v>0</v>
          </cell>
          <cell r="R113">
            <v>148661.2397409</v>
          </cell>
          <cell r="S113">
            <v>6.613110121280938</v>
          </cell>
          <cell r="T113">
            <v>0.33363599999999999</v>
          </cell>
          <cell r="U113">
            <v>4.4488555757234245E-3</v>
          </cell>
          <cell r="V113">
            <v>1.2E-2</v>
          </cell>
          <cell r="W113">
            <v>0.30964999999999998</v>
          </cell>
          <cell r="X113">
            <v>7.016</v>
          </cell>
          <cell r="Y113">
            <v>12.920798000000001</v>
          </cell>
          <cell r="AA113">
            <v>0</v>
          </cell>
          <cell r="AB113">
            <v>0</v>
          </cell>
          <cell r="AC113">
            <v>0.16225537807202101</v>
          </cell>
          <cell r="AD113">
            <v>6.2438587896824833E-2</v>
          </cell>
          <cell r="AE113">
            <v>2.9451002499999999</v>
          </cell>
          <cell r="AF113">
            <v>15.450987832262486</v>
          </cell>
          <cell r="AG113">
            <v>9.3190028134358709</v>
          </cell>
          <cell r="AH113">
            <v>202307</v>
          </cell>
          <cell r="AJ113" t="str">
            <v xml:space="preserve">
SCB:Intermittent pumping. Field prod 3.3 kbopd.</v>
          </cell>
        </row>
        <row r="114">
          <cell r="C114">
            <v>45122</v>
          </cell>
          <cell r="D114">
            <v>363389</v>
          </cell>
          <cell r="E114">
            <v>34962</v>
          </cell>
          <cell r="F114">
            <v>17450.66</v>
          </cell>
          <cell r="G114">
            <v>3084</v>
          </cell>
          <cell r="H114">
            <v>2727</v>
          </cell>
          <cell r="I114">
            <v>174000</v>
          </cell>
          <cell r="J114">
            <v>187004.40000000002</v>
          </cell>
          <cell r="K114">
            <v>44036.43</v>
          </cell>
          <cell r="L114">
            <v>6153</v>
          </cell>
          <cell r="M114">
            <v>365881</v>
          </cell>
          <cell r="N114">
            <v>8211</v>
          </cell>
          <cell r="O114">
            <v>5700</v>
          </cell>
          <cell r="P114">
            <v>209.513238</v>
          </cell>
          <cell r="Q114">
            <v>0</v>
          </cell>
          <cell r="R114">
            <v>148145.88160710002</v>
          </cell>
          <cell r="S114">
            <v>6.5893239925583407</v>
          </cell>
          <cell r="T114">
            <v>0.34418700000000002</v>
          </cell>
          <cell r="U114">
            <v>4.5904679920826166E-3</v>
          </cell>
          <cell r="V114">
            <v>1.2E-2</v>
          </cell>
          <cell r="W114">
            <v>0.31013000000000002</v>
          </cell>
          <cell r="X114">
            <v>7.016</v>
          </cell>
          <cell r="Y114">
            <v>12.878868000000001</v>
          </cell>
          <cell r="AA114">
            <v>0</v>
          </cell>
          <cell r="AB114">
            <v>0</v>
          </cell>
          <cell r="AC114">
            <v>0.17046725584529954</v>
          </cell>
          <cell r="AD114">
            <v>5.9295420887052697E-2</v>
          </cell>
          <cell r="AE114">
            <v>2.9313002500000001</v>
          </cell>
          <cell r="AF114">
            <v>15.452063871418982</v>
          </cell>
          <cell r="AG114">
            <v>9.3045984189615858</v>
          </cell>
          <cell r="AH114">
            <v>202307</v>
          </cell>
        </row>
        <row r="115">
          <cell r="C115">
            <v>45123</v>
          </cell>
          <cell r="D115">
            <v>359625</v>
          </cell>
          <cell r="E115">
            <v>38906</v>
          </cell>
          <cell r="F115">
            <v>17426.560000000001</v>
          </cell>
          <cell r="G115">
            <v>3132</v>
          </cell>
          <cell r="H115">
            <v>2762</v>
          </cell>
          <cell r="I115">
            <v>174000</v>
          </cell>
          <cell r="J115">
            <v>186758.88</v>
          </cell>
          <cell r="K115">
            <v>45380.99</v>
          </cell>
          <cell r="L115">
            <v>7568</v>
          </cell>
          <cell r="M115">
            <v>360924</v>
          </cell>
          <cell r="N115">
            <v>8488</v>
          </cell>
          <cell r="O115">
            <v>834</v>
          </cell>
          <cell r="P115">
            <v>203.41213200000001</v>
          </cell>
          <cell r="Q115">
            <v>0</v>
          </cell>
          <cell r="R115">
            <v>147662.66125939999</v>
          </cell>
          <cell r="S115">
            <v>6.8399278487428727</v>
          </cell>
          <cell r="T115">
            <v>0.33705400000000002</v>
          </cell>
          <cell r="U115">
            <v>4.5789996800199347E-3</v>
          </cell>
          <cell r="V115">
            <v>1.2E-2</v>
          </cell>
          <cell r="W115">
            <v>0.30951999999999996</v>
          </cell>
          <cell r="X115">
            <v>7.016</v>
          </cell>
          <cell r="Y115">
            <v>12.848268000000001</v>
          </cell>
          <cell r="AA115">
            <v>0</v>
          </cell>
          <cell r="AB115">
            <v>0</v>
          </cell>
          <cell r="AC115">
            <v>0.1834929930029138</v>
          </cell>
          <cell r="AD115">
            <v>5.9521955446315548E-2</v>
          </cell>
          <cell r="AE115">
            <v>2.9368002500000001</v>
          </cell>
          <cell r="AF115">
            <v>15.444616547783218</v>
          </cell>
          <cell r="AG115">
            <v>9.3026198301139686</v>
          </cell>
          <cell r="AH115">
            <v>202307</v>
          </cell>
          <cell r="AI115" t="str">
            <v>Prev day data for ACG,BC-10.</v>
          </cell>
          <cell r="AJ115" t="str">
            <v xml:space="preserve">
S-1:Gas prod'n figure updated based on latest report for June'23. Gas prod'n low due to summers.
LZC:Quota for the month is 355k bopd.
SCB:Intermittent pumping. Field prod 3.5 kbopd</v>
          </cell>
        </row>
        <row r="116">
          <cell r="C116">
            <v>45124</v>
          </cell>
          <cell r="D116">
            <v>353685</v>
          </cell>
          <cell r="E116">
            <v>35113</v>
          </cell>
          <cell r="F116">
            <v>17355.919999999998</v>
          </cell>
          <cell r="G116">
            <v>3158</v>
          </cell>
          <cell r="H116">
            <v>2701</v>
          </cell>
          <cell r="I116">
            <v>174000</v>
          </cell>
          <cell r="J116">
            <v>184556.64</v>
          </cell>
          <cell r="K116">
            <v>45908.100000000006</v>
          </cell>
          <cell r="L116">
            <v>7410</v>
          </cell>
          <cell r="M116">
            <v>371959</v>
          </cell>
          <cell r="N116">
            <v>8504</v>
          </cell>
          <cell r="O116">
            <v>5759</v>
          </cell>
          <cell r="P116">
            <v>226.62149399999998</v>
          </cell>
          <cell r="Q116">
            <v>0</v>
          </cell>
          <cell r="R116">
            <v>148348.57107229999</v>
          </cell>
          <cell r="S116">
            <v>7.2641138109625727</v>
          </cell>
          <cell r="T116">
            <v>0.33774799999999999</v>
          </cell>
          <cell r="U116">
            <v>4.5534579084630482E-3</v>
          </cell>
          <cell r="V116">
            <v>1.2E-2</v>
          </cell>
          <cell r="W116">
            <v>0.30737000000000003</v>
          </cell>
          <cell r="X116">
            <v>7.016</v>
          </cell>
          <cell r="Y116">
            <v>12.691000000000001</v>
          </cell>
          <cell r="AB116">
            <v>0</v>
          </cell>
          <cell r="AC116">
            <v>0.1815108156093638</v>
          </cell>
          <cell r="AD116">
            <v>6.3288092494060547E-2</v>
          </cell>
          <cell r="AE116">
            <v>2.9408002500000001</v>
          </cell>
          <cell r="AF116">
            <v>15.452545257357416</v>
          </cell>
          <cell r="AG116">
            <v>9.2739846425345753</v>
          </cell>
          <cell r="AH116">
            <v>202307</v>
          </cell>
          <cell r="AI116" t="str">
            <v>Prev day data for BC-10</v>
          </cell>
          <cell r="AJ116" t="str">
            <v xml:space="preserve">
S-1:Gas prod'n figure updated based on latest report for June'23. Gas prod'n low due to summers.
LZC:Quota for the month is 355k bopd.
SCB:Intermittent pumping. Field prod 3.5 kbopd
MECL:Prod'n increase due to addition of prod'n from well services activities and WOR well.</v>
          </cell>
        </row>
        <row r="117">
          <cell r="C117">
            <v>45125</v>
          </cell>
          <cell r="D117">
            <v>360663</v>
          </cell>
          <cell r="E117">
            <v>35164</v>
          </cell>
          <cell r="F117">
            <v>17400.63</v>
          </cell>
          <cell r="G117">
            <v>3150</v>
          </cell>
          <cell r="H117">
            <v>2747</v>
          </cell>
          <cell r="I117">
            <v>174000</v>
          </cell>
          <cell r="J117">
            <v>187651.68000000002</v>
          </cell>
          <cell r="K117">
            <v>45662.21</v>
          </cell>
          <cell r="L117">
            <v>3534</v>
          </cell>
          <cell r="M117">
            <v>372899</v>
          </cell>
          <cell r="N117">
            <v>8731</v>
          </cell>
          <cell r="O117">
            <v>3500</v>
          </cell>
          <cell r="P117">
            <v>229.45190399999996</v>
          </cell>
          <cell r="Q117">
            <v>0</v>
          </cell>
          <cell r="R117">
            <v>147565.22645680004</v>
          </cell>
          <cell r="S117">
            <v>8.2869173460343699</v>
          </cell>
          <cell r="T117">
            <v>0.33621299999999998</v>
          </cell>
          <cell r="U117">
            <v>4.6480077701353826E-3</v>
          </cell>
          <cell r="V117">
            <v>1.2E-2</v>
          </cell>
          <cell r="W117">
            <v>0.30731999999999998</v>
          </cell>
          <cell r="X117">
            <v>7.016</v>
          </cell>
          <cell r="Y117">
            <v>12.666266999999999</v>
          </cell>
          <cell r="AA117">
            <v>0</v>
          </cell>
          <cell r="AB117">
            <v>0</v>
          </cell>
          <cell r="AC117">
            <v>0.20189892594302089</v>
          </cell>
          <cell r="AD117">
            <v>5.8417599469909133E-2</v>
          </cell>
          <cell r="AE117">
            <v>2.9352002499999998</v>
          </cell>
          <cell r="AF117">
            <v>15.250674648234304</v>
          </cell>
          <cell r="AG117">
            <v>9.2542390504740162</v>
          </cell>
          <cell r="AH117">
            <v>202307</v>
          </cell>
          <cell r="AI117" t="str">
            <v>Prev day data for ACG,BC-10,Myanmar.</v>
          </cell>
          <cell r="AJ117" t="str">
            <v>SPOC:Less dispatch from WHCC due to low 2BOPCO production(Pumping from TJ CPF to WHCC :8435 BBLs )
SCB:Intermittent pumping. Field prod 3.5k bopd.</v>
          </cell>
        </row>
        <row r="118">
          <cell r="C118">
            <v>45126</v>
          </cell>
          <cell r="D118">
            <v>360935</v>
          </cell>
          <cell r="E118">
            <v>35107</v>
          </cell>
          <cell r="F118">
            <v>17362.599999999999</v>
          </cell>
          <cell r="G118">
            <v>3093</v>
          </cell>
          <cell r="H118">
            <v>2699</v>
          </cell>
          <cell r="I118">
            <v>174000</v>
          </cell>
          <cell r="J118">
            <v>190263</v>
          </cell>
          <cell r="K118">
            <v>44876.090000000004</v>
          </cell>
          <cell r="L118">
            <v>7691</v>
          </cell>
          <cell r="M118">
            <v>331908</v>
          </cell>
          <cell r="N118">
            <v>8790</v>
          </cell>
          <cell r="O118">
            <v>3845</v>
          </cell>
          <cell r="P118">
            <v>224.67165599999998</v>
          </cell>
          <cell r="Q118">
            <v>0</v>
          </cell>
          <cell r="R118">
            <v>147440.98699519999</v>
          </cell>
          <cell r="S118">
            <v>8.563572676534136</v>
          </cell>
          <cell r="T118">
            <v>0.33314500000000002</v>
          </cell>
          <cell r="U118">
            <v>4.567644635236884E-3</v>
          </cell>
          <cell r="V118">
            <v>1.2E-2</v>
          </cell>
          <cell r="W118">
            <v>0.30670999999999998</v>
          </cell>
          <cell r="X118">
            <v>7.016</v>
          </cell>
          <cell r="Y118">
            <v>12.57</v>
          </cell>
          <cell r="AB118">
            <v>0</v>
          </cell>
          <cell r="AC118">
            <v>0.20982763551722086</v>
          </cell>
          <cell r="AD118">
            <v>5.7086708934239845E-2</v>
          </cell>
          <cell r="AE118">
            <v>2.9295002499999998</v>
          </cell>
          <cell r="AF118">
            <v>15.251467519191724</v>
          </cell>
          <cell r="AG118">
            <v>9.2320153443157889</v>
          </cell>
          <cell r="AH118">
            <v>202307</v>
          </cell>
          <cell r="AI118" t="str">
            <v>Prev day data for BC-10,SCB</v>
          </cell>
          <cell r="AJ118" t="str">
            <v>GPOC:Deferment due to transmission line problem in EL toor.
LZC:Quota for the month is 355k bopd.</v>
          </cell>
        </row>
        <row r="119">
          <cell r="C119">
            <v>45127</v>
          </cell>
          <cell r="D119">
            <v>354920</v>
          </cell>
          <cell r="E119">
            <v>35226</v>
          </cell>
          <cell r="F119">
            <v>17335.03</v>
          </cell>
          <cell r="G119">
            <v>3100</v>
          </cell>
          <cell r="H119">
            <v>2694</v>
          </cell>
          <cell r="I119">
            <v>174000</v>
          </cell>
          <cell r="J119">
            <v>188961</v>
          </cell>
          <cell r="K119">
            <v>44541.840000000004</v>
          </cell>
          <cell r="L119">
            <v>7362</v>
          </cell>
          <cell r="M119">
            <v>316156</v>
          </cell>
          <cell r="N119">
            <v>8931</v>
          </cell>
          <cell r="O119">
            <v>4442</v>
          </cell>
          <cell r="P119">
            <v>206.05384799999999</v>
          </cell>
          <cell r="Q119">
            <v>0</v>
          </cell>
          <cell r="R119">
            <v>146427.76973160001</v>
          </cell>
          <cell r="S119">
            <v>6.7351556150838041</v>
          </cell>
          <cell r="T119">
            <v>0.33932099999999998</v>
          </cell>
          <cell r="U119">
            <v>4.6893220103809462E-3</v>
          </cell>
          <cell r="V119">
            <v>1.2E-2</v>
          </cell>
          <cell r="W119">
            <v>0.30741000000000002</v>
          </cell>
          <cell r="X119">
            <v>7.016</v>
          </cell>
          <cell r="Y119">
            <v>12.69</v>
          </cell>
          <cell r="AB119">
            <v>0</v>
          </cell>
          <cell r="AC119">
            <v>0.20444743973472801</v>
          </cell>
          <cell r="AD119">
            <v>5.3320571886494854E-2</v>
          </cell>
          <cell r="AE119">
            <v>2.9291002499999998</v>
          </cell>
          <cell r="AF119">
            <v>15.250618014594489</v>
          </cell>
          <cell r="AG119">
            <v>9.2210089122221834</v>
          </cell>
          <cell r="AH119">
            <v>202307</v>
          </cell>
          <cell r="AI119" t="str">
            <v>Prev day data for ACG,LZC</v>
          </cell>
          <cell r="AJ119" t="str">
            <v>SCB:Intermittent pumping. Field prod 3.5 kbopd
LZC: Quota for the month is 355k bopd</v>
          </cell>
        </row>
        <row r="120">
          <cell r="C120">
            <v>45128</v>
          </cell>
          <cell r="D120">
            <v>362601</v>
          </cell>
          <cell r="E120">
            <v>35151</v>
          </cell>
          <cell r="F120">
            <v>17363.009999999998</v>
          </cell>
          <cell r="G120">
            <v>3086</v>
          </cell>
          <cell r="H120">
            <v>2714</v>
          </cell>
          <cell r="I120">
            <v>174000</v>
          </cell>
          <cell r="J120">
            <v>188864.40000000002</v>
          </cell>
          <cell r="K120">
            <v>45313.78</v>
          </cell>
          <cell r="L120">
            <v>3414</v>
          </cell>
          <cell r="M120">
            <v>318770</v>
          </cell>
          <cell r="N120">
            <v>9014</v>
          </cell>
          <cell r="O120">
            <v>3453</v>
          </cell>
          <cell r="P120">
            <v>210.58250399999997</v>
          </cell>
          <cell r="Q120">
            <v>0</v>
          </cell>
          <cell r="R120">
            <v>145553.07872680001</v>
          </cell>
          <cell r="S120">
            <v>6.8090625150433084</v>
          </cell>
          <cell r="T120">
            <v>0.32241199999999998</v>
          </cell>
          <cell r="U120">
            <v>4.4331680574944713E-3</v>
          </cell>
          <cell r="V120">
            <v>1.2E-2</v>
          </cell>
          <cell r="W120">
            <v>0.30616000000000004</v>
          </cell>
          <cell r="X120">
            <v>7.016</v>
          </cell>
          <cell r="Y120">
            <v>12.462078</v>
          </cell>
          <cell r="AB120">
            <v>0</v>
          </cell>
          <cell r="AC120">
            <v>0.17698012442410666</v>
          </cell>
          <cell r="AD120">
            <v>5.7313243493502704E-2</v>
          </cell>
          <cell r="AE120">
            <v>2.92730025</v>
          </cell>
          <cell r="AF120">
            <v>15.451016149082394</v>
          </cell>
          <cell r="AG120">
            <v>9.1892950506658053</v>
          </cell>
          <cell r="AH120">
            <v>202307</v>
          </cell>
        </row>
        <row r="121">
          <cell r="C121">
            <v>45129</v>
          </cell>
          <cell r="D121">
            <v>348253</v>
          </cell>
          <cell r="E121">
            <v>35264</v>
          </cell>
          <cell r="F121">
            <v>17333.7</v>
          </cell>
          <cell r="G121">
            <v>3093</v>
          </cell>
          <cell r="H121">
            <v>2701</v>
          </cell>
          <cell r="I121">
            <v>174000</v>
          </cell>
          <cell r="J121">
            <v>188388.24000000002</v>
          </cell>
          <cell r="K121">
            <v>45473.549999999996</v>
          </cell>
          <cell r="L121">
            <v>7357</v>
          </cell>
          <cell r="M121">
            <v>316053</v>
          </cell>
          <cell r="N121">
            <v>9226</v>
          </cell>
          <cell r="O121">
            <v>4115</v>
          </cell>
          <cell r="P121">
            <v>204.73298999999997</v>
          </cell>
          <cell r="Q121">
            <v>0</v>
          </cell>
          <cell r="R121">
            <v>146266.3302955</v>
          </cell>
          <cell r="S121">
            <v>7.1443336627523397</v>
          </cell>
          <cell r="T121">
            <v>0.32736999999999999</v>
          </cell>
          <cell r="U121">
            <v>4.531597323494182E-3</v>
          </cell>
          <cell r="V121">
            <v>1.2E-2</v>
          </cell>
          <cell r="W121">
            <v>0.30764999999999998</v>
          </cell>
          <cell r="X121">
            <v>7.016</v>
          </cell>
          <cell r="Y121">
            <v>12.613617</v>
          </cell>
          <cell r="AB121">
            <v>0</v>
          </cell>
          <cell r="AC121">
            <v>0.20642961712827801</v>
          </cell>
          <cell r="AD121">
            <v>5.4651462422164135E-2</v>
          </cell>
          <cell r="AE121">
            <v>2.9372002500000001</v>
          </cell>
          <cell r="AF121">
            <v>15.451639119120363</v>
          </cell>
          <cell r="AG121">
            <v>9.2460731513394627</v>
          </cell>
          <cell r="AH121">
            <v>202307</v>
          </cell>
        </row>
        <row r="122">
          <cell r="C122">
            <v>45130</v>
          </cell>
          <cell r="D122">
            <v>349210</v>
          </cell>
          <cell r="E122">
            <v>34943</v>
          </cell>
          <cell r="F122">
            <v>17303.09</v>
          </cell>
          <cell r="G122">
            <v>3154</v>
          </cell>
          <cell r="H122">
            <v>2752</v>
          </cell>
          <cell r="I122">
            <v>174000</v>
          </cell>
          <cell r="J122">
            <v>188016.24000000002</v>
          </cell>
          <cell r="K122">
            <v>45577.83</v>
          </cell>
          <cell r="L122">
            <v>7380</v>
          </cell>
          <cell r="M122">
            <v>326800</v>
          </cell>
          <cell r="N122">
            <v>9221</v>
          </cell>
          <cell r="O122">
            <v>702</v>
          </cell>
          <cell r="P122">
            <v>208.69556399999999</v>
          </cell>
          <cell r="Q122">
            <v>0</v>
          </cell>
          <cell r="R122">
            <v>145262.6519038</v>
          </cell>
          <cell r="S122">
            <v>6.7258110645142066</v>
          </cell>
          <cell r="T122">
            <v>0.33698499999999998</v>
          </cell>
          <cell r="U122">
            <v>4.4704896261330267E-3</v>
          </cell>
          <cell r="V122">
            <v>1.2E-2</v>
          </cell>
          <cell r="W122">
            <v>0.31376999999999999</v>
          </cell>
          <cell r="X122">
            <v>7.016</v>
          </cell>
          <cell r="Y122">
            <v>12.522273999999999</v>
          </cell>
          <cell r="AB122">
            <v>0</v>
          </cell>
          <cell r="AC122">
            <v>0.20897813091998516</v>
          </cell>
          <cell r="AD122">
            <v>5.8191064910646274E-2</v>
          </cell>
          <cell r="AE122">
            <v>2.9236002499999998</v>
          </cell>
          <cell r="AF122">
            <v>15.46084208559042</v>
          </cell>
          <cell r="AG122">
            <v>9.2184700557443993</v>
          </cell>
          <cell r="AH122">
            <v>202307</v>
          </cell>
          <cell r="AI122" t="str">
            <v>Prev day data for ACG</v>
          </cell>
          <cell r="AJ122" t="str">
            <v>GPOC:Power trip in El toor during the day.
SCB:Intermittent pumping. Field prod 3.5 kbopd.</v>
          </cell>
        </row>
        <row r="123">
          <cell r="C123">
            <v>45131</v>
          </cell>
          <cell r="D123">
            <v>362486</v>
          </cell>
          <cell r="E123">
            <v>35396</v>
          </cell>
          <cell r="F123">
            <v>17280.55</v>
          </cell>
          <cell r="G123">
            <v>3048</v>
          </cell>
          <cell r="H123">
            <v>2701</v>
          </cell>
          <cell r="I123">
            <v>174000</v>
          </cell>
          <cell r="J123">
            <v>186632</v>
          </cell>
          <cell r="K123">
            <v>43632.7</v>
          </cell>
          <cell r="L123">
            <v>7624</v>
          </cell>
          <cell r="M123">
            <v>345144</v>
          </cell>
          <cell r="N123">
            <v>8920</v>
          </cell>
          <cell r="O123">
            <v>4751</v>
          </cell>
          <cell r="P123">
            <v>204.73298999999997</v>
          </cell>
          <cell r="Q123">
            <v>0</v>
          </cell>
          <cell r="R123">
            <v>147103.00644550001</v>
          </cell>
          <cell r="S123">
            <v>6.6983437492035911</v>
          </cell>
          <cell r="T123">
            <v>0.34389599999999998</v>
          </cell>
          <cell r="U123">
            <v>4.3230156280529069E-3</v>
          </cell>
          <cell r="V123">
            <v>1.2E-2</v>
          </cell>
          <cell r="W123">
            <v>0.3145</v>
          </cell>
          <cell r="X123">
            <v>7.016</v>
          </cell>
          <cell r="Y123">
            <v>2.27</v>
          </cell>
          <cell r="Z123">
            <v>0</v>
          </cell>
          <cell r="AA123">
            <v>0</v>
          </cell>
          <cell r="AB123">
            <v>0</v>
          </cell>
          <cell r="AC123">
            <v>0.19991674854947089</v>
          </cell>
          <cell r="AD123">
            <v>5.9295420887052697E-2</v>
          </cell>
          <cell r="AE123">
            <v>2.92600025</v>
          </cell>
          <cell r="AF123">
            <v>15.459652779154288</v>
          </cell>
          <cell r="AG123">
            <v>6.5550598671977323</v>
          </cell>
          <cell r="AH123">
            <v>202307</v>
          </cell>
          <cell r="AI123" t="str">
            <v>Prev day data for ACG,SCB.</v>
          </cell>
          <cell r="AJ123" t="str">
            <v xml:space="preserve">
GPOC:Production differment due to Feeder trip due to electrocution of snake at H-Pole in Unity.It caused power fluctuation in other fields also.
Vankor: Maintenance with equipment  shutdown at high-pressure gas compressor station (3rd stage) and at the gas processing facility (2nd stage).(expected to continue for 4-5 days)
SCG:Intermittent pumping. Field prod 3.5 k bopd.</v>
          </cell>
        </row>
        <row r="124">
          <cell r="C124">
            <v>45132</v>
          </cell>
          <cell r="D124">
            <v>357377</v>
          </cell>
          <cell r="E124">
            <v>35170</v>
          </cell>
          <cell r="F124">
            <v>17261.349999999999</v>
          </cell>
          <cell r="G124">
            <v>3005</v>
          </cell>
          <cell r="H124">
            <v>2711</v>
          </cell>
          <cell r="I124">
            <v>174000</v>
          </cell>
          <cell r="J124">
            <v>188716</v>
          </cell>
          <cell r="K124">
            <v>43614.840000000004</v>
          </cell>
          <cell r="L124">
            <v>7546</v>
          </cell>
          <cell r="M124">
            <v>349073</v>
          </cell>
          <cell r="N124">
            <v>8532</v>
          </cell>
          <cell r="O124">
            <v>1169</v>
          </cell>
          <cell r="P124">
            <v>208.69556399999999</v>
          </cell>
          <cell r="Q124">
            <v>0</v>
          </cell>
          <cell r="R124">
            <v>146101.04920380001</v>
          </cell>
          <cell r="S124">
            <v>6.7731001537603301</v>
          </cell>
          <cell r="T124">
            <v>0.36784699999999998</v>
          </cell>
          <cell r="U124">
            <v>4.5311159375557479E-3</v>
          </cell>
          <cell r="V124">
            <v>1.2E-2</v>
          </cell>
          <cell r="W124">
            <v>0.31768000000000002</v>
          </cell>
          <cell r="X124">
            <v>7.016</v>
          </cell>
          <cell r="Y124">
            <v>1.25</v>
          </cell>
          <cell r="AB124">
            <v>0</v>
          </cell>
          <cell r="AC124">
            <v>0.21719000869326369</v>
          </cell>
          <cell r="AD124">
            <v>5.1225127213313432E-2</v>
          </cell>
          <cell r="AE124">
            <v>2.9362002500000002</v>
          </cell>
          <cell r="AF124">
            <v>15.45976604643392</v>
          </cell>
          <cell r="AG124">
            <v>6.3046603769435041</v>
          </cell>
          <cell r="AH124">
            <v>202307</v>
          </cell>
          <cell r="AI124" t="str">
            <v>Prev day data for ACG,GPOC,SPOC(due to connectivity issues)</v>
          </cell>
          <cell r="AJ124" t="str">
            <v>SCB: Intermittent pumping. Field prod 3.2 kbopd. (production from 9 wells disturbed due to voltage failure)
Vankor: Maintenance with equipment  shutdown at high-pressure gas compressor station (3rd stage) and at the gas processing facility (2nd stage).(expected to continue for 4-5 days)</v>
          </cell>
        </row>
        <row r="125">
          <cell r="C125">
            <v>45133</v>
          </cell>
          <cell r="D125">
            <v>353105</v>
          </cell>
          <cell r="E125">
            <v>34283</v>
          </cell>
          <cell r="F125">
            <v>17269.28</v>
          </cell>
          <cell r="G125">
            <v>3049</v>
          </cell>
          <cell r="H125">
            <v>2710</v>
          </cell>
          <cell r="I125">
            <v>174000</v>
          </cell>
          <cell r="J125">
            <v>185978</v>
          </cell>
          <cell r="K125">
            <v>44731.340000000004</v>
          </cell>
          <cell r="L125">
            <v>7445</v>
          </cell>
          <cell r="M125">
            <v>353593</v>
          </cell>
          <cell r="N125">
            <v>8759</v>
          </cell>
          <cell r="O125">
            <v>7025</v>
          </cell>
          <cell r="P125">
            <v>212.21785199999999</v>
          </cell>
          <cell r="Q125">
            <v>0</v>
          </cell>
          <cell r="R125">
            <v>147882.0607834</v>
          </cell>
          <cell r="S125">
            <v>6.8407773533401084</v>
          </cell>
          <cell r="T125">
            <v>0.39268500000000001</v>
          </cell>
          <cell r="U125">
            <v>4.6608069727337338E-3</v>
          </cell>
          <cell r="V125">
            <v>1.2E-2</v>
          </cell>
          <cell r="W125">
            <v>0.31892000000000004</v>
          </cell>
          <cell r="X125">
            <v>7.016</v>
          </cell>
          <cell r="Y125">
            <v>1.22</v>
          </cell>
          <cell r="AA125">
            <v>0</v>
          </cell>
          <cell r="AB125">
            <v>0</v>
          </cell>
          <cell r="AC125">
            <v>0.22002169068404939</v>
          </cell>
          <cell r="AD125">
            <v>5.2244532729996289E-2</v>
          </cell>
          <cell r="AE125">
            <v>2.9292002500000001</v>
          </cell>
          <cell r="AF125">
            <v>15.603587174745925</v>
          </cell>
          <cell r="AG125">
            <v>6.3284796030171213</v>
          </cell>
          <cell r="AH125">
            <v>202307</v>
          </cell>
          <cell r="AI125" t="str">
            <v>Prev day data for Myanmar.</v>
          </cell>
          <cell r="AJ125" t="str">
            <v>SCB:Intermittent pumping. Field prod 3.5 kbopd.
Vankor: Maintenance with equipment  shutdown at high-pressure gas compressor station (3rd stage) and at the gas processing facility (2nd stage).(expected to continue for 4-5 days)</v>
          </cell>
        </row>
        <row r="126">
          <cell r="C126">
            <v>45134</v>
          </cell>
          <cell r="D126">
            <v>353105</v>
          </cell>
          <cell r="E126">
            <v>34836</v>
          </cell>
          <cell r="F126">
            <v>17289.8</v>
          </cell>
          <cell r="G126">
            <v>3091</v>
          </cell>
          <cell r="H126">
            <v>2678</v>
          </cell>
          <cell r="I126">
            <v>174000</v>
          </cell>
          <cell r="J126">
            <v>188031</v>
          </cell>
          <cell r="K126">
            <v>42554.55</v>
          </cell>
          <cell r="L126">
            <v>7444</v>
          </cell>
          <cell r="M126">
            <v>366689</v>
          </cell>
          <cell r="N126">
            <v>9146</v>
          </cell>
          <cell r="O126">
            <v>0</v>
          </cell>
          <cell r="P126">
            <v>205.299072</v>
          </cell>
          <cell r="Q126">
            <v>0</v>
          </cell>
          <cell r="R126">
            <v>145777.37258240001</v>
          </cell>
          <cell r="S126">
            <v>6.8407773533401084</v>
          </cell>
          <cell r="T126">
            <v>0.421711</v>
          </cell>
          <cell r="U126">
            <v>4.3284524574752157E-3</v>
          </cell>
          <cell r="V126">
            <v>1.2E-2</v>
          </cell>
          <cell r="W126">
            <v>0.31635000000000002</v>
          </cell>
          <cell r="X126">
            <v>7.016</v>
          </cell>
          <cell r="Y126">
            <v>1.26</v>
          </cell>
          <cell r="AA126">
            <v>0</v>
          </cell>
          <cell r="AB126">
            <v>0</v>
          </cell>
          <cell r="AC126">
            <v>0.19821773935499948</v>
          </cell>
          <cell r="AD126">
            <v>5.3462155986034141E-2</v>
          </cell>
          <cell r="AE126">
            <v>2.9343002500000002</v>
          </cell>
          <cell r="AF126">
            <v>15.505186225566124</v>
          </cell>
          <cell r="AG126">
            <v>6.3275694281520938</v>
          </cell>
          <cell r="AH126">
            <v>202307</v>
          </cell>
          <cell r="AI126" t="str">
            <v>Prev day data for ACG,GPOC,SCB.</v>
          </cell>
          <cell r="AJ126" t="str">
            <v xml:space="preserve">
Vankor: Maintenance with equipment  shutdown at high-pressure gas compressor station (3rd stage) and at the gas processing facility (2nd stage).(expected to continue for 4-5 days)
SCB:Intermittent pumping. Field prod 3.5 kbopd.</v>
          </cell>
        </row>
        <row r="127">
          <cell r="C127">
            <v>45135</v>
          </cell>
          <cell r="D127">
            <v>369818</v>
          </cell>
          <cell r="E127">
            <v>34415</v>
          </cell>
          <cell r="F127">
            <v>17297.41</v>
          </cell>
          <cell r="G127">
            <v>3037</v>
          </cell>
          <cell r="H127">
            <v>2676</v>
          </cell>
          <cell r="I127">
            <v>174000</v>
          </cell>
          <cell r="J127">
            <v>187004.40000000002</v>
          </cell>
          <cell r="K127">
            <v>43013.83</v>
          </cell>
          <cell r="L127">
            <v>7665</v>
          </cell>
          <cell r="M127">
            <v>369080</v>
          </cell>
          <cell r="N127">
            <v>9441</v>
          </cell>
          <cell r="O127">
            <v>518</v>
          </cell>
          <cell r="P127">
            <v>198.883476</v>
          </cell>
          <cell r="Q127">
            <v>0</v>
          </cell>
          <cell r="R127">
            <v>146259.72311420002</v>
          </cell>
          <cell r="S127">
            <v>6.7399694744681389</v>
          </cell>
          <cell r="T127">
            <v>0.48709599999999997</v>
          </cell>
          <cell r="U127">
            <v>4.5131913905540749E-3</v>
          </cell>
          <cell r="V127">
            <v>1.2E-2</v>
          </cell>
          <cell r="W127">
            <v>0.31644</v>
          </cell>
          <cell r="X127">
            <v>7.016</v>
          </cell>
          <cell r="Y127">
            <v>1.4183060000000005</v>
          </cell>
          <cell r="AA127">
            <v>0</v>
          </cell>
          <cell r="AB127">
            <v>0</v>
          </cell>
          <cell r="AC127">
            <v>0.21464149490155657</v>
          </cell>
          <cell r="AD127">
            <v>5.3660373725389142E-2</v>
          </cell>
          <cell r="AE127">
            <v>2.92790025</v>
          </cell>
          <cell r="AF127">
            <v>15.467071785970148</v>
          </cell>
          <cell r="AG127">
            <v>6.3768000388778541</v>
          </cell>
          <cell r="AH127">
            <v>202307</v>
          </cell>
        </row>
        <row r="128">
          <cell r="C128">
            <v>45136</v>
          </cell>
          <cell r="D128">
            <v>366972</v>
          </cell>
          <cell r="E128">
            <v>34723</v>
          </cell>
          <cell r="F128">
            <v>17280.97</v>
          </cell>
          <cell r="G128">
            <v>2900</v>
          </cell>
          <cell r="H128">
            <v>2673</v>
          </cell>
          <cell r="I128">
            <v>174000</v>
          </cell>
          <cell r="J128">
            <v>184750.08000000002</v>
          </cell>
          <cell r="K128">
            <v>44183.480620000002</v>
          </cell>
          <cell r="L128">
            <v>7632</v>
          </cell>
          <cell r="M128">
            <v>373115</v>
          </cell>
          <cell r="N128">
            <v>9433</v>
          </cell>
          <cell r="O128">
            <v>6353</v>
          </cell>
          <cell r="P128">
            <v>198.191598</v>
          </cell>
          <cell r="Q128">
            <v>0</v>
          </cell>
          <cell r="R128">
            <v>148386.66937410002</v>
          </cell>
          <cell r="S128">
            <v>6.7495971932368075</v>
          </cell>
          <cell r="T128">
            <v>0.53822400000000004</v>
          </cell>
          <cell r="U128">
            <v>4.4757565546358876E-3</v>
          </cell>
          <cell r="V128">
            <v>1.2E-2</v>
          </cell>
          <cell r="W128">
            <v>0.316</v>
          </cell>
          <cell r="X128">
            <v>7.016</v>
          </cell>
          <cell r="Y128">
            <v>1.5739359999999998</v>
          </cell>
          <cell r="AA128">
            <v>0</v>
          </cell>
          <cell r="AB128">
            <v>0</v>
          </cell>
          <cell r="AC128">
            <v>0.22483555006838513</v>
          </cell>
          <cell r="AD128">
            <v>5.3094037327232002E-2</v>
          </cell>
          <cell r="AE128">
            <v>2.4615002499999998</v>
          </cell>
          <cell r="AF128">
            <v>15.511359292306036</v>
          </cell>
          <cell r="AG128">
            <v>6.2293682823824561</v>
          </cell>
          <cell r="AH128">
            <v>202307</v>
          </cell>
        </row>
        <row r="129">
          <cell r="C129">
            <v>45137</v>
          </cell>
          <cell r="D129">
            <v>349980</v>
          </cell>
          <cell r="E129">
            <v>35591</v>
          </cell>
          <cell r="F129">
            <v>17252.48</v>
          </cell>
          <cell r="G129">
            <v>2951</v>
          </cell>
          <cell r="H129">
            <v>2724</v>
          </cell>
          <cell r="I129">
            <v>174000</v>
          </cell>
          <cell r="J129">
            <v>186937.44</v>
          </cell>
          <cell r="K129">
            <v>45681.270000000004</v>
          </cell>
          <cell r="L129">
            <v>7559</v>
          </cell>
          <cell r="M129">
            <v>369888</v>
          </cell>
          <cell r="N129">
            <v>9349</v>
          </cell>
          <cell r="O129">
            <v>4869</v>
          </cell>
          <cell r="P129">
            <v>183.473466</v>
          </cell>
          <cell r="Q129">
            <v>0</v>
          </cell>
          <cell r="R129">
            <v>148472.07770970004</v>
          </cell>
          <cell r="S129">
            <v>6.691547712425705</v>
          </cell>
          <cell r="T129">
            <v>0.54608699999999999</v>
          </cell>
          <cell r="U129">
            <v>4.3513890816005802E-3</v>
          </cell>
          <cell r="V129">
            <v>1.2E-2</v>
          </cell>
          <cell r="W129">
            <v>0.31651999999999997</v>
          </cell>
          <cell r="X129">
            <v>7.016</v>
          </cell>
          <cell r="Y129">
            <v>3.7552569999999998</v>
          </cell>
          <cell r="AA129">
            <v>0</v>
          </cell>
          <cell r="AB129">
            <v>0</v>
          </cell>
          <cell r="AC129">
            <v>0.21124347651261371</v>
          </cell>
          <cell r="AD129">
            <v>5.4679779242071999E-2</v>
          </cell>
          <cell r="AE129">
            <v>2.1273002499999998</v>
          </cell>
          <cell r="AF129">
            <v>15.59704598934721</v>
          </cell>
          <cell r="AG129">
            <v>6.6610426593163963</v>
          </cell>
          <cell r="AH129">
            <v>202307</v>
          </cell>
          <cell r="AI129" t="str">
            <v>Prev day data for ACG</v>
          </cell>
          <cell r="AJ129" t="str">
            <v>MECL:8 wells stopped due to line leakage.
SCB:Intermittent pumping. Field prod 3.4 k bopd.
Vankor:Deferment in gas prod'n due to s/d.</v>
          </cell>
        </row>
        <row r="130">
          <cell r="C130">
            <v>45138</v>
          </cell>
          <cell r="D130">
            <v>350906</v>
          </cell>
          <cell r="E130">
            <v>34447</v>
          </cell>
          <cell r="F130">
            <v>17204.87</v>
          </cell>
          <cell r="G130">
            <v>3103</v>
          </cell>
          <cell r="H130">
            <v>2668</v>
          </cell>
          <cell r="I130">
            <v>174000</v>
          </cell>
          <cell r="J130">
            <v>186930</v>
          </cell>
          <cell r="K130">
            <v>45836.345139999998</v>
          </cell>
          <cell r="L130">
            <v>7535</v>
          </cell>
          <cell r="M130">
            <v>360023</v>
          </cell>
          <cell r="N130">
            <v>9331</v>
          </cell>
          <cell r="O130">
            <v>775</v>
          </cell>
          <cell r="P130">
            <v>178.881912</v>
          </cell>
          <cell r="Q130">
            <v>0</v>
          </cell>
          <cell r="R130">
            <v>146166.0594954</v>
          </cell>
          <cell r="S130">
            <v>6.6453912959758981</v>
          </cell>
          <cell r="T130">
            <v>0.54513800000000001</v>
          </cell>
          <cell r="U130">
            <v>4.4493369616618577E-3</v>
          </cell>
          <cell r="V130">
            <v>1.2E-2</v>
          </cell>
          <cell r="W130">
            <v>0.31585000000000002</v>
          </cell>
          <cell r="X130">
            <v>7.016</v>
          </cell>
          <cell r="Y130">
            <v>12.52</v>
          </cell>
          <cell r="AB130">
            <v>0</v>
          </cell>
          <cell r="AC130">
            <v>0.21379199030432083</v>
          </cell>
          <cell r="AD130">
            <v>5.3094037327232002E-2</v>
          </cell>
          <cell r="AE130">
            <v>2.2975002500000001</v>
          </cell>
          <cell r="AF130">
            <v>15.59285510000085</v>
          </cell>
          <cell r="AG130">
            <v>9.0134755481747195</v>
          </cell>
          <cell r="AH130">
            <v>202307</v>
          </cell>
          <cell r="AI130" t="str">
            <v>Prev day data for ACG,BC-10,Vankor,Myanmar.</v>
          </cell>
          <cell r="AJ130" t="str">
            <v xml:space="preserve">
SCB:Intermittent pumping. Field prod 3.4 kbopd.One well down due to VFD failure
</v>
          </cell>
        </row>
        <row r="131">
          <cell r="C131">
            <v>45139</v>
          </cell>
          <cell r="D131">
            <v>351746</v>
          </cell>
          <cell r="E131">
            <v>38038</v>
          </cell>
          <cell r="F131">
            <v>17150.36</v>
          </cell>
          <cell r="G131">
            <v>3100</v>
          </cell>
          <cell r="H131">
            <v>2678</v>
          </cell>
          <cell r="I131">
            <v>174000</v>
          </cell>
          <cell r="J131">
            <v>186759</v>
          </cell>
          <cell r="K131">
            <v>45978.570200000002</v>
          </cell>
          <cell r="L131">
            <v>7532</v>
          </cell>
          <cell r="M131">
            <v>368585</v>
          </cell>
          <cell r="N131">
            <v>8032</v>
          </cell>
          <cell r="O131">
            <v>4913</v>
          </cell>
          <cell r="P131">
            <v>191.77600199999998</v>
          </cell>
          <cell r="Q131">
            <v>0</v>
          </cell>
          <cell r="R131">
            <v>148976.34135089998</v>
          </cell>
          <cell r="S131">
            <v>6.7623397621953476</v>
          </cell>
          <cell r="T131">
            <v>0.54736300000000004</v>
          </cell>
          <cell r="U131">
            <v>4.4023027237949071E-3</v>
          </cell>
          <cell r="V131">
            <v>1.2E-2</v>
          </cell>
          <cell r="W131">
            <v>0.31448000000000004</v>
          </cell>
          <cell r="X131">
            <v>6.5389999999999997</v>
          </cell>
          <cell r="Y131">
            <v>12.72</v>
          </cell>
          <cell r="AB131">
            <v>0</v>
          </cell>
          <cell r="AC131">
            <v>0.21152664471169227</v>
          </cell>
          <cell r="AD131">
            <v>5.7086708934239845E-2</v>
          </cell>
          <cell r="AE131">
            <v>2.5775002499999999</v>
          </cell>
          <cell r="AF131">
            <v>14.964193381226515</v>
          </cell>
          <cell r="AG131">
            <v>8.9924502722138584</v>
          </cell>
          <cell r="AH131">
            <v>202308</v>
          </cell>
          <cell r="AI131" t="str">
            <v>Prev day data for ACG,SCB.</v>
          </cell>
          <cell r="AJ131" t="str">
            <v xml:space="preserve">
SCB:Intermittent pumping. Field prod 3.4 kbopd.One well down due to VFD failure
Vankor:Gas production normalised.</v>
          </cell>
        </row>
        <row r="132">
          <cell r="C132">
            <v>45140</v>
          </cell>
          <cell r="D132">
            <v>321323</v>
          </cell>
          <cell r="E132">
            <v>30881</v>
          </cell>
          <cell r="F132">
            <v>17121.900000000001</v>
          </cell>
          <cell r="G132">
            <v>3055</v>
          </cell>
          <cell r="H132">
            <v>2687</v>
          </cell>
          <cell r="I132">
            <v>174000</v>
          </cell>
          <cell r="J132">
            <v>187436</v>
          </cell>
          <cell r="K132">
            <v>46740.971270000002</v>
          </cell>
          <cell r="L132">
            <v>7628</v>
          </cell>
          <cell r="M132">
            <v>362377</v>
          </cell>
          <cell r="N132">
            <v>9431</v>
          </cell>
          <cell r="O132">
            <v>2950</v>
          </cell>
          <cell r="P132">
            <v>185.108814</v>
          </cell>
          <cell r="Q132">
            <v>0</v>
          </cell>
          <cell r="R132">
            <v>145814.90808379999</v>
          </cell>
          <cell r="S132">
            <v>6.9325238498415684</v>
          </cell>
          <cell r="T132">
            <v>0.489232</v>
          </cell>
          <cell r="U132">
            <v>4.4030955947523265E-3</v>
          </cell>
          <cell r="V132">
            <v>1.2E-2</v>
          </cell>
          <cell r="W132">
            <v>0.31947000000000003</v>
          </cell>
          <cell r="X132">
            <v>6.5389999999999997</v>
          </cell>
          <cell r="Y132">
            <v>12.44</v>
          </cell>
          <cell r="AB132">
            <v>0</v>
          </cell>
          <cell r="AC132">
            <v>0.22540188646654225</v>
          </cell>
          <cell r="AD132">
            <v>5.9238787247236982E-2</v>
          </cell>
          <cell r="AE132">
            <v>2.5692002500000002</v>
          </cell>
          <cell r="AF132">
            <v>14.965779123141353</v>
          </cell>
          <cell r="AG132">
            <v>8.9117983936919121</v>
          </cell>
          <cell r="AH132">
            <v>202308</v>
          </cell>
          <cell r="AI132" t="str">
            <v>Prev day data for ACG,BC-10.</v>
          </cell>
          <cell r="AJ132" t="str">
            <v xml:space="preserve">
BC-10: Abalone well has been opened.
SCB: Intermittent pumping. Field prod 3.4k bopd
MECL: Deferment due to tubing leak in one well.Well service rig mobilised. 
BC-10:MOBO 10 tripped in the morning due to VFD cell temp fault. 3 wells s/d.</v>
          </cell>
        </row>
        <row r="133">
          <cell r="C133">
            <v>45141</v>
          </cell>
          <cell r="D133">
            <v>384387</v>
          </cell>
          <cell r="E133">
            <v>31585</v>
          </cell>
          <cell r="F133">
            <v>17103</v>
          </cell>
          <cell r="G133">
            <v>3083</v>
          </cell>
          <cell r="H133">
            <v>2682</v>
          </cell>
          <cell r="I133">
            <v>174000</v>
          </cell>
          <cell r="J133">
            <v>187123</v>
          </cell>
          <cell r="K133">
            <v>47380.53</v>
          </cell>
          <cell r="L133">
            <v>7553</v>
          </cell>
          <cell r="M133">
            <v>348961</v>
          </cell>
          <cell r="N133">
            <v>9351</v>
          </cell>
          <cell r="O133">
            <v>555</v>
          </cell>
          <cell r="P133">
            <v>190.64383799999999</v>
          </cell>
          <cell r="Q133">
            <v>0</v>
          </cell>
          <cell r="R133">
            <v>146017.00317710001</v>
          </cell>
          <cell r="S133">
            <v>6.8028328146635788</v>
          </cell>
          <cell r="T133">
            <v>0.53359999999999996</v>
          </cell>
          <cell r="U133">
            <v>4.5773573044652792E-3</v>
          </cell>
          <cell r="V133">
            <v>1.2E-2</v>
          </cell>
          <cell r="W133">
            <v>0.31394</v>
          </cell>
          <cell r="X133">
            <v>6.5389999999999997</v>
          </cell>
          <cell r="Y133">
            <v>12.56</v>
          </cell>
          <cell r="AB133">
            <v>0</v>
          </cell>
          <cell r="AC133">
            <v>0.22398604547114939</v>
          </cell>
          <cell r="AD133">
            <v>5.816274809073841E-2</v>
          </cell>
          <cell r="AE133">
            <v>2.5911002500000002</v>
          </cell>
          <cell r="AF133">
            <v>14.968469221032599</v>
          </cell>
          <cell r="AG133">
            <v>8.9563000324455189</v>
          </cell>
          <cell r="AH133">
            <v>202308</v>
          </cell>
          <cell r="AI133" t="str">
            <v>Prev day data for ACG,GPOC</v>
          </cell>
          <cell r="AJ133" t="str">
            <v>SCB: Intermittent pumping. Field prod 3.4k bopd
MECL: Deferment due to tubing leak in one well.Well service rig mobilised. 
BC-10:MOBO 10 tripped due to VFD cell temp fault. 3 wells s/d.VFD fan replacement ongoing.</v>
          </cell>
        </row>
        <row r="134">
          <cell r="C134">
            <v>45142</v>
          </cell>
          <cell r="D134">
            <v>348120</v>
          </cell>
          <cell r="E134">
            <v>34126</v>
          </cell>
          <cell r="F134">
            <v>17087.14</v>
          </cell>
          <cell r="G134">
            <v>3077</v>
          </cell>
          <cell r="H134">
            <v>2687</v>
          </cell>
          <cell r="I134">
            <v>174000</v>
          </cell>
          <cell r="J134">
            <v>187101.12</v>
          </cell>
          <cell r="K134">
            <v>47406.01</v>
          </cell>
          <cell r="L134">
            <v>7654</v>
          </cell>
          <cell r="M134">
            <v>318929</v>
          </cell>
          <cell r="N134">
            <v>9413</v>
          </cell>
          <cell r="O134">
            <v>0</v>
          </cell>
          <cell r="P134">
            <v>182.08971</v>
          </cell>
          <cell r="Q134">
            <v>0</v>
          </cell>
          <cell r="R134">
            <v>144460.94156949999</v>
          </cell>
          <cell r="S134">
            <v>6.7813120315336111</v>
          </cell>
          <cell r="T134">
            <v>0.54471199999999997</v>
          </cell>
          <cell r="U134">
            <v>4.5581585005677518E-3</v>
          </cell>
          <cell r="V134">
            <v>1.2E-2</v>
          </cell>
          <cell r="W134">
            <v>0.31518000000000002</v>
          </cell>
          <cell r="X134">
            <v>6.5389999999999997</v>
          </cell>
          <cell r="Y134">
            <v>12.572700999999999</v>
          </cell>
          <cell r="AB134">
            <v>0</v>
          </cell>
          <cell r="AC134">
            <v>0.22002169068404939</v>
          </cell>
          <cell r="AD134">
            <v>5.9295420887052697E-2</v>
          </cell>
          <cell r="AE134">
            <v>2.1673002499999998</v>
          </cell>
          <cell r="AF134">
            <v>14.967393181876101</v>
          </cell>
          <cell r="AG134">
            <v>8.7724560266278289</v>
          </cell>
          <cell r="AH134">
            <v>202308</v>
          </cell>
        </row>
        <row r="135">
          <cell r="C135">
            <v>45143</v>
          </cell>
          <cell r="D135">
            <v>357045</v>
          </cell>
          <cell r="E135">
            <v>39371</v>
          </cell>
          <cell r="F135">
            <v>17079.88</v>
          </cell>
          <cell r="G135">
            <v>3064</v>
          </cell>
          <cell r="H135">
            <v>2664</v>
          </cell>
          <cell r="I135">
            <v>174000</v>
          </cell>
          <cell r="J135">
            <v>186892.80000000002</v>
          </cell>
          <cell r="K135">
            <v>46311.621969999993</v>
          </cell>
          <cell r="L135">
            <v>7697</v>
          </cell>
          <cell r="M135">
            <v>271447</v>
          </cell>
          <cell r="N135">
            <v>8820</v>
          </cell>
          <cell r="O135">
            <v>5511</v>
          </cell>
          <cell r="P135">
            <v>178.31583000000001</v>
          </cell>
          <cell r="Q135">
            <v>0</v>
          </cell>
          <cell r="R135">
            <v>145969.48236600001</v>
          </cell>
          <cell r="S135">
            <v>6.6983437492035911</v>
          </cell>
          <cell r="T135">
            <v>0.48616199999999998</v>
          </cell>
          <cell r="U135">
            <v>4.3465185885764287E-3</v>
          </cell>
          <cell r="V135">
            <v>1.2E-2</v>
          </cell>
          <cell r="W135">
            <v>0.31598999999999999</v>
          </cell>
          <cell r="X135">
            <v>6.5389999999999997</v>
          </cell>
          <cell r="Y135">
            <v>12.041409999999999</v>
          </cell>
          <cell r="AB135">
            <v>0</v>
          </cell>
          <cell r="AC135">
            <v>0.22511871826746369</v>
          </cell>
          <cell r="AD135">
            <v>6.0399776863459126E-2</v>
          </cell>
          <cell r="AE135">
            <v>2.1793002499999998</v>
          </cell>
          <cell r="AF135">
            <v>14.964476549425592</v>
          </cell>
          <cell r="AG135">
            <v>8.6231637392757623</v>
          </cell>
          <cell r="AH135">
            <v>202308</v>
          </cell>
        </row>
        <row r="136">
          <cell r="C136">
            <v>45144</v>
          </cell>
          <cell r="D136">
            <v>360818</v>
          </cell>
          <cell r="E136">
            <v>33094</v>
          </cell>
          <cell r="F136">
            <v>17075.43</v>
          </cell>
          <cell r="G136">
            <v>3165</v>
          </cell>
          <cell r="H136">
            <v>2722</v>
          </cell>
          <cell r="I136">
            <v>174000</v>
          </cell>
          <cell r="J136">
            <v>186781.2</v>
          </cell>
          <cell r="K136">
            <v>45841.89</v>
          </cell>
          <cell r="L136">
            <v>7759</v>
          </cell>
          <cell r="M136">
            <v>301743</v>
          </cell>
          <cell r="N136">
            <v>9013</v>
          </cell>
          <cell r="O136">
            <v>8532</v>
          </cell>
          <cell r="P136">
            <v>181.14624000000001</v>
          </cell>
          <cell r="Q136">
            <v>0</v>
          </cell>
          <cell r="R136">
            <v>146778.485858</v>
          </cell>
          <cell r="S136">
            <v>6.7781971813437458</v>
          </cell>
          <cell r="T136">
            <v>0.39595200000000003</v>
          </cell>
          <cell r="U136">
            <v>4.3520403684584605E-3</v>
          </cell>
          <cell r="V136">
            <v>1.2E-2</v>
          </cell>
          <cell r="W136">
            <v>0.31633999999999995</v>
          </cell>
          <cell r="X136">
            <v>6.5389999999999997</v>
          </cell>
          <cell r="Y136">
            <v>11.752661</v>
          </cell>
          <cell r="AB136">
            <v>0</v>
          </cell>
          <cell r="AC136">
            <v>0.24380781940664933</v>
          </cell>
          <cell r="AD136">
            <v>6.3118191574613403E-2</v>
          </cell>
          <cell r="AE136">
            <v>2.15350025</v>
          </cell>
          <cell r="AF136">
            <v>14.964788034444577</v>
          </cell>
          <cell r="AG136">
            <v>8.5175168982671146</v>
          </cell>
          <cell r="AH136">
            <v>202308</v>
          </cell>
          <cell r="AI136" t="str">
            <v>Prev day data for ACG,Vankor</v>
          </cell>
          <cell r="AJ136" t="str">
            <v xml:space="preserve">
LZC:Production loss due to ADNOC gas train trip.Production being resumed back gradually
SCB:Intermittent pumping. Field prod 3.4 k bopd
MECL:Vel-347 added. (Crude oil used as completion fluid currently flowing back)
B-06.1:Reasons sought from operator for low prod'n</v>
          </cell>
        </row>
        <row r="137">
          <cell r="C137">
            <v>45145</v>
          </cell>
          <cell r="D137">
            <v>346078</v>
          </cell>
          <cell r="E137">
            <v>32126</v>
          </cell>
          <cell r="F137">
            <v>17024.13</v>
          </cell>
          <cell r="G137">
            <v>3061</v>
          </cell>
          <cell r="H137">
            <v>2680</v>
          </cell>
          <cell r="I137">
            <v>79000</v>
          </cell>
          <cell r="J137">
            <v>187056.48</v>
          </cell>
          <cell r="K137">
            <v>45524.66</v>
          </cell>
          <cell r="L137">
            <v>4811</v>
          </cell>
          <cell r="M137">
            <v>333335</v>
          </cell>
          <cell r="N137">
            <v>9099</v>
          </cell>
          <cell r="O137">
            <v>1400</v>
          </cell>
          <cell r="P137">
            <v>176.99497199999999</v>
          </cell>
          <cell r="Q137">
            <v>0</v>
          </cell>
          <cell r="R137">
            <v>124746.2540874</v>
          </cell>
          <cell r="S137">
            <v>6.795753609686618</v>
          </cell>
          <cell r="T137">
            <v>0.49249199999999999</v>
          </cell>
          <cell r="U137">
            <v>4.4809385326790253E-3</v>
          </cell>
          <cell r="V137">
            <v>1.2E-2</v>
          </cell>
          <cell r="W137">
            <v>0.31724000000000002</v>
          </cell>
          <cell r="X137">
            <v>6.5389999999999997</v>
          </cell>
          <cell r="Y137">
            <v>11.784000000000001</v>
          </cell>
          <cell r="AB137">
            <v>0</v>
          </cell>
          <cell r="AC137">
            <v>0.25173652898084936</v>
          </cell>
          <cell r="AD137">
            <v>6.2183736517654124E-2</v>
          </cell>
          <cell r="AE137">
            <v>2.35930025</v>
          </cell>
          <cell r="AF137">
            <v>14.878959753303866</v>
          </cell>
          <cell r="AG137">
            <v>8.6316441887132491</v>
          </cell>
          <cell r="AH137">
            <v>202308</v>
          </cell>
          <cell r="AI137" t="str">
            <v>Prev day data for ACG,BC-10</v>
          </cell>
          <cell r="AJ137" t="str">
            <v xml:space="preserve">
B-06.1:Low demand due to rainy season
SCB:Intermittent pumping. Field prod around 3.4k.
SPOC:Export to PS#1 stopped during the day due to back pressure at PS#1. Flow from Tharjath to heglig is 7.8k bopd
LZC:Production being resumed back after ADNOC gas trip.Quota for the month is 346k.
BC-10: MOBO 7 trip due to VFD transformed temperature.</v>
          </cell>
        </row>
        <row r="138">
          <cell r="C138">
            <v>45146</v>
          </cell>
          <cell r="D138">
            <v>354762</v>
          </cell>
          <cell r="E138">
            <v>34101</v>
          </cell>
          <cell r="F138">
            <v>17069.57</v>
          </cell>
          <cell r="G138">
            <v>3032</v>
          </cell>
          <cell r="H138">
            <v>2700</v>
          </cell>
          <cell r="I138">
            <v>79000</v>
          </cell>
          <cell r="J138">
            <v>184557</v>
          </cell>
          <cell r="K138">
            <v>43720.084209999994</v>
          </cell>
          <cell r="L138">
            <v>0</v>
          </cell>
          <cell r="M138">
            <v>333443</v>
          </cell>
          <cell r="N138">
            <v>9156</v>
          </cell>
          <cell r="O138">
            <v>3993</v>
          </cell>
          <cell r="P138">
            <v>201.52519199999998</v>
          </cell>
          <cell r="Q138">
            <v>0</v>
          </cell>
          <cell r="R138">
            <v>124314.57858890001</v>
          </cell>
          <cell r="S138">
            <v>5.7347223677392094</v>
          </cell>
          <cell r="T138">
            <v>0.53279200000000004</v>
          </cell>
          <cell r="U138">
            <v>4.6454309395237668E-3</v>
          </cell>
          <cell r="V138">
            <v>1.2E-2</v>
          </cell>
          <cell r="W138">
            <v>0.31752999999999998</v>
          </cell>
          <cell r="X138">
            <v>6.5389999999999997</v>
          </cell>
          <cell r="Y138">
            <v>11.87</v>
          </cell>
          <cell r="AB138">
            <v>0</v>
          </cell>
          <cell r="AC138">
            <v>0.24125930561494219</v>
          </cell>
          <cell r="AD138">
            <v>5.8417599469909133E-2</v>
          </cell>
          <cell r="AE138">
            <v>2.8996002500000002</v>
          </cell>
          <cell r="AF138">
            <v>14.877912030967273</v>
          </cell>
          <cell r="AG138">
            <v>8.8810784495224855</v>
          </cell>
          <cell r="AH138">
            <v>202308</v>
          </cell>
          <cell r="AI138" t="str">
            <v>Prev day data for ACG,BC-10,MECL,SCB</v>
          </cell>
          <cell r="AJ138" t="str">
            <v>SPOC:Export to PS#1 stopped due to back pressure. Flow from Tharjath to heglig is 7.8k bopd
GPOC: Deferment due to power trip at EL toor (3 times) during the day.
LZC:Production being resumed back after ADNOC gas trip.Quota for the month is 346k.
BC-10: MOBO 7 trip due to VFD transformed temperature.
SCB:Intermittent pumping. Field prod around 3.4k.</v>
          </cell>
        </row>
        <row r="139">
          <cell r="C139">
            <v>45147</v>
          </cell>
          <cell r="D139">
            <v>340578</v>
          </cell>
          <cell r="E139">
            <v>35277</v>
          </cell>
          <cell r="F139">
            <v>17068.38</v>
          </cell>
          <cell r="G139">
            <v>3019</v>
          </cell>
          <cell r="H139">
            <v>2765</v>
          </cell>
          <cell r="I139">
            <v>79000</v>
          </cell>
          <cell r="J139">
            <v>185725</v>
          </cell>
          <cell r="K139">
            <v>45416.192000000003</v>
          </cell>
          <cell r="L139">
            <v>0</v>
          </cell>
          <cell r="M139">
            <v>334768</v>
          </cell>
          <cell r="N139">
            <v>9127</v>
          </cell>
          <cell r="O139">
            <v>5770</v>
          </cell>
          <cell r="P139">
            <v>201.022008</v>
          </cell>
          <cell r="Q139">
            <v>0</v>
          </cell>
          <cell r="R139">
            <v>125850.20570359999</v>
          </cell>
          <cell r="S139">
            <v>6.8070803376497633</v>
          </cell>
          <cell r="T139">
            <v>0.55269699999999999</v>
          </cell>
          <cell r="U139">
            <v>4.401509852837486E-3</v>
          </cell>
          <cell r="V139">
            <v>1.2E-2</v>
          </cell>
          <cell r="W139">
            <v>0.31995000000000001</v>
          </cell>
          <cell r="X139">
            <v>6.5389999999999997</v>
          </cell>
          <cell r="Y139">
            <v>12.28</v>
          </cell>
          <cell r="Z139">
            <v>0</v>
          </cell>
          <cell r="AB139">
            <v>0</v>
          </cell>
          <cell r="AC139">
            <v>0.21634050409602798</v>
          </cell>
          <cell r="AD139">
            <v>5.9521955446315548E-2</v>
          </cell>
          <cell r="AE139">
            <v>2.8880002500000002</v>
          </cell>
          <cell r="AF139">
            <v>14.875958170393632</v>
          </cell>
          <cell r="AG139">
            <v>9.0122220417927021</v>
          </cell>
          <cell r="AH139">
            <v>202308</v>
          </cell>
          <cell r="AI139" t="str">
            <v>Prev day data for ACG,MECL.</v>
          </cell>
          <cell r="AJ139" t="str">
            <v>S-1:Production curtailed to avoid tank top due handicap in Ship to Ship transfer at South Korea Yusu port, due to unfavourable weather situation (Typhoon khanun)
SPOC:Export to PS#1 stopped due to back pressure. Flow from Tharjath to heglig is 7.3k bopd
LZC:Quota for the month is 346k.
SCB:Intermittent pumping. Field prod around 3.4k.</v>
          </cell>
        </row>
        <row r="140">
          <cell r="C140">
            <v>45148</v>
          </cell>
          <cell r="D140">
            <v>343511</v>
          </cell>
          <cell r="E140">
            <v>29824</v>
          </cell>
          <cell r="F140">
            <v>17061.71</v>
          </cell>
          <cell r="G140">
            <v>3017</v>
          </cell>
          <cell r="H140">
            <v>2755</v>
          </cell>
          <cell r="I140">
            <v>79000</v>
          </cell>
          <cell r="J140">
            <v>186670</v>
          </cell>
          <cell r="K140">
            <v>44898.4067</v>
          </cell>
          <cell r="L140">
            <v>0</v>
          </cell>
          <cell r="M140">
            <v>336078</v>
          </cell>
          <cell r="N140">
            <v>8636</v>
          </cell>
          <cell r="O140">
            <v>4293</v>
          </cell>
          <cell r="P140">
            <v>187.75053</v>
          </cell>
          <cell r="Q140">
            <v>0</v>
          </cell>
          <cell r="R140">
            <v>123947.8505135</v>
          </cell>
          <cell r="S140">
            <v>6.4259359416899997</v>
          </cell>
          <cell r="T140">
            <v>0.54008999999999996</v>
          </cell>
          <cell r="U140">
            <v>4.4144506395353772E-3</v>
          </cell>
          <cell r="V140">
            <v>1.2E-2</v>
          </cell>
          <cell r="W140">
            <v>0.31907999999999997</v>
          </cell>
          <cell r="X140">
            <v>6.5389999999999997</v>
          </cell>
          <cell r="Y140">
            <v>12.48</v>
          </cell>
          <cell r="AB140">
            <v>0</v>
          </cell>
          <cell r="AC140">
            <v>0.21577416769787086</v>
          </cell>
          <cell r="AD140">
            <v>5.8672450849079842E-2</v>
          </cell>
          <cell r="AE140">
            <v>2.8321002499999999</v>
          </cell>
          <cell r="AF140">
            <v>14.871908865146807</v>
          </cell>
          <cell r="AG140">
            <v>9.0249072940620696</v>
          </cell>
          <cell r="AH140">
            <v>202308</v>
          </cell>
          <cell r="AI140" t="str">
            <v>Prev day data for ACG,BC-10</v>
          </cell>
          <cell r="AJ140" t="str">
            <v>SPOC:Export to PS#1 stopped due to back pressure. Flow from Tharjath to heglig is 7.4k bopd
LZC:Quota for the month is 346k.
SCB:Intermittent pumping. Field prod around 3.4k.</v>
          </cell>
        </row>
        <row r="141">
          <cell r="C141">
            <v>45149</v>
          </cell>
          <cell r="D141">
            <v>359835</v>
          </cell>
          <cell r="E141">
            <v>31648</v>
          </cell>
          <cell r="F141">
            <v>17040.28</v>
          </cell>
          <cell r="G141">
            <v>3058</v>
          </cell>
          <cell r="H141">
            <v>2725</v>
          </cell>
          <cell r="I141">
            <v>79000</v>
          </cell>
          <cell r="J141">
            <v>186334.80000000002</v>
          </cell>
          <cell r="K141">
            <v>44974.40451</v>
          </cell>
          <cell r="L141">
            <v>0</v>
          </cell>
          <cell r="M141">
            <v>325156</v>
          </cell>
          <cell r="N141">
            <v>8630</v>
          </cell>
          <cell r="O141">
            <v>1179</v>
          </cell>
          <cell r="P141">
            <v>188.69399999999999</v>
          </cell>
          <cell r="Q141">
            <v>0</v>
          </cell>
          <cell r="R141">
            <v>123042.04592750003</v>
          </cell>
          <cell r="S141">
            <v>6.9053397027300276</v>
          </cell>
          <cell r="T141">
            <v>0.54550699999999996</v>
          </cell>
          <cell r="U141">
            <v>4.3912025303910274E-3</v>
          </cell>
          <cell r="V141">
            <v>1.2E-2</v>
          </cell>
          <cell r="W141">
            <v>0.31918000000000002</v>
          </cell>
          <cell r="X141">
            <v>6.5389999999999997</v>
          </cell>
          <cell r="Y141">
            <v>12.459262000000001</v>
          </cell>
          <cell r="AB141">
            <v>0</v>
          </cell>
          <cell r="AC141">
            <v>0.21039397191537801</v>
          </cell>
          <cell r="AD141">
            <v>6.2353637437101261E-2</v>
          </cell>
          <cell r="AE141">
            <v>2.8143002500000001</v>
          </cell>
          <cell r="AF141">
            <v>14.872701736104228</v>
          </cell>
          <cell r="AG141">
            <v>9.0251413984275892</v>
          </cell>
          <cell r="AH141">
            <v>202308</v>
          </cell>
        </row>
        <row r="142">
          <cell r="C142">
            <v>45150</v>
          </cell>
          <cell r="D142">
            <v>368712</v>
          </cell>
          <cell r="E142">
            <v>36660</v>
          </cell>
          <cell r="F142">
            <v>17038.48</v>
          </cell>
          <cell r="G142">
            <v>3116</v>
          </cell>
          <cell r="H142">
            <v>2676</v>
          </cell>
          <cell r="I142">
            <v>79000</v>
          </cell>
          <cell r="J142">
            <v>186200.88</v>
          </cell>
          <cell r="K142">
            <v>45408.163510000006</v>
          </cell>
          <cell r="L142">
            <v>0</v>
          </cell>
          <cell r="M142">
            <v>346294</v>
          </cell>
          <cell r="N142">
            <v>8646</v>
          </cell>
          <cell r="O142">
            <v>6534</v>
          </cell>
          <cell r="P142">
            <v>189.700368</v>
          </cell>
          <cell r="Q142">
            <v>0</v>
          </cell>
          <cell r="R142">
            <v>127642.4380431</v>
          </cell>
          <cell r="S142">
            <v>9.8236711624337758</v>
          </cell>
          <cell r="T142">
            <v>0.554311</v>
          </cell>
          <cell r="U142">
            <v>4.3080643471415589E-3</v>
          </cell>
          <cell r="V142">
            <v>1.2E-2</v>
          </cell>
          <cell r="W142">
            <v>0.31873000000000001</v>
          </cell>
          <cell r="X142">
            <v>6.5389999999999997</v>
          </cell>
          <cell r="Y142">
            <v>12.434950000000001</v>
          </cell>
          <cell r="AB142">
            <v>0</v>
          </cell>
          <cell r="AC142">
            <v>0.21152664471169227</v>
          </cell>
          <cell r="AD142">
            <v>6.3288092494060547E-2</v>
          </cell>
          <cell r="AE142">
            <v>2.6900002500000002</v>
          </cell>
          <cell r="AF142">
            <v>14.87241856790515</v>
          </cell>
          <cell r="AG142">
            <v>9.0326178558550065</v>
          </cell>
          <cell r="AH142">
            <v>202308</v>
          </cell>
        </row>
        <row r="143">
          <cell r="C143">
            <v>45151</v>
          </cell>
          <cell r="D143">
            <v>360742</v>
          </cell>
          <cell r="E143">
            <v>35428</v>
          </cell>
          <cell r="F143">
            <v>17041.53</v>
          </cell>
          <cell r="G143">
            <v>3130</v>
          </cell>
          <cell r="H143">
            <v>2721</v>
          </cell>
          <cell r="I143">
            <v>79000</v>
          </cell>
          <cell r="J143">
            <v>184378.08000000002</v>
          </cell>
          <cell r="K143">
            <v>43398.528660000004</v>
          </cell>
          <cell r="L143">
            <v>0</v>
          </cell>
          <cell r="M143">
            <v>345071</v>
          </cell>
          <cell r="N143">
            <v>8643</v>
          </cell>
          <cell r="O143">
            <v>575</v>
          </cell>
          <cell r="P143">
            <v>199.07216999999997</v>
          </cell>
          <cell r="Q143">
            <v>0</v>
          </cell>
          <cell r="R143">
            <v>123774.8566415</v>
          </cell>
          <cell r="S143">
            <v>10.353478862909778</v>
          </cell>
          <cell r="T143">
            <v>0.55152000000000001</v>
          </cell>
          <cell r="U143">
            <v>4.3100748413550166E-3</v>
          </cell>
          <cell r="V143">
            <v>1.2E-2</v>
          </cell>
          <cell r="W143">
            <v>0.31941000000000003</v>
          </cell>
          <cell r="X143">
            <v>6.5389999999999997</v>
          </cell>
          <cell r="Y143">
            <v>12.417007</v>
          </cell>
          <cell r="AB143">
            <v>0</v>
          </cell>
          <cell r="AC143">
            <v>0.18547517039646377</v>
          </cell>
          <cell r="AD143">
            <v>6.4222547551019818E-2</v>
          </cell>
          <cell r="AE143">
            <v>2.64780025</v>
          </cell>
          <cell r="AF143">
            <v>14.870521340971324</v>
          </cell>
          <cell r="AG143">
            <v>9.01831466235131</v>
          </cell>
          <cell r="AH143">
            <v>202308</v>
          </cell>
          <cell r="AI143" t="str">
            <v xml:space="preserve"> </v>
          </cell>
          <cell r="AJ143" t="str">
            <v>SPOC:Export to PS#1 stopped due to back pressure. Flow from Tharjath to heglig is 7.2k bopd
LZC:Quota for the month is 346k.
SCB:Intermittent pumping. Field prod around 3.43k.</v>
          </cell>
        </row>
        <row r="144">
          <cell r="C144">
            <v>45152</v>
          </cell>
          <cell r="D144">
            <v>370715</v>
          </cell>
          <cell r="E144">
            <v>34113</v>
          </cell>
          <cell r="F144">
            <v>17026.54</v>
          </cell>
          <cell r="G144">
            <v>3097</v>
          </cell>
          <cell r="H144">
            <v>2678</v>
          </cell>
          <cell r="I144">
            <v>177000</v>
          </cell>
          <cell r="J144">
            <v>185516.40000000002</v>
          </cell>
          <cell r="K144">
            <v>42056.115590000009</v>
          </cell>
          <cell r="L144">
            <v>0</v>
          </cell>
          <cell r="M144">
            <v>342232</v>
          </cell>
          <cell r="N144">
            <v>9023</v>
          </cell>
          <cell r="O144">
            <v>305</v>
          </cell>
          <cell r="P144">
            <v>193.78873799999997</v>
          </cell>
          <cell r="Q144">
            <v>0</v>
          </cell>
          <cell r="R144">
            <v>142958.41232960002</v>
          </cell>
          <cell r="S144">
            <v>10.479771879698822</v>
          </cell>
          <cell r="T144">
            <v>0.54761700000000002</v>
          </cell>
          <cell r="U144">
            <v>4.1638751001707502E-3</v>
          </cell>
          <cell r="V144">
            <v>1.2E-2</v>
          </cell>
          <cell r="W144">
            <v>0.31842000000000004</v>
          </cell>
          <cell r="X144">
            <v>6.5389999999999997</v>
          </cell>
          <cell r="Y144">
            <v>12.428107000000001</v>
          </cell>
          <cell r="AB144">
            <v>0</v>
          </cell>
          <cell r="AC144">
            <v>0.21407515850339942</v>
          </cell>
          <cell r="AD144">
            <v>6.3118191574613403E-2</v>
          </cell>
          <cell r="AE144">
            <v>2.80250025</v>
          </cell>
          <cell r="AF144">
            <v>14.497871990983924</v>
          </cell>
          <cell r="AG144">
            <v>9.0309407480236494</v>
          </cell>
          <cell r="AH144">
            <v>202308</v>
          </cell>
        </row>
        <row r="145">
          <cell r="C145">
            <v>45153</v>
          </cell>
          <cell r="D145">
            <v>370715</v>
          </cell>
          <cell r="E145">
            <v>27767</v>
          </cell>
          <cell r="F145">
            <v>17028.11</v>
          </cell>
          <cell r="G145">
            <v>3044</v>
          </cell>
          <cell r="H145">
            <v>2734</v>
          </cell>
          <cell r="I145">
            <v>177000</v>
          </cell>
          <cell r="J145">
            <v>186066.96000000002</v>
          </cell>
          <cell r="K145">
            <v>43218.953079999992</v>
          </cell>
          <cell r="L145">
            <v>0</v>
          </cell>
          <cell r="M145">
            <v>357513</v>
          </cell>
          <cell r="N145">
            <v>9010</v>
          </cell>
          <cell r="O145">
            <v>5343</v>
          </cell>
          <cell r="P145">
            <v>200.518824</v>
          </cell>
          <cell r="R145">
            <v>144337.48484080003</v>
          </cell>
          <cell r="S145">
            <v>10.479771879698822</v>
          </cell>
          <cell r="T145">
            <v>0.49062499999999998</v>
          </cell>
          <cell r="U145">
            <v>4.087646220978799E-3</v>
          </cell>
          <cell r="V145">
            <v>1.2E-2</v>
          </cell>
          <cell r="W145">
            <v>0.31836000000000003</v>
          </cell>
          <cell r="X145">
            <v>6.5389999999999997</v>
          </cell>
          <cell r="Y145">
            <v>12.318963</v>
          </cell>
          <cell r="AB145">
            <v>0</v>
          </cell>
          <cell r="AC145">
            <v>0.18915635698448519</v>
          </cell>
          <cell r="AD145">
            <v>6.4080963451480538E-2</v>
          </cell>
          <cell r="AE145">
            <v>2.8238002500000001</v>
          </cell>
          <cell r="AF145">
            <v>14.497928624623739</v>
          </cell>
          <cell r="AG145">
            <v>8.9943007761106486</v>
          </cell>
          <cell r="AH145">
            <v>202308</v>
          </cell>
          <cell r="AI145" t="str">
            <v>Prev day data for ACG,MECL.
SCB:Intermittent pumping.Field prod 3460 bopd.</v>
          </cell>
          <cell r="AJ145" t="str">
            <v>BC-10:ALM 3 ramp down to avoid Tank top due to offloading issues. More details sought from the operator.
GPOC:Transmission line problem caused downtime (of about 8 hrs) in 9 wells of El nar and 2 wells of El toor.Total deferment of 2200 bopd.
SPOC: Export to PS#1 stopped since 7-Aug-23 due to high viscosity issue in SCOTS pipeline. PETCO waiting on laptop with loaded software and technician for start up of PS-2
SCB:Intermittent pumping.Field prod 3460 bopd.</v>
          </cell>
        </row>
        <row r="146">
          <cell r="C146">
            <v>45154</v>
          </cell>
          <cell r="D146">
            <v>360939</v>
          </cell>
          <cell r="E146">
            <v>17629</v>
          </cell>
          <cell r="F146">
            <v>17071.41</v>
          </cell>
          <cell r="G146">
            <v>3062</v>
          </cell>
          <cell r="H146">
            <v>2676</v>
          </cell>
          <cell r="I146">
            <v>177000</v>
          </cell>
          <cell r="J146">
            <v>186907.68000000002</v>
          </cell>
          <cell r="K146">
            <v>36275.120000000003</v>
          </cell>
          <cell r="L146">
            <v>0</v>
          </cell>
          <cell r="M146">
            <v>365162</v>
          </cell>
          <cell r="N146">
            <v>8910</v>
          </cell>
          <cell r="O146">
            <v>851</v>
          </cell>
          <cell r="P146">
            <v>188.19081600000001</v>
          </cell>
          <cell r="Q146">
            <v>0</v>
          </cell>
          <cell r="R146">
            <v>138330.95056719999</v>
          </cell>
          <cell r="S146">
            <v>10.619656970043637</v>
          </cell>
          <cell r="T146">
            <v>0.39663599999999999</v>
          </cell>
          <cell r="U146">
            <v>4.0951218614344734E-3</v>
          </cell>
          <cell r="V146">
            <v>1.2E-2</v>
          </cell>
          <cell r="W146">
            <v>0.31608999999999998</v>
          </cell>
          <cell r="X146">
            <v>6.5389999999999997</v>
          </cell>
          <cell r="Y146">
            <v>12.295444</v>
          </cell>
          <cell r="AB146">
            <v>0</v>
          </cell>
          <cell r="AC146">
            <v>0.21152664471169227</v>
          </cell>
          <cell r="AD146">
            <v>6.0994430081524116E-2</v>
          </cell>
          <cell r="AE146">
            <v>2.8363002499999999</v>
          </cell>
          <cell r="AF146">
            <v>14.497900307803832</v>
          </cell>
          <cell r="AG146">
            <v>8.9706216890885599</v>
          </cell>
          <cell r="AH146">
            <v>202308</v>
          </cell>
          <cell r="AI146" t="str">
            <v>Prev day data for ACG,SCB.</v>
          </cell>
          <cell r="AJ146" t="str">
            <v xml:space="preserve">BC-10:Production deferment as ALM 3 shutdown to avoid tank top due to offloading issues.
SPOC: Export to PS#1 stopped since 7-Aug-23 due to high viscosity issue in SCOTS pipeline. Efforts ongoing for PS#2 system reboot.
GPOC: Production from Toma South, El nar and Unity partially diverted to FPF storage. (Crude diverted to FPF storage about 9000 bbls) 
</v>
          </cell>
        </row>
        <row r="147">
          <cell r="C147">
            <v>45155</v>
          </cell>
          <cell r="D147">
            <v>374179</v>
          </cell>
          <cell r="E147">
            <v>19579</v>
          </cell>
          <cell r="F147">
            <v>17101.97</v>
          </cell>
          <cell r="G147">
            <v>3038</v>
          </cell>
          <cell r="H147">
            <v>2678</v>
          </cell>
          <cell r="I147">
            <v>177000</v>
          </cell>
          <cell r="J147">
            <v>186365</v>
          </cell>
          <cell r="K147">
            <v>34424.07</v>
          </cell>
          <cell r="L147">
            <v>0</v>
          </cell>
          <cell r="M147">
            <v>378463</v>
          </cell>
          <cell r="N147">
            <v>6160</v>
          </cell>
          <cell r="O147">
            <v>0</v>
          </cell>
          <cell r="P147">
            <v>187.87632600000001</v>
          </cell>
          <cell r="Q147">
            <v>0</v>
          </cell>
          <cell r="R147">
            <v>138459.82574669999</v>
          </cell>
          <cell r="S147">
            <v>10.497894644439853</v>
          </cell>
          <cell r="T147">
            <v>0.39891199999999999</v>
          </cell>
          <cell r="U147">
            <v>4.1581551025493633E-3</v>
          </cell>
          <cell r="V147">
            <v>1.2E-2</v>
          </cell>
          <cell r="W147">
            <v>0.31597000000000003</v>
          </cell>
          <cell r="X147">
            <v>6.5389999999999997</v>
          </cell>
          <cell r="Y147">
            <v>12.3</v>
          </cell>
          <cell r="AB147">
            <v>0</v>
          </cell>
          <cell r="AC147">
            <v>0.18122764741028524</v>
          </cell>
          <cell r="AD147">
            <v>6.2438587896824833E-2</v>
          </cell>
          <cell r="AE147">
            <v>2.8319002499999999</v>
          </cell>
          <cell r="AF147">
            <v>14.208445774705716</v>
          </cell>
          <cell r="AG147">
            <v>8.9155896854321774</v>
          </cell>
          <cell r="AH147">
            <v>202308</v>
          </cell>
          <cell r="AI147" t="str">
            <v>Prev day data for SCB.  PCB:Power disruption due to adverse weather.
SPOC:PS#2 operation started at 0700 hours.</v>
          </cell>
          <cell r="AJ147" t="str">
            <v>Sakh-1: Updated based on weekly recvd for previous week. Prod'n curtailed in prev week to avoid tank top due to handicap in Ship to Ship transfer at South Korea Yusu port, due to unfavourable weather situation (Typhoon khanun)
GPOC:EL nar fluid partially diverted to cost. Also, All wells of Toma South and Munga were interrrupted during the day due to power trip.
BC-10:ALM3 s/d due to avoid tank top due to offloading issues. Delays due to towing vessel readiness, then tanker manifold leaking during leak test.
SPOC:PS#2 operation started at 0700 hours.
PCB:Power disruption due to adverse weather condition.</v>
          </cell>
        </row>
        <row r="148">
          <cell r="C148">
            <v>45156</v>
          </cell>
          <cell r="D148">
            <v>368269</v>
          </cell>
          <cell r="E148">
            <v>26849</v>
          </cell>
          <cell r="F148">
            <v>17076.07</v>
          </cell>
          <cell r="G148">
            <v>3057</v>
          </cell>
          <cell r="H148">
            <v>2608</v>
          </cell>
          <cell r="I148">
            <v>177000</v>
          </cell>
          <cell r="J148">
            <v>186595.20000000001</v>
          </cell>
          <cell r="K148">
            <v>45197.915879999993</v>
          </cell>
          <cell r="L148">
            <v>0</v>
          </cell>
          <cell r="M148">
            <v>371477</v>
          </cell>
          <cell r="N148">
            <v>9057</v>
          </cell>
          <cell r="O148">
            <v>6641</v>
          </cell>
          <cell r="P148">
            <v>193.53714599999998</v>
          </cell>
          <cell r="Q148">
            <v>0</v>
          </cell>
          <cell r="R148">
            <v>145659.06558569998</v>
          </cell>
          <cell r="S148">
            <v>12.517167072069141</v>
          </cell>
          <cell r="T148">
            <v>0.40320800000000001</v>
          </cell>
          <cell r="U148">
            <v>4.0954333464534596E-3</v>
          </cell>
          <cell r="V148">
            <v>1.2E-2</v>
          </cell>
          <cell r="W148">
            <v>0.31251999999999996</v>
          </cell>
          <cell r="X148">
            <v>6.5389999999999997</v>
          </cell>
          <cell r="Y148">
            <v>12.24</v>
          </cell>
          <cell r="Z148">
            <v>0</v>
          </cell>
          <cell r="AB148">
            <v>0</v>
          </cell>
          <cell r="AC148">
            <v>0.19736823475776374</v>
          </cell>
          <cell r="AD148">
            <v>6.2693439275995549E-2</v>
          </cell>
          <cell r="AE148">
            <v>2.8338002499999999</v>
          </cell>
          <cell r="AF148">
            <v>14.208077656046916</v>
          </cell>
          <cell r="AG148">
            <v>8.9469707182690428</v>
          </cell>
          <cell r="AH148">
            <v>202308</v>
          </cell>
        </row>
        <row r="149">
          <cell r="C149">
            <v>45157</v>
          </cell>
          <cell r="D149">
            <v>365722</v>
          </cell>
          <cell r="E149">
            <v>33195</v>
          </cell>
          <cell r="F149">
            <v>17024.82</v>
          </cell>
          <cell r="G149">
            <v>3060</v>
          </cell>
          <cell r="H149">
            <v>2624</v>
          </cell>
          <cell r="I149">
            <v>177000</v>
          </cell>
          <cell r="J149">
            <v>186059.52000000002</v>
          </cell>
          <cell r="K149">
            <v>44874.27</v>
          </cell>
          <cell r="L149">
            <v>0</v>
          </cell>
          <cell r="M149">
            <v>379743</v>
          </cell>
          <cell r="N149">
            <v>9064</v>
          </cell>
          <cell r="O149">
            <v>1198</v>
          </cell>
          <cell r="P149">
            <v>194.22902399999998</v>
          </cell>
          <cell r="Q149">
            <v>0</v>
          </cell>
          <cell r="R149">
            <v>145229.60796080003</v>
          </cell>
          <cell r="S149">
            <v>12.148482076868838</v>
          </cell>
          <cell r="T149">
            <v>0.53793299999999999</v>
          </cell>
          <cell r="U149">
            <v>4.1866418233766668E-3</v>
          </cell>
          <cell r="V149">
            <v>1.2E-2</v>
          </cell>
          <cell r="W149">
            <v>0.31494</v>
          </cell>
          <cell r="X149">
            <v>6.5389999999999997</v>
          </cell>
          <cell r="Y149">
            <v>12.08</v>
          </cell>
          <cell r="AB149">
            <v>0</v>
          </cell>
          <cell r="AC149">
            <v>0.19708506655868518</v>
          </cell>
          <cell r="AD149">
            <v>6.4335814830651247E-2</v>
          </cell>
          <cell r="AE149">
            <v>2.8276002500000001</v>
          </cell>
          <cell r="AF149">
            <v>14.208757259724704</v>
          </cell>
          <cell r="AG149">
            <v>8.93366502515895</v>
          </cell>
          <cell r="AH149">
            <v>202308</v>
          </cell>
        </row>
        <row r="150">
          <cell r="C150">
            <v>45158</v>
          </cell>
          <cell r="D150">
            <v>360926</v>
          </cell>
          <cell r="E150">
            <v>36138</v>
          </cell>
          <cell r="F150">
            <v>16940.240000000002</v>
          </cell>
          <cell r="G150">
            <v>3035</v>
          </cell>
          <cell r="H150">
            <v>2661</v>
          </cell>
          <cell r="I150">
            <v>177000</v>
          </cell>
          <cell r="J150">
            <v>185992.56</v>
          </cell>
          <cell r="K150">
            <v>44503.17</v>
          </cell>
          <cell r="L150">
            <v>0</v>
          </cell>
          <cell r="M150">
            <v>379717</v>
          </cell>
          <cell r="N150">
            <v>9139</v>
          </cell>
          <cell r="O150">
            <v>5797</v>
          </cell>
          <cell r="P150">
            <v>178.31583000000001</v>
          </cell>
          <cell r="Q150">
            <v>0</v>
          </cell>
          <cell r="R150">
            <v>147608.18882350001</v>
          </cell>
          <cell r="S150">
            <v>12.508672026096781</v>
          </cell>
          <cell r="T150">
            <v>0.54844899999999996</v>
          </cell>
          <cell r="U150">
            <v>4.0941874063775141E-3</v>
          </cell>
          <cell r="V150">
            <v>1.2E-2</v>
          </cell>
          <cell r="W150">
            <v>0.3145</v>
          </cell>
          <cell r="X150">
            <v>6.5389999999999997</v>
          </cell>
          <cell r="Y150">
            <v>12.24</v>
          </cell>
          <cell r="AB150">
            <v>0</v>
          </cell>
          <cell r="AC150">
            <v>0.1987840757531566</v>
          </cell>
          <cell r="AD150">
            <v>6.1758984219036264E-2</v>
          </cell>
          <cell r="AE150">
            <v>2.82690025</v>
          </cell>
          <cell r="AF150">
            <v>14.20878557654461</v>
          </cell>
          <cell r="AG150">
            <v>8.9847659875203458</v>
          </cell>
          <cell r="AH150">
            <v>202308</v>
          </cell>
          <cell r="AI150" t="str">
            <v>Prev day data for GPOC</v>
          </cell>
          <cell r="AJ150" t="str">
            <v>S-1:Gas figures from 1st July'23 onwards updated based on July report by operator.Oil figures down based on last weekly report( Prod'n curtailed in prev week to avoid tank top due to handicap in Ship to Ship transfer at South Korea Yusu port, due to unfavourable weather situation (Typhoon khanun)
SPOC:PS#2 in operation to stabilize and decrease SCOTS pipeline pressure prior resuming export from WHCC - PS#1.WHCC COBT reheating in progress.
SCB:Intermittent pumping.Field prod 3.43k bopd.</v>
          </cell>
        </row>
        <row r="151">
          <cell r="C151">
            <v>45159</v>
          </cell>
          <cell r="D151">
            <v>361411</v>
          </cell>
          <cell r="E151">
            <v>31906</v>
          </cell>
          <cell r="F151">
            <v>17071.59</v>
          </cell>
          <cell r="G151">
            <v>3034</v>
          </cell>
          <cell r="H151">
            <v>2608</v>
          </cell>
          <cell r="I151">
            <v>171000</v>
          </cell>
          <cell r="J151">
            <v>184534</v>
          </cell>
          <cell r="K151">
            <v>45342.68</v>
          </cell>
          <cell r="L151">
            <v>0</v>
          </cell>
          <cell r="M151">
            <v>378356</v>
          </cell>
          <cell r="N151">
            <v>8820</v>
          </cell>
          <cell r="O151">
            <v>5843</v>
          </cell>
          <cell r="P151">
            <v>183.34766999999999</v>
          </cell>
          <cell r="Q151">
            <v>0</v>
          </cell>
          <cell r="R151">
            <v>145076.98355150002</v>
          </cell>
          <cell r="S151">
            <v>12.649689789237913</v>
          </cell>
          <cell r="T151">
            <v>0.50271999999999994</v>
          </cell>
          <cell r="U151">
            <v>4.1499715415959926E-3</v>
          </cell>
          <cell r="V151">
            <v>1.2E-2</v>
          </cell>
          <cell r="W151">
            <v>0.31391000000000002</v>
          </cell>
          <cell r="X151">
            <v>6.5389999999999997</v>
          </cell>
          <cell r="Y151">
            <v>12.49</v>
          </cell>
          <cell r="AB151">
            <v>0</v>
          </cell>
          <cell r="AC151">
            <v>0.19623556196144945</v>
          </cell>
          <cell r="AD151">
            <v>6.3627894332954821E-2</v>
          </cell>
          <cell r="AE151">
            <v>2.8262002499999999</v>
          </cell>
          <cell r="AF151">
            <v>14.595565019666031</v>
          </cell>
          <cell r="AG151">
            <v>9.1060304496026809</v>
          </cell>
          <cell r="AH151">
            <v>202308</v>
          </cell>
          <cell r="AI151" t="str">
            <v>Prev day data for ACG,GPOC,MECL.</v>
          </cell>
          <cell r="AJ151" t="str">
            <v xml:space="preserve">
BC-10:MOBO-6 tripped due to instability in MOBO. MOBO-5 stopped for gas cap release.
SCB:Intermittent pumping. Field prod 3.44k bopd
SPOC:WHCC COBT reheating in progress prior export resumption to PS#1.</v>
          </cell>
        </row>
        <row r="152">
          <cell r="C152">
            <v>45160</v>
          </cell>
          <cell r="D152">
            <v>360610</v>
          </cell>
          <cell r="E152">
            <v>28761</v>
          </cell>
          <cell r="F152">
            <v>17010.2</v>
          </cell>
          <cell r="G152">
            <v>2967</v>
          </cell>
          <cell r="H152">
            <v>2656</v>
          </cell>
          <cell r="I152">
            <v>171000</v>
          </cell>
          <cell r="J152">
            <v>185144</v>
          </cell>
          <cell r="K152">
            <v>45945.78</v>
          </cell>
          <cell r="L152">
            <v>3615</v>
          </cell>
          <cell r="M152">
            <v>373676</v>
          </cell>
          <cell r="N152">
            <v>9003</v>
          </cell>
          <cell r="O152">
            <v>1034</v>
          </cell>
          <cell r="P152">
            <v>179.19640199999998</v>
          </cell>
          <cell r="Q152">
            <v>0</v>
          </cell>
          <cell r="R152">
            <v>143269.8131309</v>
          </cell>
          <cell r="S152">
            <v>12.704907588058232</v>
          </cell>
          <cell r="T152">
            <v>0.42704900000000001</v>
          </cell>
          <cell r="U152">
            <v>4.1678111381379425E-3</v>
          </cell>
          <cell r="V152">
            <v>1.2E-2</v>
          </cell>
          <cell r="W152">
            <v>0.31414999999999998</v>
          </cell>
          <cell r="X152">
            <v>6.5389999999999997</v>
          </cell>
          <cell r="Y152">
            <v>12.41</v>
          </cell>
          <cell r="AB152">
            <v>0</v>
          </cell>
          <cell r="AC152">
            <v>0.19538605736421377</v>
          </cell>
          <cell r="AD152">
            <v>6.4788883949176965E-2</v>
          </cell>
          <cell r="AE152">
            <v>2.4249002499999999</v>
          </cell>
          <cell r="AF152">
            <v>14.593667792732203</v>
          </cell>
          <cell r="AG152">
            <v>8.8857907202350503</v>
          </cell>
          <cell r="AH152">
            <v>202308</v>
          </cell>
          <cell r="AI152" t="str">
            <v>Prev day data for SCB and GPOC(reports not being recvd from heglig due to network issues)</v>
          </cell>
          <cell r="AJ152" t="str">
            <v>SPOC:Export to PS#1 restarted.
BC-10:MOBO 5 &amp; 6 restarted. Rampup in progress.
MECL: Deferment as 7 wells stopped for the connection of production line of well V-347 (1st infill well) to the north connection line of battery 2.
CPO-5:Choke size  for Indico-2 changed from 60/64" to 64/64
B-06.1: Wells closed for abt 3 hrs during the day (failure of solenoid of pneumatic pilot valve, which closed the export valve)</v>
          </cell>
        </row>
        <row r="153">
          <cell r="C153">
            <v>45161</v>
          </cell>
          <cell r="D153">
            <v>353122</v>
          </cell>
          <cell r="E153">
            <v>32358</v>
          </cell>
          <cell r="F153">
            <v>16993.04</v>
          </cell>
          <cell r="G153">
            <v>3019</v>
          </cell>
          <cell r="H153">
            <v>2632</v>
          </cell>
          <cell r="I153">
            <v>171000</v>
          </cell>
          <cell r="J153">
            <v>185338</v>
          </cell>
          <cell r="K153">
            <v>46754.39</v>
          </cell>
          <cell r="L153">
            <v>7656</v>
          </cell>
          <cell r="M153">
            <v>373872</v>
          </cell>
          <cell r="N153">
            <v>8926</v>
          </cell>
          <cell r="O153">
            <v>5218</v>
          </cell>
          <cell r="P153">
            <v>205.67645999999999</v>
          </cell>
          <cell r="Q153">
            <v>0</v>
          </cell>
          <cell r="R153">
            <v>146970.38810699998</v>
          </cell>
          <cell r="S153">
            <v>12.947582734668568</v>
          </cell>
          <cell r="T153">
            <v>0.52318500000000001</v>
          </cell>
          <cell r="U153">
            <v>4.2606053569759893E-3</v>
          </cell>
          <cell r="V153">
            <v>1.2E-2</v>
          </cell>
          <cell r="W153">
            <v>0.31514999999999999</v>
          </cell>
          <cell r="X153">
            <v>6.5389999999999997</v>
          </cell>
          <cell r="Y153">
            <v>12.42</v>
          </cell>
          <cell r="AB153">
            <v>0</v>
          </cell>
          <cell r="AC153">
            <v>0.19736823475776374</v>
          </cell>
          <cell r="AD153">
            <v>6.3373042953784112E-2</v>
          </cell>
          <cell r="AE153">
            <v>2.8238002500000001</v>
          </cell>
          <cell r="AF153">
            <v>14.59281828813497</v>
          </cell>
          <cell r="AG153">
            <v>9.1000304794085398</v>
          </cell>
          <cell r="AH153">
            <v>202308</v>
          </cell>
          <cell r="AI153" t="str">
            <v>Prev day data for ACG,MECL,SCB</v>
          </cell>
          <cell r="AJ153" t="str">
            <v>MECL: Deferment as 7 wells stopped for the connection of production line of well V-347 (1st infill well) to the north connection line of battery 2.
BC-10: ALM2 rampup in progress</v>
          </cell>
        </row>
        <row r="154">
          <cell r="C154">
            <v>45162</v>
          </cell>
          <cell r="D154">
            <v>380851</v>
          </cell>
          <cell r="E154">
            <v>33874</v>
          </cell>
          <cell r="F154">
            <v>16969.61</v>
          </cell>
          <cell r="G154">
            <v>3000</v>
          </cell>
          <cell r="H154">
            <v>2651</v>
          </cell>
          <cell r="I154">
            <v>171000</v>
          </cell>
          <cell r="J154">
            <v>184155</v>
          </cell>
          <cell r="K154">
            <v>47585.200000000004</v>
          </cell>
          <cell r="L154">
            <v>7438</v>
          </cell>
          <cell r="M154">
            <v>372330</v>
          </cell>
          <cell r="N154">
            <v>8837</v>
          </cell>
          <cell r="O154">
            <v>964</v>
          </cell>
          <cell r="P154">
            <v>175.79990999999998</v>
          </cell>
          <cell r="Q154">
            <v>0</v>
          </cell>
          <cell r="R154">
            <v>146074.3625595</v>
          </cell>
          <cell r="S154">
            <v>12.565022497713416</v>
          </cell>
          <cell r="T154">
            <v>0.552037</v>
          </cell>
          <cell r="U154">
            <v>4.2487689262545062E-3</v>
          </cell>
          <cell r="V154">
            <v>1.2E-2</v>
          </cell>
          <cell r="W154">
            <v>0.31695000000000001</v>
          </cell>
          <cell r="X154">
            <v>6.5389999999999997</v>
          </cell>
          <cell r="Y154">
            <v>12.25</v>
          </cell>
          <cell r="AB154">
            <v>0</v>
          </cell>
          <cell r="AC154">
            <v>0.19425338456789948</v>
          </cell>
          <cell r="AD154">
            <v>5.8417599469909133E-2</v>
          </cell>
          <cell r="AE154">
            <v>2.8222002499999999</v>
          </cell>
          <cell r="AF154">
            <v>14.594205812310452</v>
          </cell>
          <cell r="AG154">
            <v>9.0537661606287685</v>
          </cell>
          <cell r="AH154">
            <v>202308</v>
          </cell>
          <cell r="AI154" t="str">
            <v>Prev day data for ACG</v>
          </cell>
          <cell r="AJ154" t="str">
            <v>MECL : Deferment as V-347 was closed for connection to flow line(battery 2). Connection to flow line done and well reopened.Also differment in V#226&amp;342 due to broken rod.V#342 prod'n restarted after well service rig job. V#226 under well service job.
SCB:Intermittent pumping.Field prod 3.32k bopd</v>
          </cell>
        </row>
        <row r="155">
          <cell r="C155">
            <v>45163</v>
          </cell>
          <cell r="D155">
            <v>342329</v>
          </cell>
          <cell r="E155">
            <v>36994</v>
          </cell>
          <cell r="F155">
            <v>16938.09</v>
          </cell>
          <cell r="G155">
            <v>3056</v>
          </cell>
          <cell r="H155">
            <v>2652</v>
          </cell>
          <cell r="I155">
            <v>171000</v>
          </cell>
          <cell r="J155">
            <v>183820.08000000002</v>
          </cell>
          <cell r="K155">
            <v>44293.740000000005</v>
          </cell>
          <cell r="L155">
            <v>7449</v>
          </cell>
          <cell r="M155">
            <v>375422</v>
          </cell>
          <cell r="N155">
            <v>8662</v>
          </cell>
          <cell r="O155">
            <v>5711</v>
          </cell>
          <cell r="P155">
            <v>188.00212199999999</v>
          </cell>
          <cell r="Q155">
            <v>0</v>
          </cell>
          <cell r="R155">
            <v>147135.27090489998</v>
          </cell>
          <cell r="S155">
            <v>11.208929992326143</v>
          </cell>
          <cell r="T155">
            <v>0.54860200000000003</v>
          </cell>
          <cell r="U155">
            <v>4.2635786230663152E-3</v>
          </cell>
          <cell r="V155">
            <v>1.2E-2</v>
          </cell>
          <cell r="W155">
            <v>0.31692999999999999</v>
          </cell>
          <cell r="X155">
            <v>6.5389999999999997</v>
          </cell>
          <cell r="Y155">
            <v>12.480026000000001</v>
          </cell>
          <cell r="AB155">
            <v>0</v>
          </cell>
          <cell r="AC155">
            <v>0.19821773935499948</v>
          </cell>
          <cell r="AD155">
            <v>5.9521955446315548E-2</v>
          </cell>
          <cell r="AE155">
            <v>2.81470025</v>
          </cell>
          <cell r="AF155">
            <v>14.593129773153954</v>
          </cell>
          <cell r="AG155">
            <v>9.078629995302629</v>
          </cell>
          <cell r="AH155">
            <v>202308</v>
          </cell>
        </row>
        <row r="156">
          <cell r="C156">
            <v>45164</v>
          </cell>
          <cell r="D156">
            <v>355748</v>
          </cell>
          <cell r="E156">
            <v>36742</v>
          </cell>
          <cell r="F156">
            <v>16988.52</v>
          </cell>
          <cell r="G156">
            <v>3039</v>
          </cell>
          <cell r="H156">
            <v>2697</v>
          </cell>
          <cell r="I156">
            <v>171000</v>
          </cell>
          <cell r="J156">
            <v>183128.16</v>
          </cell>
          <cell r="K156">
            <v>45925.5</v>
          </cell>
          <cell r="L156">
            <v>3055</v>
          </cell>
          <cell r="M156">
            <v>364875</v>
          </cell>
          <cell r="N156">
            <v>8739</v>
          </cell>
          <cell r="O156">
            <v>6296</v>
          </cell>
          <cell r="P156">
            <v>190.83253199999999</v>
          </cell>
          <cell r="Q156">
            <v>0</v>
          </cell>
          <cell r="R156">
            <v>146438.86278939998</v>
          </cell>
          <cell r="S156">
            <v>13.288234078160086</v>
          </cell>
          <cell r="T156">
            <v>0.54649700000000001</v>
          </cell>
          <cell r="U156">
            <v>4.3335494850586303E-3</v>
          </cell>
          <cell r="V156">
            <v>1.2E-2</v>
          </cell>
          <cell r="W156">
            <v>0.31655</v>
          </cell>
          <cell r="X156">
            <v>6.5389999999999997</v>
          </cell>
          <cell r="Y156">
            <v>12.368867</v>
          </cell>
          <cell r="AB156">
            <v>0</v>
          </cell>
          <cell r="AC156">
            <v>0.19566922556329233</v>
          </cell>
          <cell r="AD156">
            <v>6.3288092494060547E-2</v>
          </cell>
          <cell r="AE156">
            <v>2.8216002499999999</v>
          </cell>
          <cell r="AF156">
            <v>14.590836110741417</v>
          </cell>
          <cell r="AG156">
            <v>9.1008024049806675</v>
          </cell>
          <cell r="AH156">
            <v>202308</v>
          </cell>
        </row>
        <row r="157">
          <cell r="C157">
            <v>45165</v>
          </cell>
          <cell r="D157">
            <v>329944</v>
          </cell>
          <cell r="E157">
            <v>37101</v>
          </cell>
          <cell r="F157">
            <v>16953.689999999999</v>
          </cell>
          <cell r="G157">
            <v>3045</v>
          </cell>
          <cell r="H157">
            <v>2669</v>
          </cell>
          <cell r="I157">
            <v>171000</v>
          </cell>
          <cell r="J157">
            <v>184437.6</v>
          </cell>
          <cell r="K157">
            <v>47936.044599999994</v>
          </cell>
          <cell r="L157">
            <v>6993</v>
          </cell>
          <cell r="M157">
            <v>362661</v>
          </cell>
          <cell r="N157">
            <v>8747</v>
          </cell>
          <cell r="O157">
            <v>932</v>
          </cell>
          <cell r="P157">
            <v>184.66852799999998</v>
          </cell>
          <cell r="Q157">
            <v>0</v>
          </cell>
          <cell r="R157">
            <v>145447.41863760003</v>
          </cell>
          <cell r="S157">
            <v>12.516600735670981</v>
          </cell>
          <cell r="T157">
            <v>0.54313800000000001</v>
          </cell>
          <cell r="U157">
            <v>4.2694968384270572E-3</v>
          </cell>
          <cell r="V157">
            <v>1.2E-2</v>
          </cell>
          <cell r="W157">
            <v>0.31587999999999999</v>
          </cell>
          <cell r="X157">
            <v>6.5389999999999997</v>
          </cell>
          <cell r="Y157">
            <v>12.212066</v>
          </cell>
          <cell r="AB157">
            <v>0</v>
          </cell>
          <cell r="AC157">
            <v>0.19906724395223518</v>
          </cell>
          <cell r="AD157">
            <v>6.3004924294981973E-2</v>
          </cell>
          <cell r="AE157">
            <v>2.8112002500000002</v>
          </cell>
          <cell r="AF157">
            <v>14.589845022044644</v>
          </cell>
          <cell r="AG157">
            <v>9.035999677581227</v>
          </cell>
          <cell r="AH157">
            <v>202308</v>
          </cell>
          <cell r="AI157" t="str">
            <v>Prev day data for ACG,MECL,GPOC,PCB</v>
          </cell>
          <cell r="AJ157" t="str">
            <v>LZC : Quota for the month revised to 354k from 346k. 
SCB:Intermittent pumping. Field prod 3040 bopd. Differment as 3 wells clsoed due to electrical failure.</v>
          </cell>
        </row>
        <row r="158">
          <cell r="C158">
            <v>45166</v>
          </cell>
          <cell r="D158">
            <v>374789</v>
          </cell>
          <cell r="E158">
            <v>36220</v>
          </cell>
          <cell r="F158">
            <v>16926.91</v>
          </cell>
          <cell r="G158">
            <v>3050</v>
          </cell>
          <cell r="H158">
            <v>2643</v>
          </cell>
          <cell r="I158">
            <v>175000</v>
          </cell>
          <cell r="J158">
            <v>184199.52000000002</v>
          </cell>
          <cell r="K158">
            <v>47677.62</v>
          </cell>
          <cell r="L158">
            <v>7525</v>
          </cell>
          <cell r="M158">
            <v>362546</v>
          </cell>
          <cell r="N158">
            <v>6675</v>
          </cell>
          <cell r="O158">
            <v>5833</v>
          </cell>
          <cell r="P158">
            <v>175.67411399999997</v>
          </cell>
          <cell r="Q158">
            <v>0</v>
          </cell>
          <cell r="R158">
            <v>148728.89270130004</v>
          </cell>
          <cell r="S158">
            <v>12.441277994716081</v>
          </cell>
          <cell r="T158">
            <v>0.54561300000000001</v>
          </cell>
          <cell r="U158">
            <v>4.3832738208168269E-3</v>
          </cell>
          <cell r="V158">
            <v>1.2E-2</v>
          </cell>
          <cell r="W158">
            <v>0.31557999999999997</v>
          </cell>
          <cell r="X158">
            <v>6.5389999999999997</v>
          </cell>
          <cell r="Y158">
            <v>12.333667</v>
          </cell>
          <cell r="AB158">
            <v>0</v>
          </cell>
          <cell r="AC158">
            <v>0.17301576963700668</v>
          </cell>
          <cell r="AD158">
            <v>6.0399776863459126E-2</v>
          </cell>
          <cell r="AE158">
            <v>2.8078002500000001</v>
          </cell>
          <cell r="AF158">
            <v>14.590977694840957</v>
          </cell>
          <cell r="AG158">
            <v>9.0610787093809311</v>
          </cell>
          <cell r="AH158">
            <v>202308</v>
          </cell>
          <cell r="AI158" t="str">
            <v>Prev day data for ACG,BC-10,MECL.</v>
          </cell>
          <cell r="AJ158" t="str">
            <v xml:space="preserve">PCB:Deferment due to electrical failure(46 wells affected)
LZC : Quota for the month revised to 354k from 346k. 
</v>
          </cell>
        </row>
        <row r="159">
          <cell r="C159">
            <v>45167</v>
          </cell>
          <cell r="D159">
            <v>362830</v>
          </cell>
          <cell r="E159">
            <v>36836</v>
          </cell>
          <cell r="F159">
            <v>16922.14</v>
          </cell>
          <cell r="G159">
            <v>3036</v>
          </cell>
          <cell r="H159">
            <v>2628</v>
          </cell>
          <cell r="I159">
            <v>175000</v>
          </cell>
          <cell r="J159">
            <v>182332.08000000002</v>
          </cell>
          <cell r="K159">
            <v>45180.234640000002</v>
          </cell>
          <cell r="L159">
            <v>8409</v>
          </cell>
          <cell r="M159">
            <v>372913</v>
          </cell>
          <cell r="N159">
            <v>6109</v>
          </cell>
          <cell r="O159">
            <v>1133</v>
          </cell>
          <cell r="P159">
            <v>183.34766999999999</v>
          </cell>
          <cell r="Q159">
            <v>0</v>
          </cell>
          <cell r="R159">
            <v>146172.8781615</v>
          </cell>
          <cell r="S159">
            <v>11.365238838217516</v>
          </cell>
          <cell r="T159">
            <v>0.54171499999999995</v>
          </cell>
          <cell r="U159">
            <v>4.3902680753340672E-3</v>
          </cell>
          <cell r="V159">
            <v>1.2E-2</v>
          </cell>
          <cell r="W159">
            <v>0.31422000000000005</v>
          </cell>
          <cell r="X159">
            <v>6.5389999999999997</v>
          </cell>
          <cell r="Y159">
            <v>12.47</v>
          </cell>
          <cell r="AB159">
            <v>0</v>
          </cell>
          <cell r="AC159">
            <v>0.1766969562250281</v>
          </cell>
          <cell r="AD159">
            <v>6.1532449659773406E-2</v>
          </cell>
          <cell r="AE159">
            <v>2.8112002500000002</v>
          </cell>
          <cell r="AF159">
            <v>14.583247203006113</v>
          </cell>
          <cell r="AG159">
            <v>9.0703350368752602</v>
          </cell>
          <cell r="AH159">
            <v>202308</v>
          </cell>
        </row>
        <row r="160">
          <cell r="C160">
            <v>45168</v>
          </cell>
          <cell r="D160">
            <v>358094</v>
          </cell>
          <cell r="E160">
            <v>36421</v>
          </cell>
          <cell r="F160">
            <v>16941.47</v>
          </cell>
          <cell r="G160">
            <v>3028</v>
          </cell>
          <cell r="H160">
            <v>2491</v>
          </cell>
          <cell r="I160">
            <v>175000</v>
          </cell>
          <cell r="J160">
            <v>182309.76000000001</v>
          </cell>
          <cell r="K160">
            <v>44442.126530000001</v>
          </cell>
          <cell r="L160">
            <v>8454</v>
          </cell>
          <cell r="M160">
            <v>379393</v>
          </cell>
          <cell r="N160">
            <v>9032</v>
          </cell>
          <cell r="O160">
            <v>5388</v>
          </cell>
          <cell r="P160">
            <v>185.611998</v>
          </cell>
          <cell r="Q160">
            <v>0</v>
          </cell>
          <cell r="R160">
            <v>147928.23253160002</v>
          </cell>
          <cell r="S160">
            <v>11.274341846313293</v>
          </cell>
          <cell r="T160">
            <v>0.53395599999999999</v>
          </cell>
          <cell r="U160">
            <v>4.4582284431129247E-3</v>
          </cell>
          <cell r="V160">
            <v>1.2E-2</v>
          </cell>
          <cell r="W160">
            <v>0.30954999999999999</v>
          </cell>
          <cell r="X160">
            <v>6.5389999999999997</v>
          </cell>
          <cell r="Y160">
            <v>12.47</v>
          </cell>
          <cell r="AB160">
            <v>0</v>
          </cell>
          <cell r="AC160">
            <v>0.20246526234117804</v>
          </cell>
          <cell r="AD160">
            <v>5.9805123645394129E-2</v>
          </cell>
          <cell r="AE160">
            <v>2.8196002500000001</v>
          </cell>
          <cell r="AF160">
            <v>14.58497452902049</v>
          </cell>
          <cell r="AG160">
            <v>9.0677351873091876</v>
          </cell>
          <cell r="AH160">
            <v>202308</v>
          </cell>
          <cell r="AI160" t="str">
            <v xml:space="preserve"> </v>
          </cell>
          <cell r="AJ160" t="str">
            <v>SPOC:Export to PS#1 stopped at 2248 hours, 30th August 2023 due to 2BOPCO low production. Waiting on build up the tank level at nCPF Heiglig and PETCO instruction for resuming export to SCOTS.
GPOC:Power trip in El toor during the day.
IEC:Well Sn#520(135 bopd) stopped flowing due to ESP problem.Awaiting WO.</v>
          </cell>
        </row>
        <row r="161">
          <cell r="C161">
            <v>45169</v>
          </cell>
          <cell r="D161">
            <v>358882</v>
          </cell>
          <cell r="E161">
            <v>36597</v>
          </cell>
          <cell r="F161">
            <v>16922.099999999999</v>
          </cell>
          <cell r="G161">
            <v>3029</v>
          </cell>
          <cell r="H161">
            <v>2504</v>
          </cell>
          <cell r="I161">
            <v>175000</v>
          </cell>
          <cell r="J161">
            <v>182384.16</v>
          </cell>
          <cell r="K161">
            <v>45125.58</v>
          </cell>
          <cell r="L161">
            <v>3266</v>
          </cell>
          <cell r="M161">
            <v>373584</v>
          </cell>
          <cell r="N161">
            <v>9058</v>
          </cell>
          <cell r="O161">
            <v>1397</v>
          </cell>
          <cell r="P161">
            <v>181.83811799999998</v>
          </cell>
          <cell r="Q161">
            <v>0</v>
          </cell>
          <cell r="R161">
            <v>145104.90045309998</v>
          </cell>
          <cell r="S161">
            <v>7.7573928137574413</v>
          </cell>
          <cell r="T161">
            <v>0.53448700000000005</v>
          </cell>
          <cell r="U161">
            <v>4.4261171693374141E-3</v>
          </cell>
          <cell r="V161">
            <v>1.2E-2</v>
          </cell>
          <cell r="W161">
            <v>0.32463999999999998</v>
          </cell>
          <cell r="X161">
            <v>6.5389999999999997</v>
          </cell>
          <cell r="Y161">
            <v>12.44</v>
          </cell>
          <cell r="AB161">
            <v>0</v>
          </cell>
          <cell r="AC161">
            <v>0.20133258954486374</v>
          </cell>
          <cell r="AD161">
            <v>6.1815617858851972E-2</v>
          </cell>
          <cell r="AE161">
            <v>2.8261002500000001</v>
          </cell>
          <cell r="AF161">
            <v>14.621050157583101</v>
          </cell>
          <cell r="AG161">
            <v>9.0036420172989367</v>
          </cell>
          <cell r="AH161">
            <v>202308</v>
          </cell>
          <cell r="AI161" t="str">
            <v>Prev day data for  ACG,IEC,Vankor,Myanmar</v>
          </cell>
          <cell r="AJ161" t="str">
            <v>SCB:Intermittent pumping. Field prod 3370 bopd.
SPOC:Export resumed at 1500 hrs.
IEC:Well Sn#520(135 bopd) stopped flowing due to ESP problem.Awaiting WO.</v>
          </cell>
        </row>
        <row r="162">
          <cell r="C162">
            <v>45170</v>
          </cell>
          <cell r="D162">
            <v>347635</v>
          </cell>
          <cell r="E162">
            <v>36547</v>
          </cell>
          <cell r="F162">
            <v>16925.13</v>
          </cell>
          <cell r="G162">
            <v>3015</v>
          </cell>
          <cell r="H162">
            <v>2508</v>
          </cell>
          <cell r="I162">
            <v>175000</v>
          </cell>
          <cell r="J162">
            <v>183038.88</v>
          </cell>
          <cell r="K162">
            <v>44367.51</v>
          </cell>
          <cell r="L162">
            <v>8796</v>
          </cell>
          <cell r="M162">
            <v>339695</v>
          </cell>
          <cell r="N162">
            <v>7865</v>
          </cell>
          <cell r="O162">
            <v>5327</v>
          </cell>
          <cell r="P162">
            <v>172.59211199999999</v>
          </cell>
          <cell r="Q162">
            <v>0</v>
          </cell>
          <cell r="R162">
            <v>146226.58725039999</v>
          </cell>
          <cell r="S162">
            <v>6.7192981959353988</v>
          </cell>
          <cell r="T162">
            <v>0.53396500000000002</v>
          </cell>
          <cell r="U162">
            <v>4.4087023250940823E-3</v>
          </cell>
          <cell r="V162">
            <v>1.2E-2</v>
          </cell>
          <cell r="W162">
            <v>0.32256999999999997</v>
          </cell>
          <cell r="X162">
            <v>7.4119999999999999</v>
          </cell>
          <cell r="Y162">
            <v>12.488</v>
          </cell>
          <cell r="AB162">
            <v>0</v>
          </cell>
          <cell r="AC162">
            <v>0.19793457115592089</v>
          </cell>
          <cell r="AD162">
            <v>6.3288092494060547E-2</v>
          </cell>
          <cell r="AE162">
            <v>2.7870002500000002</v>
          </cell>
          <cell r="AF162">
            <v>13.72119825455122</v>
          </cell>
          <cell r="AG162">
            <v>8.9941642855521557</v>
          </cell>
          <cell r="AH162">
            <v>202309</v>
          </cell>
        </row>
        <row r="163">
          <cell r="C163">
            <v>45171</v>
          </cell>
          <cell r="D163">
            <v>349301</v>
          </cell>
          <cell r="E163">
            <v>36340</v>
          </cell>
          <cell r="F163">
            <v>16878.82</v>
          </cell>
          <cell r="G163">
            <v>3011</v>
          </cell>
          <cell r="H163">
            <v>2504</v>
          </cell>
          <cell r="I163">
            <v>175000</v>
          </cell>
          <cell r="J163">
            <v>184340.88</v>
          </cell>
          <cell r="K163">
            <v>45607.67</v>
          </cell>
          <cell r="L163">
            <v>8789</v>
          </cell>
          <cell r="M163">
            <v>345731</v>
          </cell>
          <cell r="N163">
            <v>9108</v>
          </cell>
          <cell r="O163">
            <v>1263</v>
          </cell>
          <cell r="P163">
            <v>200.20433399999999</v>
          </cell>
          <cell r="Q163">
            <v>0</v>
          </cell>
          <cell r="R163">
            <v>145582.63160030002</v>
          </cell>
          <cell r="S163">
            <v>7.1514128677293041</v>
          </cell>
          <cell r="T163">
            <v>0.52889900000000001</v>
          </cell>
          <cell r="U163">
            <v>4.649395294310868E-3</v>
          </cell>
          <cell r="V163">
            <v>1.2E-2</v>
          </cell>
          <cell r="W163">
            <v>0.32013999999999998</v>
          </cell>
          <cell r="X163">
            <v>7.4119999999999999</v>
          </cell>
          <cell r="Y163">
            <v>12.46</v>
          </cell>
          <cell r="AB163">
            <v>0</v>
          </cell>
          <cell r="AC163">
            <v>0.19935041215131374</v>
          </cell>
          <cell r="AD163">
            <v>6.4788883949176965E-2</v>
          </cell>
          <cell r="AE163">
            <v>2.58340025</v>
          </cell>
          <cell r="AF163">
            <v>13.722727362826245</v>
          </cell>
          <cell r="AG163">
            <v>8.9026328070473415</v>
          </cell>
          <cell r="AH163">
            <v>202309</v>
          </cell>
          <cell r="AJ163" t="str">
            <v>_x000D_
B-06.1:Gas compressor train-2 tipped during the day</v>
          </cell>
        </row>
        <row r="164">
          <cell r="C164">
            <v>45172</v>
          </cell>
          <cell r="D164">
            <v>338216</v>
          </cell>
          <cell r="E164">
            <v>36327</v>
          </cell>
          <cell r="F164">
            <v>16890.490000000002</v>
          </cell>
          <cell r="G164">
            <v>2910</v>
          </cell>
          <cell r="H164">
            <v>2646</v>
          </cell>
          <cell r="I164">
            <v>175000</v>
          </cell>
          <cell r="J164">
            <v>184013.52000000002</v>
          </cell>
          <cell r="K164">
            <v>45692.800000000003</v>
          </cell>
          <cell r="L164">
            <v>3963</v>
          </cell>
          <cell r="M164">
            <v>350352</v>
          </cell>
          <cell r="N164">
            <v>9208</v>
          </cell>
          <cell r="O164">
            <v>5476</v>
          </cell>
          <cell r="P164">
            <v>200.39302799999999</v>
          </cell>
          <cell r="Q164">
            <v>0</v>
          </cell>
          <cell r="R164">
            <v>146075.74841259999</v>
          </cell>
          <cell r="S164">
            <v>6.6247200174431624</v>
          </cell>
          <cell r="T164">
            <v>0.52372799999999997</v>
          </cell>
          <cell r="U164">
            <v>4.7125134858854809E-3</v>
          </cell>
          <cell r="V164">
            <v>1.2E-2</v>
          </cell>
          <cell r="W164">
            <v>0.32066</v>
          </cell>
          <cell r="X164">
            <v>7.4119999999999999</v>
          </cell>
          <cell r="Y164">
            <v>12.484999999999999</v>
          </cell>
          <cell r="AB164">
            <v>0</v>
          </cell>
          <cell r="AC164">
            <v>0.19651873016052807</v>
          </cell>
          <cell r="AD164">
            <v>6.572333900613625E-2</v>
          </cell>
          <cell r="AE164">
            <v>2.7878002500000001</v>
          </cell>
          <cell r="AF164">
            <v>13.721113304091498</v>
          </cell>
          <cell r="AG164">
            <v>8.9879021219587258</v>
          </cell>
          <cell r="AH164">
            <v>202309</v>
          </cell>
          <cell r="AI164" t="str">
            <v>Prev day data for ACG,MECL</v>
          </cell>
          <cell r="AJ164" t="str">
            <v>SPOC:Export to PS#1 stopped by PETCO at 0240 hours and resumed back at 1555 hours
SCB:Intermittent pumping.Field prod 3.4 kbopd
MECL:Deferment due to low rod torque in V 341 and V 311. Well services rig being deployed.</v>
          </cell>
        </row>
        <row r="165">
          <cell r="C165">
            <v>45173</v>
          </cell>
          <cell r="D165">
            <v>339742</v>
          </cell>
          <cell r="E165">
            <v>36157</v>
          </cell>
          <cell r="F165">
            <v>16829.61</v>
          </cell>
          <cell r="G165">
            <v>2878</v>
          </cell>
          <cell r="H165">
            <v>2615</v>
          </cell>
          <cell r="I165">
            <v>148000</v>
          </cell>
          <cell r="J165">
            <v>183105.84</v>
          </cell>
          <cell r="K165">
            <v>45786.990000000005</v>
          </cell>
          <cell r="L165">
            <v>8847</v>
          </cell>
          <cell r="M165">
            <v>349234</v>
          </cell>
          <cell r="N165">
            <v>8996</v>
          </cell>
          <cell r="O165">
            <v>939</v>
          </cell>
          <cell r="P165">
            <v>200.39302799999999</v>
          </cell>
          <cell r="Q165">
            <v>0</v>
          </cell>
          <cell r="R165">
            <v>139658.4587126</v>
          </cell>
          <cell r="S165">
            <v>6.5879081515629494</v>
          </cell>
          <cell r="T165">
            <v>0.53070099999999998</v>
          </cell>
          <cell r="U165">
            <v>4.5232721784412722E-3</v>
          </cell>
          <cell r="V165">
            <v>1.2E-2</v>
          </cell>
          <cell r="W165">
            <v>0.31720999999999999</v>
          </cell>
          <cell r="X165">
            <v>7.4119999999999999</v>
          </cell>
          <cell r="Y165">
            <v>12.326441000000001</v>
          </cell>
          <cell r="AB165">
            <v>0</v>
          </cell>
          <cell r="AC165">
            <v>0.19595239376237089</v>
          </cell>
          <cell r="AD165">
            <v>6.2948290655166259E-2</v>
          </cell>
          <cell r="AE165">
            <v>2.7972002499999999</v>
          </cell>
          <cell r="AF165">
            <v>13.72238756098735</v>
          </cell>
          <cell r="AG165">
            <v>8.9474009762697904</v>
          </cell>
          <cell r="AH165">
            <v>202309</v>
          </cell>
          <cell r="AI165" t="str">
            <v>Prev day data for ACG,MECL</v>
          </cell>
          <cell r="AJ165" t="str">
            <v xml:space="preserve">
SCB:Intermittent pumping. Field prod 3.4 k bopd
MECL:Deferment due to low rod torque in V 341 and V 311. Well services rig being deployed.</v>
          </cell>
        </row>
        <row r="166">
          <cell r="C166">
            <v>45174</v>
          </cell>
          <cell r="D166">
            <v>337742</v>
          </cell>
          <cell r="E166">
            <v>36302</v>
          </cell>
          <cell r="F166">
            <v>16817.689999999999</v>
          </cell>
          <cell r="G166">
            <v>2832</v>
          </cell>
          <cell r="H166">
            <v>2730</v>
          </cell>
          <cell r="I166">
            <v>148000</v>
          </cell>
          <cell r="J166">
            <v>183715.92</v>
          </cell>
          <cell r="K166">
            <v>44906.58</v>
          </cell>
          <cell r="L166">
            <v>8847</v>
          </cell>
          <cell r="M166">
            <v>340154</v>
          </cell>
          <cell r="N166">
            <v>9016</v>
          </cell>
          <cell r="O166">
            <v>5249</v>
          </cell>
          <cell r="P166">
            <v>195.61277999999999</v>
          </cell>
          <cell r="Q166">
            <v>0</v>
          </cell>
          <cell r="R166">
            <v>141034.43190100003</v>
          </cell>
          <cell r="S166">
            <v>6.6128269530818633</v>
          </cell>
          <cell r="T166">
            <v>0.52853000000000006</v>
          </cell>
          <cell r="U166">
            <v>4.4837135810299961E-3</v>
          </cell>
          <cell r="V166">
            <v>1.2E-2</v>
          </cell>
          <cell r="W166">
            <v>0.31597000000000003</v>
          </cell>
          <cell r="X166">
            <v>7.4119999999999999</v>
          </cell>
          <cell r="Y166">
            <v>12.26169</v>
          </cell>
          <cell r="AB166">
            <v>0</v>
          </cell>
          <cell r="AC166">
            <v>0.2007662531467066</v>
          </cell>
          <cell r="AD166">
            <v>5.9182153607421267E-2</v>
          </cell>
          <cell r="AE166">
            <v>2.8013002500000002</v>
          </cell>
          <cell r="AF166">
            <v>13.721651323669747</v>
          </cell>
          <cell r="AG166">
            <v>8.9300303889358759</v>
          </cell>
          <cell r="AH166">
            <v>202309</v>
          </cell>
          <cell r="AI166" t="str">
            <v>Prev day data for ACG,MECL,Vankor</v>
          </cell>
          <cell r="AJ166" t="str">
            <v>SCB:Intermittent pumping. Field prod 3.4k bopd
LZC:Quota for the month is 360k bopd</v>
          </cell>
        </row>
        <row r="167">
          <cell r="C167">
            <v>45175</v>
          </cell>
          <cell r="D167">
            <v>357366</v>
          </cell>
          <cell r="E167">
            <v>36327</v>
          </cell>
          <cell r="F167">
            <v>16866.04</v>
          </cell>
          <cell r="G167">
            <v>2811</v>
          </cell>
          <cell r="H167">
            <v>2692</v>
          </cell>
          <cell r="I167">
            <v>148000</v>
          </cell>
          <cell r="J167">
            <v>183135.6</v>
          </cell>
          <cell r="K167">
            <v>46363.289999999994</v>
          </cell>
          <cell r="L167">
            <v>8793</v>
          </cell>
          <cell r="M167">
            <v>304450</v>
          </cell>
          <cell r="N167">
            <v>8907</v>
          </cell>
          <cell r="O167">
            <v>1178</v>
          </cell>
          <cell r="P167">
            <v>214.293486</v>
          </cell>
          <cell r="Q167">
            <v>0</v>
          </cell>
          <cell r="R167">
            <v>138619.96441870002</v>
          </cell>
          <cell r="S167">
            <v>6.5527952948772032</v>
          </cell>
          <cell r="T167">
            <v>0.49869599999999997</v>
          </cell>
          <cell r="U167">
            <v>4.5896468043052892E-3</v>
          </cell>
          <cell r="V167">
            <v>1.2E-2</v>
          </cell>
          <cell r="W167">
            <v>0.31692999999999999</v>
          </cell>
          <cell r="X167">
            <v>7.4119999999999999</v>
          </cell>
          <cell r="Y167">
            <v>12.167</v>
          </cell>
          <cell r="AB167">
            <v>0</v>
          </cell>
          <cell r="AC167">
            <v>0.19850090755407804</v>
          </cell>
          <cell r="AD167">
            <v>6.0371460043551269E-2</v>
          </cell>
          <cell r="AE167">
            <v>2.8011002500000002</v>
          </cell>
          <cell r="AF167">
            <v>13.721509739570207</v>
          </cell>
          <cell r="AG167">
            <v>8.8971156961499815</v>
          </cell>
          <cell r="AH167">
            <v>202309</v>
          </cell>
        </row>
        <row r="168">
          <cell r="C168">
            <v>45176</v>
          </cell>
          <cell r="D168">
            <v>355284</v>
          </cell>
          <cell r="E168">
            <v>36270</v>
          </cell>
          <cell r="F168">
            <v>16844.62</v>
          </cell>
          <cell r="G168">
            <v>2627</v>
          </cell>
          <cell r="H168">
            <v>2707</v>
          </cell>
          <cell r="I168">
            <v>148000</v>
          </cell>
          <cell r="J168">
            <v>183388.56</v>
          </cell>
          <cell r="K168">
            <v>46120.270000000004</v>
          </cell>
          <cell r="L168">
            <v>9858</v>
          </cell>
          <cell r="M168">
            <v>323031</v>
          </cell>
          <cell r="N168">
            <v>8665</v>
          </cell>
          <cell r="O168">
            <v>5609</v>
          </cell>
          <cell r="P168">
            <v>207.12311399999999</v>
          </cell>
          <cell r="Q168">
            <v>0</v>
          </cell>
          <cell r="R168">
            <v>141212.22540129998</v>
          </cell>
          <cell r="S168">
            <v>6.7252447281160537</v>
          </cell>
          <cell r="T168">
            <v>0.47968100000000002</v>
          </cell>
          <cell r="U168">
            <v>4.5833038366459291E-3</v>
          </cell>
          <cell r="V168">
            <v>1.2E-2</v>
          </cell>
          <cell r="W168">
            <v>0.31683</v>
          </cell>
          <cell r="X168">
            <v>7.4119999999999999</v>
          </cell>
          <cell r="Y168">
            <v>12.227349999999999</v>
          </cell>
          <cell r="AB168">
            <v>0</v>
          </cell>
          <cell r="AC168">
            <v>0.19765140295684233</v>
          </cell>
          <cell r="AD168">
            <v>5.4906313801334851E-2</v>
          </cell>
          <cell r="AE168">
            <v>2.6831002499999999</v>
          </cell>
          <cell r="AF168">
            <v>13.721368155470666</v>
          </cell>
          <cell r="AG168">
            <v>8.8561482146809318</v>
          </cell>
          <cell r="AH168">
            <v>202309</v>
          </cell>
          <cell r="AJ168" t="str">
            <v xml:space="preserve">
MECL:Community blockade</v>
          </cell>
        </row>
        <row r="169">
          <cell r="C169">
            <v>45177</v>
          </cell>
          <cell r="D169">
            <v>354557</v>
          </cell>
          <cell r="E169">
            <v>36340</v>
          </cell>
          <cell r="F169">
            <v>16807.29</v>
          </cell>
          <cell r="G169">
            <v>2717</v>
          </cell>
          <cell r="H169">
            <v>2686</v>
          </cell>
          <cell r="I169">
            <v>148000</v>
          </cell>
          <cell r="J169">
            <v>184058.16</v>
          </cell>
          <cell r="K169">
            <v>45141.21</v>
          </cell>
          <cell r="L169">
            <v>8670</v>
          </cell>
          <cell r="M169">
            <v>331054</v>
          </cell>
          <cell r="N169">
            <v>9017</v>
          </cell>
          <cell r="O169">
            <v>1386</v>
          </cell>
          <cell r="P169">
            <v>196.68204599999999</v>
          </cell>
          <cell r="Q169">
            <v>0</v>
          </cell>
          <cell r="R169">
            <v>139520.6682207</v>
          </cell>
          <cell r="S169">
            <v>6.4689775079499485</v>
          </cell>
          <cell r="T169">
            <v>0.49122700000000002</v>
          </cell>
          <cell r="U169">
            <v>4.567899486616055E-3</v>
          </cell>
          <cell r="V169">
            <v>1.2E-2</v>
          </cell>
          <cell r="W169">
            <v>0.31918000000000002</v>
          </cell>
          <cell r="X169">
            <v>7.4119999999999999</v>
          </cell>
          <cell r="Y169">
            <v>12.252419</v>
          </cell>
          <cell r="AB169">
            <v>0</v>
          </cell>
          <cell r="AC169">
            <v>0.20586328073012086</v>
          </cell>
          <cell r="AD169">
            <v>5.9521955446315548E-2</v>
          </cell>
          <cell r="AE169">
            <v>2.6549002499999999</v>
          </cell>
          <cell r="AF169">
            <v>13.720943403172049</v>
          </cell>
          <cell r="AG169">
            <v>8.8521903741723644</v>
          </cell>
          <cell r="AH169">
            <v>202309</v>
          </cell>
        </row>
        <row r="170">
          <cell r="C170">
            <v>45178</v>
          </cell>
          <cell r="D170">
            <v>349016</v>
          </cell>
          <cell r="E170">
            <v>36126</v>
          </cell>
          <cell r="F170">
            <v>16817.96</v>
          </cell>
          <cell r="G170">
            <v>2587</v>
          </cell>
          <cell r="H170">
            <v>2723</v>
          </cell>
          <cell r="I170">
            <v>148000</v>
          </cell>
          <cell r="J170">
            <v>183991.2</v>
          </cell>
          <cell r="K170">
            <v>45653.23</v>
          </cell>
          <cell r="L170">
            <v>1276</v>
          </cell>
          <cell r="M170">
            <v>343153</v>
          </cell>
          <cell r="N170">
            <v>8998</v>
          </cell>
          <cell r="O170">
            <v>3987</v>
          </cell>
          <cell r="P170">
            <v>202.783152</v>
          </cell>
          <cell r="Q170">
            <v>0</v>
          </cell>
          <cell r="R170">
            <v>139166.16851839999</v>
          </cell>
          <cell r="S170">
            <v>6.4955953186633355</v>
          </cell>
          <cell r="T170">
            <v>0.50197999999999998</v>
          </cell>
          <cell r="U170">
            <v>4.3451027475810353E-3</v>
          </cell>
          <cell r="V170">
            <v>1.2E-2</v>
          </cell>
          <cell r="W170">
            <v>0.32016</v>
          </cell>
          <cell r="X170">
            <v>7.4119999999999999</v>
          </cell>
          <cell r="Y170">
            <v>12.290379999999999</v>
          </cell>
          <cell r="AB170">
            <v>0</v>
          </cell>
          <cell r="AC170">
            <v>0.20812862632274942</v>
          </cell>
          <cell r="AD170">
            <v>6.3288092494060547E-2</v>
          </cell>
          <cell r="AE170">
            <v>2.6439002500000002</v>
          </cell>
          <cell r="AF170">
            <v>13.722302610527626</v>
          </cell>
          <cell r="AG170">
            <v>8.863439165967252</v>
          </cell>
          <cell r="AH170">
            <v>202309</v>
          </cell>
          <cell r="AI170" t="str">
            <v>Prev day data for ACG,IEC,Vankor,LZC.</v>
          </cell>
          <cell r="AJ170" t="str">
            <v>SCB:Intermittent pumping. Field prod 3.4k bopd
MECL:3 wells stopped ( 2 wells due to broken rod and one well due to pump failure)
SPOC:Export stopped during the day.Restarted.
LZC:Quota for the month is 360k bopd.</v>
          </cell>
        </row>
        <row r="171">
          <cell r="C171">
            <v>45179</v>
          </cell>
          <cell r="D171">
            <v>345315</v>
          </cell>
          <cell r="E171">
            <v>36560</v>
          </cell>
          <cell r="F171">
            <v>16838.79</v>
          </cell>
          <cell r="G171">
            <v>2601</v>
          </cell>
          <cell r="H171">
            <v>2756</v>
          </cell>
          <cell r="I171">
            <v>148000</v>
          </cell>
          <cell r="J171">
            <v>185754.48</v>
          </cell>
          <cell r="K171">
            <v>46797.82</v>
          </cell>
          <cell r="L171">
            <v>8695</v>
          </cell>
          <cell r="M171">
            <v>356880</v>
          </cell>
          <cell r="N171">
            <v>9038</v>
          </cell>
          <cell r="O171">
            <v>922</v>
          </cell>
          <cell r="P171">
            <v>193.78873799999997</v>
          </cell>
          <cell r="Q171">
            <v>0</v>
          </cell>
          <cell r="R171">
            <v>141110.30298209999</v>
          </cell>
          <cell r="S171">
            <v>6.4978606642559615</v>
          </cell>
          <cell r="T171">
            <v>0.498226</v>
          </cell>
          <cell r="U171">
            <v>4.3415348282726451E-3</v>
          </cell>
          <cell r="V171">
            <v>1.2E-2</v>
          </cell>
          <cell r="W171">
            <v>0.32253999999999999</v>
          </cell>
          <cell r="X171">
            <v>7.4119999999999999</v>
          </cell>
          <cell r="Y171">
            <v>12.385732000000001</v>
          </cell>
          <cell r="AB171">
            <v>0</v>
          </cell>
          <cell r="AC171">
            <v>0.20812862632274942</v>
          </cell>
          <cell r="AD171">
            <v>5.8417599469909133E-2</v>
          </cell>
          <cell r="AE171">
            <v>2.64910025</v>
          </cell>
          <cell r="AF171">
            <v>13.721424789110483</v>
          </cell>
          <cell r="AG171">
            <v>8.8898895110563512</v>
          </cell>
          <cell r="AH171">
            <v>202309</v>
          </cell>
          <cell r="AI171" t="str">
            <v>Prev day data for ACG.</v>
          </cell>
          <cell r="AJ171" t="str">
            <v>S-1:Updated based on latest weekly report. Deferment during the previous week due to Maintenance activities at Crude Storage Tank (COST-1), Chayvo and planned maintenance activities – cleaning of inlet separator and maintenance of the Gas Turbine Compressors at Odoptu
LZC:Quota for the month is 360k bopd.
SCB:Intermittent pumping. Field prod 3.4k bopd.</v>
          </cell>
        </row>
        <row r="172">
          <cell r="C172">
            <v>45180</v>
          </cell>
          <cell r="D172">
            <v>357641</v>
          </cell>
          <cell r="E172">
            <v>36723</v>
          </cell>
          <cell r="F172">
            <v>16859.439999999999</v>
          </cell>
          <cell r="G172">
            <v>2569</v>
          </cell>
          <cell r="H172">
            <v>2692</v>
          </cell>
          <cell r="I172">
            <v>148000</v>
          </cell>
          <cell r="J172">
            <v>186044.64</v>
          </cell>
          <cell r="K172">
            <v>46532.369999999995</v>
          </cell>
          <cell r="L172">
            <v>7500</v>
          </cell>
          <cell r="M172">
            <v>361837</v>
          </cell>
          <cell r="N172">
            <v>8827</v>
          </cell>
          <cell r="O172">
            <v>5493</v>
          </cell>
          <cell r="P172">
            <v>203.03474399999999</v>
          </cell>
          <cell r="Q172">
            <v>0</v>
          </cell>
          <cell r="R172">
            <v>143101.91463480002</v>
          </cell>
          <cell r="S172">
            <v>6.5077715512237093</v>
          </cell>
          <cell r="T172">
            <v>0.49805300000000002</v>
          </cell>
          <cell r="U172">
            <v>4.5547604821788087E-3</v>
          </cell>
          <cell r="V172">
            <v>1.2E-2</v>
          </cell>
          <cell r="W172">
            <v>0.32099</v>
          </cell>
          <cell r="X172">
            <v>7.4119999999999999</v>
          </cell>
          <cell r="Y172">
            <v>12.382013000000001</v>
          </cell>
          <cell r="AB172">
            <v>0</v>
          </cell>
          <cell r="AC172">
            <v>0.20529694433196374</v>
          </cell>
          <cell r="AD172">
            <v>6.0399776863459126E-2</v>
          </cell>
          <cell r="AE172">
            <v>2.6304002500000001</v>
          </cell>
          <cell r="AF172">
            <v>13.721000036811866</v>
          </cell>
          <cell r="AG172">
            <v>8.8796982385507111</v>
          </cell>
          <cell r="AH172">
            <v>202309</v>
          </cell>
          <cell r="AI172" t="str">
            <v xml:space="preserve"> </v>
          </cell>
          <cell r="AJ172" t="str">
            <v xml:space="preserve">
SCB:Intermittent prod'n. Field prod 3420 bopd
LZC:Quota for the month is 360k bopd.
S-1:Based on latest weekly report. Deferment during the previous week due to Maintenance activities at Crude Storage Tank (COST-1), Chayvo and planned maintenance activities – cleaning of inlet separator and maintenance of the Gas Turbine Compressors at Odoptu</v>
          </cell>
        </row>
        <row r="173">
          <cell r="C173">
            <v>45181</v>
          </cell>
          <cell r="D173">
            <v>358882</v>
          </cell>
          <cell r="E173">
            <v>36415</v>
          </cell>
          <cell r="F173">
            <v>16829.849999999999</v>
          </cell>
          <cell r="G173">
            <v>2543</v>
          </cell>
          <cell r="H173">
            <v>2677</v>
          </cell>
          <cell r="I173">
            <v>146000</v>
          </cell>
          <cell r="J173">
            <v>185189.04</v>
          </cell>
          <cell r="K173">
            <v>47599.28</v>
          </cell>
          <cell r="L173">
            <v>7526</v>
          </cell>
          <cell r="M173">
            <v>365622</v>
          </cell>
          <cell r="N173">
            <v>8806</v>
          </cell>
          <cell r="O173">
            <v>460</v>
          </cell>
          <cell r="P173">
            <v>211.96626000000001</v>
          </cell>
          <cell r="Q173">
            <v>0</v>
          </cell>
          <cell r="R173">
            <v>140789.16191700002</v>
          </cell>
          <cell r="S173">
            <v>6.511735906010812</v>
          </cell>
          <cell r="T173">
            <v>0.499276</v>
          </cell>
          <cell r="U173">
            <v>4.5088022834683574E-3</v>
          </cell>
          <cell r="V173">
            <v>1.2E-2</v>
          </cell>
          <cell r="W173">
            <v>0.31786000000000003</v>
          </cell>
          <cell r="X173">
            <v>7.4119999999999999</v>
          </cell>
          <cell r="Y173">
            <v>12.000425999999999</v>
          </cell>
          <cell r="AB173">
            <v>0</v>
          </cell>
          <cell r="AC173">
            <v>0.20586328073012086</v>
          </cell>
          <cell r="AD173">
            <v>6.3118191574613403E-2</v>
          </cell>
          <cell r="AE173">
            <v>2.4407002499999999</v>
          </cell>
          <cell r="AF173">
            <v>13.72714478673187</v>
          </cell>
          <cell r="AG173">
            <v>8.6945745047818548</v>
          </cell>
          <cell r="AH173">
            <v>202309</v>
          </cell>
          <cell r="AI173" t="str">
            <v>Prev day data for ACG,Vankor.</v>
          </cell>
          <cell r="AJ173" t="str">
            <v>SCB:Intermittent prod'n. Field prod 3420 bopd
LZC:Quota for the month is 360k bopd.
MECL:Ongoing deferment due to rod failures, tubing leakage, low pump efficiency etc. Production expected to recovered back to 3100 levels by sep end.</v>
          </cell>
        </row>
        <row r="174">
          <cell r="C174">
            <v>45182</v>
          </cell>
          <cell r="D174">
            <v>355148</v>
          </cell>
          <cell r="E174">
            <v>36560</v>
          </cell>
          <cell r="F174">
            <v>16833.349999999999</v>
          </cell>
          <cell r="G174">
            <v>2593</v>
          </cell>
          <cell r="H174">
            <v>2649</v>
          </cell>
          <cell r="I174">
            <v>146000</v>
          </cell>
          <cell r="J174">
            <v>185003.04</v>
          </cell>
          <cell r="K174">
            <v>47520.65</v>
          </cell>
          <cell r="L174">
            <v>7572</v>
          </cell>
          <cell r="M174">
            <v>367683</v>
          </cell>
          <cell r="N174">
            <v>8627</v>
          </cell>
          <cell r="O174">
            <v>4758</v>
          </cell>
          <cell r="P174">
            <v>185.80069199999997</v>
          </cell>
          <cell r="Q174">
            <v>0</v>
          </cell>
          <cell r="R174">
            <v>142454.76201140002</v>
          </cell>
          <cell r="S174">
            <v>6.6637972289160015</v>
          </cell>
          <cell r="T174">
            <v>0.52346899999999996</v>
          </cell>
          <cell r="U174">
            <v>4.3102447422744628E-3</v>
          </cell>
          <cell r="V174">
            <v>1.2E-2</v>
          </cell>
          <cell r="W174">
            <v>0.31351000000000001</v>
          </cell>
          <cell r="X174">
            <v>7.4119999999999999</v>
          </cell>
          <cell r="Y174">
            <v>12.427172000000001</v>
          </cell>
          <cell r="AB174">
            <v>0</v>
          </cell>
          <cell r="AC174">
            <v>0.20048308494762804</v>
          </cell>
          <cell r="AD174">
            <v>6.357126069313912E-2</v>
          </cell>
          <cell r="AE174">
            <v>2.44830025</v>
          </cell>
          <cell r="AF174">
            <v>13.727286370831409</v>
          </cell>
          <cell r="AG174">
            <v>8.814117676470385</v>
          </cell>
          <cell r="AH174">
            <v>202309</v>
          </cell>
          <cell r="AI174" t="str">
            <v>Prev day data for ACG,BC-10</v>
          </cell>
          <cell r="AJ174" t="str">
            <v xml:space="preserve">
SCB:Intermittent pumping. Field prod 3.4k bopd
LZC:Quota for the month is 360k bopd.
MECL:Ongoing deferment due to rod failures, tubing leakage, low pump efficiency etc. Production expected to recovered back to 3100 levels by sep end.</v>
          </cell>
        </row>
        <row r="175">
          <cell r="C175">
            <v>45183</v>
          </cell>
          <cell r="D175">
            <v>351345</v>
          </cell>
          <cell r="E175">
            <v>36723</v>
          </cell>
          <cell r="F175">
            <v>16776.61</v>
          </cell>
          <cell r="G175">
            <v>2479</v>
          </cell>
          <cell r="H175">
            <v>2722</v>
          </cell>
          <cell r="I175">
            <v>146000</v>
          </cell>
          <cell r="J175">
            <v>184200</v>
          </cell>
          <cell r="K175">
            <v>46818.31</v>
          </cell>
          <cell r="L175">
            <v>7573</v>
          </cell>
          <cell r="M175">
            <v>367693</v>
          </cell>
          <cell r="N175">
            <v>8826</v>
          </cell>
          <cell r="O175">
            <v>7053</v>
          </cell>
          <cell r="P175">
            <v>185.611998</v>
          </cell>
          <cell r="Q175">
            <v>0</v>
          </cell>
          <cell r="R175">
            <v>142943.27564909999</v>
          </cell>
          <cell r="S175">
            <v>6.653603173749179</v>
          </cell>
          <cell r="T175">
            <v>0.53484699999999996</v>
          </cell>
          <cell r="U175">
            <v>4.1829323199687376E-3</v>
          </cell>
          <cell r="V175">
            <v>1.2E-2</v>
          </cell>
          <cell r="W175">
            <v>0.31613000000000002</v>
          </cell>
          <cell r="X175">
            <v>7.4119999999999999</v>
          </cell>
          <cell r="Y175">
            <v>12.35</v>
          </cell>
          <cell r="AB175">
            <v>0</v>
          </cell>
          <cell r="AC175">
            <v>0.19991674854947089</v>
          </cell>
          <cell r="AD175">
            <v>5.9805123645394129E-2</v>
          </cell>
          <cell r="AE175">
            <v>2.45630025</v>
          </cell>
          <cell r="AF175">
            <v>13.663262041019745</v>
          </cell>
          <cell r="AG175">
            <v>8.7905675272095394</v>
          </cell>
          <cell r="AH175">
            <v>202309</v>
          </cell>
          <cell r="AI175" t="str">
            <v>Prev day data for ACG,BC-10,GPOC</v>
          </cell>
          <cell r="AJ175" t="str">
            <v>MECL: Wells V-287 and V-301 started prod'n on 14-sep but external electrical failure cause stoppage wells for 5-7 hrs
SCB:Intermittent pumping. Field prod 3.4k bopd
LZC:Quota for the month is 360k bopd.
A1-A3:Prod'n low due to low nomination/low demand from CNUOC.</v>
          </cell>
        </row>
        <row r="176">
          <cell r="C176">
            <v>45184</v>
          </cell>
          <cell r="D176">
            <v>356134</v>
          </cell>
          <cell r="E176">
            <v>36170</v>
          </cell>
          <cell r="F176">
            <v>14674.96</v>
          </cell>
          <cell r="G176">
            <v>2617</v>
          </cell>
          <cell r="H176">
            <v>2689</v>
          </cell>
          <cell r="I176">
            <v>146000</v>
          </cell>
          <cell r="J176">
            <v>184750.08000000002</v>
          </cell>
          <cell r="K176">
            <v>46774.34</v>
          </cell>
          <cell r="L176">
            <v>7607</v>
          </cell>
          <cell r="M176">
            <v>361362</v>
          </cell>
          <cell r="N176">
            <v>8915</v>
          </cell>
          <cell r="O176">
            <v>1189</v>
          </cell>
          <cell r="P176">
            <v>185.23460999999998</v>
          </cell>
          <cell r="Q176">
            <v>0</v>
          </cell>
          <cell r="R176">
            <v>139020.44752449999</v>
          </cell>
          <cell r="S176">
            <v>6.5587418270578537</v>
          </cell>
          <cell r="T176">
            <v>0.52022599999999997</v>
          </cell>
          <cell r="U176">
            <v>4.0631521717585019E-3</v>
          </cell>
          <cell r="V176">
            <v>1.2E-2</v>
          </cell>
          <cell r="W176">
            <v>0.31617000000000001</v>
          </cell>
          <cell r="X176">
            <v>7.4119999999999999</v>
          </cell>
          <cell r="Y176">
            <v>12.340071</v>
          </cell>
          <cell r="AB176">
            <v>0</v>
          </cell>
          <cell r="AC176">
            <v>0.19651873016052807</v>
          </cell>
          <cell r="AD176">
            <v>5.9521955446315548E-2</v>
          </cell>
          <cell r="AE176">
            <v>2.4289002499999999</v>
          </cell>
          <cell r="AF176">
            <v>13.66357352603873</v>
          </cell>
          <cell r="AG176">
            <v>8.7690390771480367</v>
          </cell>
          <cell r="AH176">
            <v>202309</v>
          </cell>
        </row>
        <row r="177">
          <cell r="C177">
            <v>45185</v>
          </cell>
          <cell r="D177">
            <v>349723</v>
          </cell>
          <cell r="E177">
            <v>36075</v>
          </cell>
          <cell r="F177">
            <v>712.68</v>
          </cell>
          <cell r="G177">
            <v>2732</v>
          </cell>
          <cell r="H177">
            <v>2108</v>
          </cell>
          <cell r="I177">
            <v>146000</v>
          </cell>
          <cell r="J177">
            <v>179519.76</v>
          </cell>
          <cell r="K177">
            <v>47036.43</v>
          </cell>
          <cell r="L177">
            <v>7564</v>
          </cell>
          <cell r="M177">
            <v>367799</v>
          </cell>
          <cell r="N177">
            <v>9007</v>
          </cell>
          <cell r="O177">
            <v>5794</v>
          </cell>
          <cell r="P177">
            <v>188.63110199999997</v>
          </cell>
          <cell r="Q177">
            <v>0</v>
          </cell>
          <cell r="R177">
            <v>129356.00139590002</v>
          </cell>
          <cell r="S177">
            <v>6.7898070775059667</v>
          </cell>
          <cell r="T177">
            <v>0.52727299999999999</v>
          </cell>
          <cell r="U177">
            <v>1.8299461697253556E-3</v>
          </cell>
          <cell r="V177">
            <v>1.2E-2</v>
          </cell>
          <cell r="W177">
            <v>0.11699</v>
          </cell>
          <cell r="X177">
            <v>7.4119999999999999</v>
          </cell>
          <cell r="Y177">
            <v>12.192798</v>
          </cell>
          <cell r="AB177">
            <v>0</v>
          </cell>
          <cell r="AC177">
            <v>0.2055801125310423</v>
          </cell>
          <cell r="AD177">
            <v>6.0399776863459126E-2</v>
          </cell>
          <cell r="AE177">
            <v>2.4268002499999999</v>
          </cell>
          <cell r="AF177">
            <v>13.662893922360942</v>
          </cell>
          <cell r="AG177">
            <v>8.5375324982343539</v>
          </cell>
          <cell r="AH177">
            <v>202309</v>
          </cell>
          <cell r="AJ177" t="str">
            <v>CPO-5: Strike at Indico pad by SAR staff
IEC:APG plant planned s/d(16-20 Sep)</v>
          </cell>
        </row>
        <row r="178">
          <cell r="C178">
            <v>45186</v>
          </cell>
          <cell r="D178">
            <v>325577</v>
          </cell>
          <cell r="E178">
            <v>35899</v>
          </cell>
          <cell r="F178">
            <v>12656.850000000002</v>
          </cell>
          <cell r="G178">
            <v>2758</v>
          </cell>
          <cell r="H178">
            <v>1977</v>
          </cell>
          <cell r="I178">
            <v>146000</v>
          </cell>
          <cell r="J178">
            <v>182718.96000000002</v>
          </cell>
          <cell r="K178">
            <v>46303.299999999996</v>
          </cell>
          <cell r="L178">
            <v>7683</v>
          </cell>
          <cell r="M178">
            <v>381041</v>
          </cell>
          <cell r="N178">
            <v>9003</v>
          </cell>
          <cell r="O178">
            <v>4050</v>
          </cell>
          <cell r="P178">
            <v>184.165344</v>
          </cell>
          <cell r="Q178">
            <v>0</v>
          </cell>
          <cell r="R178">
            <v>137500.47645479999</v>
          </cell>
          <cell r="S178">
            <v>7.2284346178786727</v>
          </cell>
          <cell r="T178">
            <v>0.52101799999999998</v>
          </cell>
          <cell r="U178">
            <v>2.960240353167378E-3</v>
          </cell>
          <cell r="V178">
            <v>1.2E-2</v>
          </cell>
          <cell r="W178">
            <v>7.1989999999999998E-2</v>
          </cell>
          <cell r="X178">
            <v>7.4119999999999999</v>
          </cell>
          <cell r="Y178">
            <v>12.308802</v>
          </cell>
          <cell r="AB178">
            <v>0</v>
          </cell>
          <cell r="AC178">
            <v>0.21209298110984942</v>
          </cell>
          <cell r="AD178">
            <v>6.4222547551019818E-2</v>
          </cell>
          <cell r="AE178">
            <v>2.4409002499999999</v>
          </cell>
          <cell r="AF178">
            <v>13.668642236802238</v>
          </cell>
          <cell r="AG178">
            <v>8.5414959276190867</v>
          </cell>
          <cell r="AH178">
            <v>202309</v>
          </cell>
          <cell r="AI178" t="str">
            <v>Prev day data for ACG,GPOC and Vankor(delay due to VDR issues)</v>
          </cell>
          <cell r="AJ178" t="str">
            <v xml:space="preserve">
CPO-5: Prod'n being ramped up after resultion of strike by SAR staff 
IEC:APG plant planned s/d(16-20 Sep)
SCB:Intermittent pumping. Field prod 3350 bopd
A1-A3:Prod'n low due to low nomination/low demand from CNUOC.</v>
          </cell>
        </row>
        <row r="179">
          <cell r="C179">
            <v>45187</v>
          </cell>
          <cell r="D179">
            <v>353045</v>
          </cell>
          <cell r="E179">
            <v>33836</v>
          </cell>
          <cell r="F179">
            <v>16796.43</v>
          </cell>
          <cell r="G179">
            <v>2823</v>
          </cell>
          <cell r="H179">
            <v>1923</v>
          </cell>
          <cell r="I179">
            <v>146000</v>
          </cell>
          <cell r="J179">
            <v>181506.24000000002</v>
          </cell>
          <cell r="K179">
            <v>46448.32</v>
          </cell>
          <cell r="L179">
            <v>8512</v>
          </cell>
          <cell r="M179">
            <v>369950</v>
          </cell>
          <cell r="N179">
            <v>8679</v>
          </cell>
          <cell r="O179">
            <v>607</v>
          </cell>
          <cell r="P179">
            <v>180.51725999999999</v>
          </cell>
          <cell r="Q179">
            <v>0</v>
          </cell>
          <cell r="R179">
            <v>138517.00566700002</v>
          </cell>
          <cell r="S179">
            <v>10.386892710401051</v>
          </cell>
          <cell r="T179">
            <v>0.41235100000000002</v>
          </cell>
          <cell r="U179">
            <v>4.039309409396087E-3</v>
          </cell>
          <cell r="V179">
            <v>1.2E-2</v>
          </cell>
          <cell r="W179">
            <v>7.0889999999999995E-2</v>
          </cell>
          <cell r="X179">
            <v>7.4119999999999999</v>
          </cell>
          <cell r="Y179">
            <v>12.23592</v>
          </cell>
          <cell r="AB179">
            <v>0</v>
          </cell>
          <cell r="AC179">
            <v>0.20841179452182801</v>
          </cell>
          <cell r="AD179">
            <v>5.9295420887052697E-2</v>
          </cell>
          <cell r="AE179">
            <v>2.4177002500000002</v>
          </cell>
          <cell r="AF179">
            <v>13.669208573200395</v>
          </cell>
          <cell r="AG179">
            <v>8.5531027438931311</v>
          </cell>
          <cell r="AH179">
            <v>202309</v>
          </cell>
          <cell r="AI179" t="str">
            <v>Prev day data for ACG,BC-10,SPOC</v>
          </cell>
          <cell r="AJ179" t="str">
            <v>IEC:APG plant planned s/d(16-20 Sep)
SCB:Intermittent pumping. Field prod 3.4k bopd
A1-A3:Prod'n low due to low nomination/low demand from CNUOC.</v>
          </cell>
        </row>
        <row r="180">
          <cell r="C180">
            <v>45188</v>
          </cell>
          <cell r="D180">
            <v>353646</v>
          </cell>
          <cell r="E180">
            <v>21987</v>
          </cell>
          <cell r="F180">
            <v>16746.91</v>
          </cell>
          <cell r="G180">
            <v>2839</v>
          </cell>
          <cell r="H180">
            <v>1927</v>
          </cell>
          <cell r="I180">
            <v>146000</v>
          </cell>
          <cell r="J180">
            <v>181290.48</v>
          </cell>
          <cell r="K180">
            <v>46738.38</v>
          </cell>
          <cell r="L180">
            <v>9193</v>
          </cell>
          <cell r="M180">
            <v>374093</v>
          </cell>
          <cell r="N180">
            <v>8611</v>
          </cell>
          <cell r="O180">
            <v>227</v>
          </cell>
          <cell r="P180">
            <v>146.992626</v>
          </cell>
          <cell r="Q180">
            <v>0</v>
          </cell>
          <cell r="R180">
            <v>135480.85733169998</v>
          </cell>
          <cell r="S180">
            <v>11.405448722486666</v>
          </cell>
          <cell r="T180">
            <v>0.30552000000000001</v>
          </cell>
          <cell r="U180">
            <v>4.2316655670301597E-3</v>
          </cell>
          <cell r="V180">
            <v>1.2E-2</v>
          </cell>
          <cell r="W180">
            <v>7.2900000000000006E-2</v>
          </cell>
          <cell r="X180">
            <v>7.4119999999999999</v>
          </cell>
          <cell r="Y180">
            <v>12.157304</v>
          </cell>
          <cell r="AB180">
            <v>0</v>
          </cell>
          <cell r="AC180">
            <v>0.20784545812367086</v>
          </cell>
          <cell r="AD180">
            <v>6.0682945062537685E-2</v>
          </cell>
          <cell r="AE180">
            <v>2.26250025</v>
          </cell>
          <cell r="AF180">
            <v>13.669548375039289</v>
          </cell>
          <cell r="AG180">
            <v>8.4602019860616604</v>
          </cell>
          <cell r="AH180">
            <v>202309</v>
          </cell>
          <cell r="AI180" t="str">
            <v>Prev day data for Vankor</v>
          </cell>
          <cell r="AJ180" t="str">
            <v>BC-10:Rampdown for flotal campaign started.
SPOC: BONO-C heater shutdown due to drop in efficiency for heat transfer between burner and coil tube, high-high flue gas temperature and bad combustion.BONO -C under maintenance (internal cleaning and process tune up by field team) , All wells Shut in for the maintenance activity. Exports continued due to existing tank levels.
S-1:Gas updated since 1-Aug-23 based on latest monthly.
IEC:APG plant planned s/d(16-20 Sep)</v>
          </cell>
        </row>
        <row r="181">
          <cell r="C181">
            <v>45189</v>
          </cell>
          <cell r="D181">
            <v>350278</v>
          </cell>
          <cell r="E181">
            <v>13541</v>
          </cell>
          <cell r="F181">
            <v>16700.439999999999</v>
          </cell>
          <cell r="G181">
            <v>2923</v>
          </cell>
          <cell r="H181">
            <v>2268</v>
          </cell>
          <cell r="I181">
            <v>146000</v>
          </cell>
          <cell r="J181">
            <v>183626.64</v>
          </cell>
          <cell r="K181">
            <v>45984.71</v>
          </cell>
          <cell r="L181">
            <v>9122</v>
          </cell>
          <cell r="M181">
            <v>369157</v>
          </cell>
          <cell r="N181">
            <v>8457</v>
          </cell>
          <cell r="O181">
            <v>4110</v>
          </cell>
          <cell r="P181">
            <v>160.38989999999998</v>
          </cell>
          <cell r="Q181">
            <v>0</v>
          </cell>
          <cell r="R181">
            <v>135219.811655</v>
          </cell>
          <cell r="S181">
            <v>12.513202717282036</v>
          </cell>
          <cell r="T181">
            <v>0.326766</v>
          </cell>
          <cell r="U181">
            <v>4.4216997454317895E-3</v>
          </cell>
          <cell r="V181">
            <v>1.2E-2</v>
          </cell>
          <cell r="W181">
            <v>0.17113999999999999</v>
          </cell>
          <cell r="X181">
            <v>7.4119999999999999</v>
          </cell>
          <cell r="Y181">
            <v>12.205060999999999</v>
          </cell>
          <cell r="AB181">
            <v>0</v>
          </cell>
          <cell r="AC181">
            <v>0.20388110333657089</v>
          </cell>
          <cell r="AD181">
            <v>5.8417599469909133E-2</v>
          </cell>
          <cell r="AE181">
            <v>2.2496002499999999</v>
          </cell>
          <cell r="AF181">
            <v>13.528360710978713</v>
          </cell>
          <cell r="AG181">
            <v>8.5711682471123858</v>
          </cell>
          <cell r="AH181">
            <v>202309</v>
          </cell>
          <cell r="AI181" t="str">
            <v>Prev day data for BC-10</v>
          </cell>
          <cell r="AJ181" t="str">
            <v>SCB:Intermittent pumping. Field prod 2.8k bopd. 27 wells affected during the day due to power failure
BC-10:Rampdown for flotal campaign started.
SPOC: BONO -C under maintenance (internal cleaning and process tune up by field team) , All wells Shut in for the maintenance activity. Exports continued due to existing tank levels.
IEC:APG plant planned s/d(16-20 Sep)</v>
          </cell>
        </row>
        <row r="182">
          <cell r="C182">
            <v>45190</v>
          </cell>
          <cell r="D182">
            <v>352211</v>
          </cell>
          <cell r="E182">
            <v>12346</v>
          </cell>
          <cell r="F182">
            <v>16688.25</v>
          </cell>
          <cell r="G182">
            <v>2856</v>
          </cell>
          <cell r="H182">
            <v>2492</v>
          </cell>
          <cell r="I182">
            <v>146000</v>
          </cell>
          <cell r="J182">
            <v>184080.48</v>
          </cell>
          <cell r="K182">
            <v>48287.65</v>
          </cell>
          <cell r="L182">
            <v>9105</v>
          </cell>
          <cell r="M182">
            <v>363319</v>
          </cell>
          <cell r="N182">
            <v>8509</v>
          </cell>
          <cell r="O182">
            <v>7243</v>
          </cell>
          <cell r="P182">
            <v>179.19640199999998</v>
          </cell>
          <cell r="Q182">
            <v>0</v>
          </cell>
          <cell r="R182">
            <v>136847.27603090002</v>
          </cell>
          <cell r="S182">
            <v>12.339054274848714</v>
          </cell>
          <cell r="T182">
            <v>0.15554999999999999</v>
          </cell>
          <cell r="U182">
            <v>4.543688605594837E-3</v>
          </cell>
          <cell r="V182">
            <v>1.2E-2</v>
          </cell>
          <cell r="W182">
            <v>0.27789999999999998</v>
          </cell>
          <cell r="X182">
            <v>7.4119999999999999</v>
          </cell>
          <cell r="Y182">
            <v>12.124306000000001</v>
          </cell>
          <cell r="AB182">
            <v>0</v>
          </cell>
          <cell r="AC182">
            <v>0.20841179452182801</v>
          </cell>
          <cell r="AD182">
            <v>5.5699184758754849E-2</v>
          </cell>
          <cell r="AE182">
            <v>2.2336002499999998</v>
          </cell>
          <cell r="AF182">
            <v>13.071921890883965</v>
          </cell>
          <cell r="AG182">
            <v>8.5213826010240989</v>
          </cell>
          <cell r="AH182">
            <v>202309</v>
          </cell>
          <cell r="AI182" t="str">
            <v>Prev day data for ACG,BC-10,GPOC,SCB</v>
          </cell>
          <cell r="AJ182" t="str">
            <v>BC-10:Rampdown for flotal campaign started.
SPOC: BONO -C under maintenance., All wells Shut in for the maintenance activity. Exports continued due to existing tank levels.
Myanamar &amp; Vietnam: Low nomination.
CPO-5:ANH has communicated approval to open Indico 6 and Indico 7 wells. CO team is working on ways to start the wells at the earliest.</v>
          </cell>
        </row>
        <row r="183">
          <cell r="C183">
            <v>45191</v>
          </cell>
          <cell r="D183">
            <v>356035</v>
          </cell>
          <cell r="E183">
            <v>6484</v>
          </cell>
          <cell r="F183">
            <v>16678.490000000002</v>
          </cell>
          <cell r="G183">
            <v>2900</v>
          </cell>
          <cell r="H183">
            <v>2639</v>
          </cell>
          <cell r="I183">
            <v>146000</v>
          </cell>
          <cell r="J183">
            <v>184281.36000000002</v>
          </cell>
          <cell r="K183">
            <v>48033.52</v>
          </cell>
          <cell r="L183">
            <v>9846</v>
          </cell>
          <cell r="M183">
            <v>368193</v>
          </cell>
          <cell r="N183">
            <v>8426</v>
          </cell>
          <cell r="O183">
            <v>1034</v>
          </cell>
          <cell r="P183">
            <v>0</v>
          </cell>
          <cell r="Q183">
            <v>0</v>
          </cell>
          <cell r="R183">
            <v>133304.0926</v>
          </cell>
          <cell r="S183">
            <v>12.496495793536404</v>
          </cell>
          <cell r="T183">
            <v>3.0485999999999999E-2</v>
          </cell>
          <cell r="U183">
            <v>4.4732929913039047E-3</v>
          </cell>
          <cell r="V183">
            <v>1.2E-2</v>
          </cell>
          <cell r="W183">
            <v>0.31285000000000002</v>
          </cell>
          <cell r="X183">
            <v>7.4119999999999999</v>
          </cell>
          <cell r="Y183">
            <v>11.990812</v>
          </cell>
          <cell r="AB183">
            <v>0</v>
          </cell>
          <cell r="AC183">
            <v>0.20048308494762804</v>
          </cell>
          <cell r="AD183">
            <v>5.7313243493502704E-2</v>
          </cell>
          <cell r="AE183">
            <v>0</v>
          </cell>
          <cell r="AF183">
            <v>13.295936253175022</v>
          </cell>
          <cell r="AG183">
            <v>7.5241802977059979</v>
          </cell>
          <cell r="AH183">
            <v>202309</v>
          </cell>
          <cell r="AJ183" t="str">
            <v>_x000D_
B-06.1:S/d due to TAR 2023 campaign</v>
          </cell>
        </row>
        <row r="184">
          <cell r="C184">
            <v>45192</v>
          </cell>
          <cell r="D184">
            <v>356128</v>
          </cell>
          <cell r="E184">
            <v>2660</v>
          </cell>
          <cell r="F184">
            <v>16680.439999999999</v>
          </cell>
          <cell r="G184">
            <v>2965</v>
          </cell>
          <cell r="H184">
            <v>2690</v>
          </cell>
          <cell r="I184">
            <v>146000</v>
          </cell>
          <cell r="J184">
            <v>185635.44</v>
          </cell>
          <cell r="K184">
            <v>48163.409999999996</v>
          </cell>
          <cell r="L184">
            <v>10553</v>
          </cell>
          <cell r="M184">
            <v>357075</v>
          </cell>
          <cell r="N184">
            <v>8725</v>
          </cell>
          <cell r="O184">
            <v>5539</v>
          </cell>
          <cell r="P184">
            <v>0</v>
          </cell>
          <cell r="Q184">
            <v>0</v>
          </cell>
          <cell r="R184">
            <v>134303.89295000001</v>
          </cell>
          <cell r="S184">
            <v>12.233149368393335</v>
          </cell>
          <cell r="T184">
            <v>1.4635E-2</v>
          </cell>
          <cell r="U184">
            <v>4.3568825446627041E-3</v>
          </cell>
          <cell r="V184">
            <v>1.2E-2</v>
          </cell>
          <cell r="W184">
            <v>0.32150000000000001</v>
          </cell>
          <cell r="X184">
            <v>7.4119999999999999</v>
          </cell>
          <cell r="Y184">
            <v>12.232276000000001</v>
          </cell>
          <cell r="AB184">
            <v>0</v>
          </cell>
          <cell r="AC184">
            <v>0.2055801125310423</v>
          </cell>
          <cell r="AD184">
            <v>5.7568094872673413E-2</v>
          </cell>
          <cell r="AE184">
            <v>0</v>
          </cell>
          <cell r="AF184">
            <v>13.290839225591609</v>
          </cell>
          <cell r="AG184">
            <v>7.5849624968692089</v>
          </cell>
          <cell r="AH184">
            <v>202309</v>
          </cell>
        </row>
        <row r="185">
          <cell r="C185">
            <v>45193</v>
          </cell>
          <cell r="D185">
            <v>353452</v>
          </cell>
          <cell r="E185">
            <v>0</v>
          </cell>
          <cell r="F185">
            <v>16637.259999999998</v>
          </cell>
          <cell r="G185">
            <v>3001</v>
          </cell>
          <cell r="H185">
            <v>2795</v>
          </cell>
          <cell r="I185">
            <v>146000</v>
          </cell>
          <cell r="J185">
            <v>185724.72</v>
          </cell>
          <cell r="K185">
            <v>48634.3</v>
          </cell>
          <cell r="L185">
            <v>10544</v>
          </cell>
          <cell r="M185">
            <v>358707</v>
          </cell>
          <cell r="N185">
            <v>8083</v>
          </cell>
          <cell r="O185">
            <v>899</v>
          </cell>
          <cell r="P185">
            <v>53.526197999999994</v>
          </cell>
          <cell r="Q185">
            <v>0</v>
          </cell>
          <cell r="R185">
            <v>131918.1621891</v>
          </cell>
          <cell r="S185">
            <v>11.766488176311849</v>
          </cell>
          <cell r="T185">
            <v>0</v>
          </cell>
          <cell r="U185">
            <v>4.4257207338587049E-3</v>
          </cell>
          <cell r="V185">
            <v>1.2E-2</v>
          </cell>
          <cell r="W185">
            <v>0.31856000000000001</v>
          </cell>
          <cell r="X185">
            <v>7.4119999999999999</v>
          </cell>
          <cell r="Y185">
            <v>12.290737</v>
          </cell>
          <cell r="AB185">
            <v>0</v>
          </cell>
          <cell r="AC185">
            <v>0.20416427153564945</v>
          </cell>
          <cell r="AD185">
            <v>5.8417599469909133E-2</v>
          </cell>
          <cell r="AE185">
            <v>1.3570001299999999</v>
          </cell>
          <cell r="AF185">
            <v>13.289904770534649</v>
          </cell>
          <cell r="AG185">
            <v>8.1932144805342801</v>
          </cell>
          <cell r="AH185">
            <v>202309</v>
          </cell>
          <cell r="AI185" t="str">
            <v>Prev day data for ACG,BC-10,GPOC</v>
          </cell>
          <cell r="AJ185" t="str">
            <v>BC-10:Rampdown due to flotal campaign.
B-06.1:Restarted after TAR 2023 campaign
PCB:Mesa diluent received with high water cut (~28%) causing high discharge pressure in Macolla 1 and 5 wells.  
SCB:Intermittent pumping. Field prod 2.8k bopd.Deferment due to closure of 3 wells. (Details sought)
SPOC:All wells Shut in for the maintenance of BONO heater. Exports continued.</v>
          </cell>
        </row>
        <row r="186">
          <cell r="C186">
            <v>45194</v>
          </cell>
          <cell r="D186">
            <v>361832</v>
          </cell>
          <cell r="E186">
            <v>0</v>
          </cell>
          <cell r="F186">
            <v>16586.55</v>
          </cell>
          <cell r="G186">
            <v>3001</v>
          </cell>
          <cell r="H186">
            <v>2698</v>
          </cell>
          <cell r="I186">
            <v>151000</v>
          </cell>
          <cell r="J186">
            <v>186156.24000000002</v>
          </cell>
          <cell r="K186">
            <v>48775.519999999997</v>
          </cell>
          <cell r="L186">
            <v>10197</v>
          </cell>
          <cell r="M186">
            <v>376524</v>
          </cell>
          <cell r="N186">
            <v>5576</v>
          </cell>
          <cell r="O186">
            <v>3733</v>
          </cell>
          <cell r="P186">
            <v>174.47905199999997</v>
          </cell>
          <cell r="Q186">
            <v>0</v>
          </cell>
          <cell r="R186">
            <v>134667.96842340002</v>
          </cell>
          <cell r="S186">
            <v>12.958909462631711</v>
          </cell>
          <cell r="T186">
            <v>0</v>
          </cell>
          <cell r="U186">
            <v>4.5003355543159086E-3</v>
          </cell>
          <cell r="V186">
            <v>1.2E-2</v>
          </cell>
          <cell r="W186">
            <v>0.31985000000000002</v>
          </cell>
          <cell r="X186">
            <v>7.4119999999999999</v>
          </cell>
          <cell r="Y186">
            <v>12.391941999999998</v>
          </cell>
          <cell r="AB186">
            <v>0</v>
          </cell>
          <cell r="AC186">
            <v>0.16876824665082812</v>
          </cell>
          <cell r="AD186">
            <v>5.8672450849079842E-2</v>
          </cell>
          <cell r="AE186">
            <v>2.19810025</v>
          </cell>
          <cell r="AF186">
            <v>13.291065760150872</v>
          </cell>
          <cell r="AG186">
            <v>8.6233157426716858</v>
          </cell>
          <cell r="AH186">
            <v>202309</v>
          </cell>
          <cell r="AI186" t="str">
            <v>Prev day data for ACG,MECL</v>
          </cell>
          <cell r="AJ186" t="str">
            <v>BC-10:Flotal campaign ongoing.
PCB:General well shutdown reported on 25.09.2023 (04:20) due to stoppage of Mesa 30 pumps in EPJ2 station. Wells restarted at 12:00.
SCB:Intermittent pumping. Field prod'n 3.1k bopd. Curtailemnt due to pipeline leakage.</v>
          </cell>
        </row>
        <row r="187">
          <cell r="C187">
            <v>45195</v>
          </cell>
          <cell r="D187">
            <v>351733</v>
          </cell>
          <cell r="E187">
            <v>0</v>
          </cell>
          <cell r="F187">
            <v>16650</v>
          </cell>
          <cell r="G187">
            <v>2987</v>
          </cell>
          <cell r="H187">
            <v>2696</v>
          </cell>
          <cell r="I187">
            <v>151000</v>
          </cell>
          <cell r="J187">
            <v>186773.76000000001</v>
          </cell>
          <cell r="K187">
            <v>48489.57</v>
          </cell>
          <cell r="L187">
            <v>10506</v>
          </cell>
          <cell r="M187">
            <v>391697</v>
          </cell>
          <cell r="N187">
            <v>6041</v>
          </cell>
          <cell r="O187">
            <v>961</v>
          </cell>
          <cell r="P187">
            <v>181.901016</v>
          </cell>
          <cell r="Q187">
            <v>0</v>
          </cell>
          <cell r="R187">
            <v>134186.32035719999</v>
          </cell>
          <cell r="S187">
            <v>12.421456220780582</v>
          </cell>
          <cell r="T187">
            <v>0</v>
          </cell>
          <cell r="U187">
            <v>4.5162212902842159E-3</v>
          </cell>
          <cell r="V187">
            <v>1.2E-2</v>
          </cell>
          <cell r="W187">
            <v>0.31674999999999998</v>
          </cell>
          <cell r="X187">
            <v>7.4119999999999999</v>
          </cell>
          <cell r="Y187">
            <v>12.200644</v>
          </cell>
          <cell r="AB187">
            <v>0</v>
          </cell>
          <cell r="AC187">
            <v>0.19623556196144945</v>
          </cell>
          <cell r="AD187">
            <v>6.1249281460694832E-2</v>
          </cell>
          <cell r="AE187">
            <v>2.2313002499999999</v>
          </cell>
          <cell r="AF187">
            <v>12.858894454717158</v>
          </cell>
          <cell r="AG187">
            <v>8.5035972278051837</v>
          </cell>
          <cell r="AH187">
            <v>202309</v>
          </cell>
        </row>
        <row r="188">
          <cell r="C188">
            <v>45196</v>
          </cell>
          <cell r="D188">
            <v>343608</v>
          </cell>
          <cell r="E188">
            <v>0</v>
          </cell>
          <cell r="F188">
            <v>17496.14</v>
          </cell>
          <cell r="G188">
            <v>2991</v>
          </cell>
          <cell r="H188">
            <v>2676</v>
          </cell>
          <cell r="I188">
            <v>151000</v>
          </cell>
          <cell r="J188">
            <v>186550.56</v>
          </cell>
          <cell r="K188">
            <v>48066.720000000001</v>
          </cell>
          <cell r="L188">
            <v>10146</v>
          </cell>
          <cell r="M188">
            <v>392768</v>
          </cell>
          <cell r="N188">
            <v>8832</v>
          </cell>
          <cell r="O188">
            <v>3813</v>
          </cell>
          <cell r="P188">
            <v>169.88749799999999</v>
          </cell>
          <cell r="Q188">
            <v>0</v>
          </cell>
          <cell r="R188">
            <v>135807.58027410001</v>
          </cell>
          <cell r="S188">
            <v>12.590507635630491</v>
          </cell>
          <cell r="T188">
            <v>0</v>
          </cell>
          <cell r="U188">
            <v>4.6138010516866912E-3</v>
          </cell>
          <cell r="V188">
            <v>1.2E-2</v>
          </cell>
          <cell r="W188">
            <v>0.31313000000000002</v>
          </cell>
          <cell r="X188">
            <v>7.4119999999999999</v>
          </cell>
          <cell r="Y188">
            <v>12.203605</v>
          </cell>
          <cell r="AB188">
            <v>0</v>
          </cell>
          <cell r="AC188">
            <v>0.2075622899245923</v>
          </cell>
          <cell r="AD188">
            <v>5.3858591464744136E-2</v>
          </cell>
          <cell r="AE188">
            <v>2.1854002499999998</v>
          </cell>
          <cell r="AF188">
            <v>12.860225345252825</v>
          </cell>
          <cell r="AG188">
            <v>8.4825813967898274</v>
          </cell>
          <cell r="AH188">
            <v>202309</v>
          </cell>
        </row>
        <row r="189">
          <cell r="C189">
            <v>45197</v>
          </cell>
          <cell r="D189">
            <v>343608</v>
          </cell>
          <cell r="E189">
            <v>0</v>
          </cell>
          <cell r="F189">
            <v>17704.920000000002</v>
          </cell>
          <cell r="G189">
            <v>2984</v>
          </cell>
          <cell r="H189">
            <v>2703</v>
          </cell>
          <cell r="I189">
            <v>151000</v>
          </cell>
          <cell r="J189">
            <v>186119.04000000001</v>
          </cell>
          <cell r="K189">
            <v>47816.58</v>
          </cell>
          <cell r="L189">
            <v>7515</v>
          </cell>
          <cell r="M189">
            <v>393218</v>
          </cell>
          <cell r="N189">
            <v>8836</v>
          </cell>
          <cell r="O189">
            <v>2764</v>
          </cell>
          <cell r="P189">
            <v>189.00848999999999</v>
          </cell>
          <cell r="Q189">
            <v>0</v>
          </cell>
          <cell r="R189">
            <v>134775.21177050003</v>
          </cell>
          <cell r="S189">
            <v>12.590507635630491</v>
          </cell>
          <cell r="T189">
            <v>0</v>
          </cell>
          <cell r="U189">
            <v>4.5210351496685515E-3</v>
          </cell>
          <cell r="V189">
            <v>1.2E-2</v>
          </cell>
          <cell r="W189">
            <v>0.32106999999999997</v>
          </cell>
          <cell r="X189">
            <v>7.4119999999999999</v>
          </cell>
          <cell r="Y189">
            <v>12.208354999999999</v>
          </cell>
          <cell r="AB189">
            <v>0</v>
          </cell>
          <cell r="AC189">
            <v>0.2075622899245923</v>
          </cell>
          <cell r="AD189">
            <v>5.7568094872673413E-2</v>
          </cell>
          <cell r="AE189">
            <v>2.1458002500000002</v>
          </cell>
          <cell r="AF189">
            <v>12.858214851039369</v>
          </cell>
          <cell r="AG189">
            <v>8.4750134780052981</v>
          </cell>
          <cell r="AH189">
            <v>202309</v>
          </cell>
          <cell r="AI189" t="str">
            <v>Prev day data for ACG,BC-10,LZC</v>
          </cell>
          <cell r="AJ189" t="str">
            <v>CPO-5:Indico-7 opened on 26th Sep.Choke size being increased gradually.Contribution 1134 bopd (with choke 16/64 for 21 hrs and 20/64 for 3 hrs)
SPOC:All TJ and Mala wells shut in from 16th Sept. due to BONO-C major maintenance activity
SCB:Intermittent pumping. field prod 2.63k bopd. Deferment due to power s/d.
BC-10:Flotal campaign</v>
          </cell>
        </row>
        <row r="190">
          <cell r="C190">
            <v>45198</v>
          </cell>
          <cell r="D190">
            <v>350808</v>
          </cell>
          <cell r="E190">
            <v>0</v>
          </cell>
          <cell r="F190">
            <v>18376.22</v>
          </cell>
          <cell r="G190">
            <v>3017</v>
          </cell>
          <cell r="H190">
            <v>2679</v>
          </cell>
          <cell r="I190">
            <v>151000</v>
          </cell>
          <cell r="J190">
            <v>186236.71848000001</v>
          </cell>
          <cell r="K190">
            <v>47792.26</v>
          </cell>
          <cell r="L190">
            <v>7554</v>
          </cell>
          <cell r="M190">
            <v>391753</v>
          </cell>
          <cell r="N190">
            <v>8914</v>
          </cell>
          <cell r="O190">
            <v>140</v>
          </cell>
          <cell r="P190">
            <v>161.45916600000001</v>
          </cell>
          <cell r="Q190">
            <v>0</v>
          </cell>
          <cell r="R190">
            <v>134325.84972950001</v>
          </cell>
          <cell r="S190">
            <v>10.104574015919713</v>
          </cell>
          <cell r="T190">
            <v>0</v>
          </cell>
          <cell r="U190">
            <v>4.5583567183071069E-3</v>
          </cell>
          <cell r="V190">
            <v>1.2E-2</v>
          </cell>
          <cell r="W190">
            <v>0.31989000000000001</v>
          </cell>
          <cell r="X190">
            <v>7.4119999999999999</v>
          </cell>
          <cell r="Y190">
            <v>12.225069</v>
          </cell>
          <cell r="AB190">
            <v>0</v>
          </cell>
          <cell r="AC190">
            <v>0.20841179452182801</v>
          </cell>
          <cell r="AD190">
            <v>5.8672450849079842E-2</v>
          </cell>
          <cell r="AE190">
            <v>2.1670002500000001</v>
          </cell>
          <cell r="AF190">
            <v>12.865775441954765</v>
          </cell>
          <cell r="AG190">
            <v>8.4321406648399027</v>
          </cell>
          <cell r="AH190">
            <v>202309</v>
          </cell>
        </row>
        <row r="191">
          <cell r="C191">
            <v>45199</v>
          </cell>
          <cell r="D191">
            <v>352459</v>
          </cell>
          <cell r="E191">
            <v>0</v>
          </cell>
          <cell r="F191">
            <v>18997.239999999994</v>
          </cell>
          <cell r="G191">
            <v>3013</v>
          </cell>
          <cell r="H191">
            <v>2668</v>
          </cell>
          <cell r="I191">
            <v>151000</v>
          </cell>
          <cell r="J191">
            <v>186386.88</v>
          </cell>
          <cell r="K191">
            <v>47031.759999999995</v>
          </cell>
          <cell r="L191">
            <v>7555</v>
          </cell>
          <cell r="M191">
            <v>394108</v>
          </cell>
          <cell r="N191">
            <v>8950</v>
          </cell>
          <cell r="O191">
            <v>0</v>
          </cell>
          <cell r="P191">
            <v>164.35247399999997</v>
          </cell>
          <cell r="Q191">
            <v>0</v>
          </cell>
          <cell r="R191">
            <v>134678.3220633</v>
          </cell>
          <cell r="S191">
            <v>8.2084797548896091</v>
          </cell>
          <cell r="T191">
            <v>0</v>
          </cell>
          <cell r="U191">
            <v>4.6263454029058723E-3</v>
          </cell>
          <cell r="V191">
            <v>1.2E-2</v>
          </cell>
          <cell r="W191">
            <v>0.31942999999999999</v>
          </cell>
          <cell r="X191">
            <v>7.4119999999999999</v>
          </cell>
          <cell r="Y191">
            <v>12.220331</v>
          </cell>
          <cell r="AB191">
            <v>0</v>
          </cell>
          <cell r="AC191">
            <v>0.20642961712827801</v>
          </cell>
          <cell r="AD191">
            <v>6.2353637437101261E-2</v>
          </cell>
          <cell r="AE191">
            <v>2.3291002500000002</v>
          </cell>
          <cell r="AF191">
            <v>12.861329701229232</v>
          </cell>
          <cell r="AG191">
            <v>8.4601402586879058</v>
          </cell>
          <cell r="AH191">
            <v>202309</v>
          </cell>
        </row>
        <row r="192">
          <cell r="C192">
            <v>45200</v>
          </cell>
          <cell r="D192">
            <v>358964</v>
          </cell>
          <cell r="E192">
            <v>0</v>
          </cell>
          <cell r="F192">
            <v>19034.039999999997</v>
          </cell>
          <cell r="G192">
            <v>3062</v>
          </cell>
          <cell r="H192">
            <v>2721</v>
          </cell>
          <cell r="I192">
            <v>151000</v>
          </cell>
          <cell r="J192">
            <v>186193.44</v>
          </cell>
          <cell r="K192">
            <v>49320.82</v>
          </cell>
          <cell r="L192">
            <v>7556</v>
          </cell>
          <cell r="M192">
            <v>395764</v>
          </cell>
          <cell r="N192">
            <v>8717</v>
          </cell>
          <cell r="O192">
            <v>5049</v>
          </cell>
          <cell r="P192">
            <v>165.98782199999999</v>
          </cell>
          <cell r="Q192">
            <v>0</v>
          </cell>
          <cell r="R192">
            <v>137515.0053199</v>
          </cell>
          <cell r="S192">
            <v>9.5877920526013245</v>
          </cell>
          <cell r="T192">
            <v>0</v>
          </cell>
          <cell r="U192">
            <v>4.4282975644703198E-3</v>
          </cell>
          <cell r="V192">
            <v>1.2E-2</v>
          </cell>
          <cell r="W192">
            <v>0.31641000000000002</v>
          </cell>
          <cell r="X192">
            <v>9.0090000000000003</v>
          </cell>
          <cell r="Y192">
            <v>12.311919</v>
          </cell>
          <cell r="AB192">
            <v>0</v>
          </cell>
          <cell r="AC192">
            <v>0.2086949627209066</v>
          </cell>
          <cell r="AD192">
            <v>5.9521955446315548E-2</v>
          </cell>
          <cell r="AE192">
            <v>2.2056002499999998</v>
          </cell>
          <cell r="AF192">
            <v>12.862972076783889</v>
          </cell>
          <cell r="AG192">
            <v>8.7758773383413065</v>
          </cell>
          <cell r="AH192">
            <v>202310</v>
          </cell>
          <cell r="AI192" t="str">
            <v>Prev day data for ACG,BC-10,Vankor</v>
          </cell>
          <cell r="AJ192" t="str">
            <v>CPO-5:Indico-7 flowing with choke of 26/64(2565 bopd).Indico 6 opened on 1st Oct (9 PM) with 10/64.
LZC:Quota for Oct'23 is 382k bopd
BC-10:Flotal campaign.
A1-A3:Prod'n deferment due to low demand.</v>
          </cell>
        </row>
        <row r="193">
          <cell r="C193">
            <v>45201</v>
          </cell>
          <cell r="D193">
            <v>363259</v>
          </cell>
          <cell r="E193">
            <v>0</v>
          </cell>
          <cell r="F193">
            <v>19598.2</v>
          </cell>
          <cell r="G193">
            <v>3195</v>
          </cell>
          <cell r="H193">
            <v>2625</v>
          </cell>
          <cell r="I193">
            <v>179000</v>
          </cell>
          <cell r="J193">
            <v>184415.28</v>
          </cell>
          <cell r="K193">
            <v>49317.63</v>
          </cell>
          <cell r="L193">
            <v>0</v>
          </cell>
          <cell r="M193">
            <v>390091</v>
          </cell>
          <cell r="N193">
            <v>8999</v>
          </cell>
          <cell r="O193">
            <v>7726</v>
          </cell>
          <cell r="P193">
            <v>152.52764999999999</v>
          </cell>
          <cell r="Q193">
            <v>0</v>
          </cell>
          <cell r="R193">
            <v>142162.47064250003</v>
          </cell>
          <cell r="S193">
            <v>6.6114111120864685</v>
          </cell>
          <cell r="T193">
            <v>0</v>
          </cell>
          <cell r="U193">
            <v>4.5736194842374419E-3</v>
          </cell>
          <cell r="V193">
            <v>1.2E-2</v>
          </cell>
          <cell r="W193">
            <v>0.31557000000000002</v>
          </cell>
          <cell r="X193">
            <v>9.0090000000000003</v>
          </cell>
          <cell r="Y193">
            <v>12.214442999999999</v>
          </cell>
          <cell r="AB193">
            <v>0</v>
          </cell>
          <cell r="AC193">
            <v>0.21209298110984942</v>
          </cell>
          <cell r="AD193">
            <v>6.0682945062537685E-2</v>
          </cell>
          <cell r="AE193">
            <v>2.2005002500000002</v>
          </cell>
          <cell r="AF193">
            <v>13.093499307653751</v>
          </cell>
          <cell r="AG193">
            <v>8.7187737110764001</v>
          </cell>
          <cell r="AH193">
            <v>202310</v>
          </cell>
          <cell r="AI193" t="str">
            <v>Prev day data for ACG,BC-10,MECL</v>
          </cell>
          <cell r="AJ193" t="str">
            <v xml:space="preserve">CPO-5: Indico 6: Contribution 375 bopd at 10/64" choke. 
                Indico 7:Contribution 2789 bopd(  26/64" for 18 hrs and 30/64" for 6 hrs)
SPOC:Export  stopped at 23.48 hrs on 1st October 23 by WHCC . BONO -C under maintenance - troubleshooting ongoing.
SCB:Intermittent pumping.field prod 3040 bopd.Deferment due to power trip issues.
BC-10:Flotal campaign.        LZC:Quota for the month is 382k bopd.
A1-A3:Prod'n deferment due to low demand.
</v>
          </cell>
        </row>
        <row r="194">
          <cell r="C194">
            <v>45202</v>
          </cell>
          <cell r="D194">
            <v>364644</v>
          </cell>
          <cell r="E194">
            <v>0</v>
          </cell>
          <cell r="F194">
            <v>20328.29</v>
          </cell>
          <cell r="G194">
            <v>3179</v>
          </cell>
          <cell r="H194">
            <v>2609</v>
          </cell>
          <cell r="I194">
            <v>179000</v>
          </cell>
          <cell r="J194">
            <v>182637.12</v>
          </cell>
          <cell r="K194">
            <v>50067.87</v>
          </cell>
          <cell r="L194">
            <v>0</v>
          </cell>
          <cell r="M194">
            <v>401543</v>
          </cell>
          <cell r="N194">
            <v>8518</v>
          </cell>
          <cell r="O194">
            <v>1292</v>
          </cell>
          <cell r="P194">
            <v>159.572226</v>
          </cell>
          <cell r="Q194">
            <v>0</v>
          </cell>
          <cell r="R194">
            <v>140241.50560170002</v>
          </cell>
          <cell r="S194">
            <v>8.8606161173675542</v>
          </cell>
          <cell r="T194">
            <v>0</v>
          </cell>
          <cell r="U194">
            <v>4.3970357952920454E-3</v>
          </cell>
          <cell r="V194">
            <v>1.2E-2</v>
          </cell>
          <cell r="W194">
            <v>0.31792000000000004</v>
          </cell>
          <cell r="X194">
            <v>9.0090000000000003</v>
          </cell>
          <cell r="Y194">
            <v>12.483108</v>
          </cell>
          <cell r="AB194">
            <v>0</v>
          </cell>
          <cell r="AC194">
            <v>0.2075622899245923</v>
          </cell>
          <cell r="AD194">
            <v>5.3858591464744136E-2</v>
          </cell>
          <cell r="AE194">
            <v>2.1786002500000001</v>
          </cell>
          <cell r="AF194">
            <v>13.380433643780069</v>
          </cell>
          <cell r="AG194">
            <v>8.8785053577881108</v>
          </cell>
          <cell r="AH194">
            <v>202310</v>
          </cell>
          <cell r="AI194" t="str">
            <v>Prev day data for ACG,BC-10,Vankor</v>
          </cell>
          <cell r="AJ194" t="str">
            <v>CPO-5: Indico 6: Contribution 376 bopd at 10/64" choke. 
                Indico 7: Contribution 3484 bopd at 30/64" choke.
MECL: V-364(2nd infill well) added.Test rate 178 bopd pure oil at well site. MECL achieved highest prod'n in CY 2023 on 2nd oct(3195 bopd)
SPOC:Export  stopped on 1st October 23 by WHCC .
BC-10:Flotal campaign. ----------LZC:Quota for the month is 382k bopd.
A1-A3:Prod'n deferment due to low demand.</v>
          </cell>
        </row>
        <row r="195">
          <cell r="C195">
            <v>45203</v>
          </cell>
          <cell r="D195">
            <v>350198</v>
          </cell>
          <cell r="E195">
            <v>0</v>
          </cell>
          <cell r="F195">
            <v>20553.48</v>
          </cell>
          <cell r="G195">
            <v>3205</v>
          </cell>
          <cell r="H195">
            <v>2581</v>
          </cell>
          <cell r="I195">
            <v>179000</v>
          </cell>
          <cell r="J195">
            <v>183381.12</v>
          </cell>
          <cell r="K195">
            <v>49227.6</v>
          </cell>
          <cell r="L195">
            <v>0</v>
          </cell>
          <cell r="M195">
            <v>403296</v>
          </cell>
          <cell r="N195">
            <v>8717</v>
          </cell>
          <cell r="O195">
            <v>418</v>
          </cell>
          <cell r="P195">
            <v>168.00055799999998</v>
          </cell>
          <cell r="Q195">
            <v>0</v>
          </cell>
          <cell r="R195">
            <v>139780.01125109999</v>
          </cell>
          <cell r="S195">
            <v>6.1725004035146842</v>
          </cell>
          <cell r="T195">
            <v>0</v>
          </cell>
          <cell r="U195">
            <v>4.5687773080331983E-3</v>
          </cell>
          <cell r="V195">
            <v>1.2E-2</v>
          </cell>
          <cell r="W195">
            <v>0.31567000000000001</v>
          </cell>
          <cell r="X195">
            <v>9.0090000000000003</v>
          </cell>
          <cell r="Y195">
            <v>12.340495000000001</v>
          </cell>
          <cell r="AB195">
            <v>0</v>
          </cell>
          <cell r="AC195">
            <v>0.21152664471169227</v>
          </cell>
          <cell r="AD195">
            <v>5.8672450849079842E-2</v>
          </cell>
          <cell r="AE195">
            <v>2.1542002500000001</v>
          </cell>
          <cell r="AF195">
            <v>13.384086513548182</v>
          </cell>
          <cell r="AG195">
            <v>8.7692033344979219</v>
          </cell>
          <cell r="AH195">
            <v>202310</v>
          </cell>
          <cell r="AI195" t="str">
            <v>Prev day data for ACG,BC-10,SCB</v>
          </cell>
          <cell r="AJ195" t="str">
            <v>CPO-5: Indico 6: Contribution 382 bopd at 10/64" choke. 
                Indico 7: Contribution 3724 bopd (30/64" choke for 11.5 hrs and 34/64 for 12.5 hrs)
MECL:Prod'n crosses 3200 bopd(due to contribution from 2nd infill well V 364)
SPOC:Export  stopped on 1st October 23 by WHCC .
BC-10:Flotal campaign. ----------LZC:Quota for the month is 382k bopd.
A1-A3:Prod'n deferment due to low demand.</v>
          </cell>
        </row>
        <row r="196">
          <cell r="C196">
            <v>45204</v>
          </cell>
          <cell r="D196">
            <v>348302</v>
          </cell>
          <cell r="E196">
            <v>0</v>
          </cell>
          <cell r="F196">
            <v>20785.269999999997</v>
          </cell>
          <cell r="G196">
            <v>3264</v>
          </cell>
          <cell r="H196">
            <v>2589</v>
          </cell>
          <cell r="I196">
            <v>179000</v>
          </cell>
          <cell r="J196">
            <v>183306.72</v>
          </cell>
          <cell r="K196">
            <v>49152.61</v>
          </cell>
          <cell r="L196">
            <v>0</v>
          </cell>
          <cell r="M196">
            <v>397705</v>
          </cell>
          <cell r="N196">
            <v>9030</v>
          </cell>
          <cell r="O196">
            <v>0</v>
          </cell>
          <cell r="P196">
            <v>165.10724999999999</v>
          </cell>
          <cell r="Q196">
            <v>0</v>
          </cell>
          <cell r="R196">
            <v>139540.16316249999</v>
          </cell>
          <cell r="S196">
            <v>6.3327736041931537</v>
          </cell>
          <cell r="T196">
            <v>0</v>
          </cell>
          <cell r="U196">
            <v>4.4132046994594318E-3</v>
          </cell>
          <cell r="V196">
            <v>1.2E-2</v>
          </cell>
          <cell r="W196">
            <v>0.31685000000000002</v>
          </cell>
          <cell r="X196">
            <v>9.0090000000000003</v>
          </cell>
          <cell r="Y196">
            <v>12.222134</v>
          </cell>
          <cell r="AB196">
            <v>0</v>
          </cell>
          <cell r="AC196">
            <v>0.20189892594302089</v>
          </cell>
          <cell r="AD196">
            <v>5.8417599469909133E-2</v>
          </cell>
          <cell r="AE196">
            <v>2.1259002499999999</v>
          </cell>
          <cell r="AF196">
            <v>13.383406909870393</v>
          </cell>
          <cell r="AG196">
            <v>8.7291913623661479</v>
          </cell>
          <cell r="AH196">
            <v>202310</v>
          </cell>
          <cell r="AI196" t="str">
            <v>Prev day data for BC-10,SCB.</v>
          </cell>
          <cell r="AJ196" t="str">
            <v xml:space="preserve">SPOC:BONO-C unit started at 11.30 hrs . Ramping up of hot oil temperature in progress
CPO-5:  Indico-6: 385 bopd @ 10/64"
                Indico-7: 3971 bopd @ 34/64"
Myanmar:Deferment due to low demand.
</v>
          </cell>
        </row>
        <row r="197">
          <cell r="C197">
            <v>45205</v>
          </cell>
          <cell r="D197">
            <v>348647</v>
          </cell>
          <cell r="E197">
            <v>0</v>
          </cell>
          <cell r="F197">
            <v>21349.810000000005</v>
          </cell>
          <cell r="G197">
            <v>3275</v>
          </cell>
          <cell r="H197">
            <v>2529</v>
          </cell>
          <cell r="I197">
            <v>179000</v>
          </cell>
          <cell r="J197">
            <v>182763.6</v>
          </cell>
          <cell r="K197">
            <v>48613.120000000003</v>
          </cell>
          <cell r="L197">
            <v>0</v>
          </cell>
          <cell r="M197">
            <v>343473</v>
          </cell>
          <cell r="N197">
            <v>8842</v>
          </cell>
          <cell r="O197">
            <v>3329</v>
          </cell>
          <cell r="P197">
            <v>136.80314999999999</v>
          </cell>
          <cell r="Q197">
            <v>0</v>
          </cell>
          <cell r="R197">
            <v>138741.6301175</v>
          </cell>
          <cell r="S197">
            <v>10.687900506021572</v>
          </cell>
          <cell r="T197">
            <v>0</v>
          </cell>
          <cell r="U197">
            <v>4.4790413057451996E-3</v>
          </cell>
          <cell r="V197">
            <v>1.2E-2</v>
          </cell>
          <cell r="W197">
            <v>0.31231999999999999</v>
          </cell>
          <cell r="X197">
            <v>9.0090000000000003</v>
          </cell>
          <cell r="Y197">
            <v>12.441647000000001</v>
          </cell>
          <cell r="AB197">
            <v>0</v>
          </cell>
          <cell r="AC197">
            <v>0.1834929930029138</v>
          </cell>
          <cell r="AD197">
            <v>5.7313243493502704E-2</v>
          </cell>
          <cell r="AE197">
            <v>2.12360025</v>
          </cell>
          <cell r="AF197">
            <v>13.380433643780069</v>
          </cell>
          <cell r="AG197">
            <v>8.8783774091734529</v>
          </cell>
          <cell r="AH197">
            <v>202310</v>
          </cell>
        </row>
        <row r="198">
          <cell r="C198">
            <v>45206</v>
          </cell>
          <cell r="D198">
            <v>352608</v>
          </cell>
          <cell r="E198">
            <v>0</v>
          </cell>
          <cell r="F198">
            <v>21891.39</v>
          </cell>
          <cell r="G198">
            <v>3213</v>
          </cell>
          <cell r="H198">
            <v>2640</v>
          </cell>
          <cell r="I198">
            <v>179000</v>
          </cell>
          <cell r="J198">
            <v>183180.24000000002</v>
          </cell>
          <cell r="K198">
            <v>49591.002090000002</v>
          </cell>
          <cell r="L198">
            <v>0</v>
          </cell>
          <cell r="M198">
            <v>338568</v>
          </cell>
          <cell r="N198">
            <v>8851</v>
          </cell>
          <cell r="O198">
            <v>1269</v>
          </cell>
          <cell r="P198">
            <v>168.88112999999998</v>
          </cell>
          <cell r="Q198">
            <v>0</v>
          </cell>
          <cell r="R198">
            <v>138640.257231</v>
          </cell>
          <cell r="S198">
            <v>12.517450240268218</v>
          </cell>
          <cell r="T198">
            <v>0</v>
          </cell>
          <cell r="U198">
            <v>4.5125401036961946E-3</v>
          </cell>
          <cell r="V198">
            <v>1.2E-2</v>
          </cell>
          <cell r="W198">
            <v>0.31164999999999998</v>
          </cell>
          <cell r="X198">
            <v>9.0090000000000003</v>
          </cell>
          <cell r="Y198">
            <v>12.343961999999999</v>
          </cell>
          <cell r="AB198">
            <v>0</v>
          </cell>
          <cell r="AC198">
            <v>0.20642961712827801</v>
          </cell>
          <cell r="AD198">
            <v>5.9975024564841266E-2</v>
          </cell>
          <cell r="AE198">
            <v>2.1282002499999999</v>
          </cell>
          <cell r="AF198">
            <v>13.38029205968053</v>
          </cell>
          <cell r="AG198">
            <v>8.9002290289785222</v>
          </cell>
          <cell r="AH198">
            <v>202310</v>
          </cell>
        </row>
        <row r="199">
          <cell r="C199">
            <v>45207</v>
          </cell>
          <cell r="D199">
            <v>350466</v>
          </cell>
          <cell r="E199">
            <v>0</v>
          </cell>
          <cell r="F199">
            <v>22675.1</v>
          </cell>
          <cell r="G199">
            <v>3291</v>
          </cell>
          <cell r="H199">
            <v>2528</v>
          </cell>
          <cell r="I199">
            <v>179000</v>
          </cell>
          <cell r="J199">
            <v>182882.64</v>
          </cell>
          <cell r="K199">
            <v>48345.553350000002</v>
          </cell>
          <cell r="L199">
            <v>0</v>
          </cell>
          <cell r="M199">
            <v>311839</v>
          </cell>
          <cell r="N199">
            <v>8840</v>
          </cell>
          <cell r="O199">
            <v>3421</v>
          </cell>
          <cell r="P199">
            <v>156.238632</v>
          </cell>
          <cell r="Q199">
            <v>0</v>
          </cell>
          <cell r="R199">
            <v>138462.37672189999</v>
          </cell>
          <cell r="S199">
            <v>12.267129552282757</v>
          </cell>
          <cell r="T199">
            <v>0</v>
          </cell>
          <cell r="U199">
            <v>4.5941208618507298E-3</v>
          </cell>
          <cell r="V199">
            <v>1.2E-2</v>
          </cell>
          <cell r="W199">
            <v>0.31222000000000005</v>
          </cell>
          <cell r="X199">
            <v>9.0090000000000003</v>
          </cell>
          <cell r="Y199">
            <v>12.356504999999999</v>
          </cell>
          <cell r="AB199">
            <v>0</v>
          </cell>
          <cell r="AC199">
            <v>0.20784545812367086</v>
          </cell>
          <cell r="AD199">
            <v>5.816274809073841E-2</v>
          </cell>
          <cell r="AE199">
            <v>2.1301002499999999</v>
          </cell>
          <cell r="AF199">
            <v>13.380461960599975</v>
          </cell>
          <cell r="AG199">
            <v>8.8986496226929219</v>
          </cell>
          <cell r="AH199">
            <v>202310</v>
          </cell>
          <cell r="AI199" t="str">
            <v>Prev day data for ACG,BC-10,SCB.</v>
          </cell>
          <cell r="AJ199" t="str">
            <v>CPO-5:Indico-6 flowing with 24/64(2356 bopd) .Indico-7 with 34/64 (3939 bopd)
SPOC:Wells restarted on 7th Oct.
LZC:S/d due to compressor maintenance activity.More details sought.</v>
          </cell>
        </row>
        <row r="200">
          <cell r="C200">
            <v>45208</v>
          </cell>
          <cell r="D200">
            <v>354735</v>
          </cell>
          <cell r="E200">
            <v>0</v>
          </cell>
          <cell r="F200">
            <v>23012.5</v>
          </cell>
          <cell r="G200">
            <v>3274</v>
          </cell>
          <cell r="H200">
            <v>2571</v>
          </cell>
          <cell r="I200">
            <v>176000</v>
          </cell>
          <cell r="J200">
            <v>182785.92000000001</v>
          </cell>
          <cell r="K200">
            <v>43000.049999999996</v>
          </cell>
          <cell r="L200">
            <v>0</v>
          </cell>
          <cell r="M200">
            <v>346291</v>
          </cell>
          <cell r="N200">
            <v>9021</v>
          </cell>
          <cell r="O200">
            <v>3693</v>
          </cell>
          <cell r="P200">
            <v>161.39626799999999</v>
          </cell>
          <cell r="Q200">
            <v>0</v>
          </cell>
          <cell r="R200">
            <v>138379.25852060001</v>
          </cell>
          <cell r="S200">
            <v>9.7084217054087922</v>
          </cell>
          <cell r="T200">
            <v>0</v>
          </cell>
          <cell r="U200">
            <v>4.4160080646303097E-3</v>
          </cell>
          <cell r="V200">
            <v>1.2E-2</v>
          </cell>
          <cell r="W200">
            <v>0.31950000000000001</v>
          </cell>
          <cell r="X200">
            <v>9.0090000000000003</v>
          </cell>
          <cell r="Y200">
            <v>12.316409999999999</v>
          </cell>
          <cell r="AB200">
            <v>0</v>
          </cell>
          <cell r="AC200">
            <v>0.21152664471169227</v>
          </cell>
          <cell r="AD200">
            <v>5.9238787247236982E-2</v>
          </cell>
          <cell r="AE200">
            <v>2.1280002499999999</v>
          </cell>
          <cell r="AF200">
            <v>13.378706317765689</v>
          </cell>
          <cell r="AG200">
            <v>8.835865979377532</v>
          </cell>
          <cell r="AH200">
            <v>202310</v>
          </cell>
          <cell r="AI200" t="str">
            <v>Prev day data for ACG and SCB.(SCB DPR not being recvd due to network issues)</v>
          </cell>
          <cell r="AJ200" t="str">
            <v>CPO-5: Indico 6- 2718 bopd(24/64 for 10.5 hrs, 28/64 for 13.5 hrs) .
               Indico-7 with 34/64 (3936 bopd)
SPOC:Wells restarted on 7th Oct.Heating ongoing before starting export. Total tank dev during the day (at TJ and Heglig) is 10700 bbl.
LZC:S/d due to compressor maintenance activity.
GPOC:Prod'n deferment due to transmission line problem(feeder trip) in Unity, also in El nar,El toor and Munga.</v>
          </cell>
        </row>
        <row r="201">
          <cell r="C201">
            <v>45209</v>
          </cell>
          <cell r="D201">
            <v>354925</v>
          </cell>
          <cell r="E201">
            <v>0</v>
          </cell>
          <cell r="F201">
            <v>23735.690000000002</v>
          </cell>
          <cell r="G201">
            <v>3272</v>
          </cell>
          <cell r="H201">
            <v>2596</v>
          </cell>
          <cell r="I201">
            <v>176000</v>
          </cell>
          <cell r="J201">
            <v>182317.2</v>
          </cell>
          <cell r="K201">
            <v>48200.5</v>
          </cell>
          <cell r="L201">
            <v>0</v>
          </cell>
          <cell r="M201">
            <v>356543</v>
          </cell>
          <cell r="N201">
            <v>9018</v>
          </cell>
          <cell r="O201">
            <v>3330</v>
          </cell>
          <cell r="P201">
            <v>162.33973799999998</v>
          </cell>
          <cell r="Q201">
            <v>0</v>
          </cell>
          <cell r="R201">
            <v>140357.1003821</v>
          </cell>
          <cell r="S201">
            <v>12.137155348905695</v>
          </cell>
          <cell r="T201">
            <v>0</v>
          </cell>
          <cell r="U201">
            <v>4.1825075676701204E-3</v>
          </cell>
          <cell r="V201">
            <v>1.2E-2</v>
          </cell>
          <cell r="W201">
            <v>0.31995000000000001</v>
          </cell>
          <cell r="X201">
            <v>9.0090000000000003</v>
          </cell>
          <cell r="Y201">
            <v>12.321549999999998</v>
          </cell>
          <cell r="AB201">
            <v>0</v>
          </cell>
          <cell r="AC201">
            <v>0.20926129911906372</v>
          </cell>
          <cell r="AD201">
            <v>5.8389282650001269E-2</v>
          </cell>
          <cell r="AE201">
            <v>2.13560025</v>
          </cell>
          <cell r="AF201">
            <v>13.378932852324953</v>
          </cell>
          <cell r="AG201">
            <v>8.8964621972154312</v>
          </cell>
          <cell r="AH201">
            <v>202310</v>
          </cell>
          <cell r="AI201" t="str">
            <v>Prev day data for ACG,BC-10 and SCB.(SCB DPR not being recvd due to network issues)</v>
          </cell>
          <cell r="AJ201" t="str">
            <v>SPOC:Export not yet started. 28 wells flowing. Total stock dev at TJ and WHCC 11591 bbl.
Cpo-5: Ind 6- -3460 bopd(28/64 for 5hrs and 30/64 for 19 hrs), Ind 7 --3938 bopd with 34/64.</v>
          </cell>
        </row>
        <row r="202">
          <cell r="C202">
            <v>45210</v>
          </cell>
          <cell r="D202">
            <v>360194</v>
          </cell>
          <cell r="E202">
            <v>0</v>
          </cell>
          <cell r="F202">
            <v>23777.75</v>
          </cell>
          <cell r="G202">
            <v>3305</v>
          </cell>
          <cell r="H202">
            <v>2606</v>
          </cell>
          <cell r="I202">
            <v>176000</v>
          </cell>
          <cell r="J202">
            <v>117143</v>
          </cell>
          <cell r="K202">
            <v>47450.65</v>
          </cell>
          <cell r="L202">
            <v>0</v>
          </cell>
          <cell r="M202">
            <v>379745</v>
          </cell>
          <cell r="N202">
            <v>8898</v>
          </cell>
          <cell r="O202">
            <v>3347</v>
          </cell>
          <cell r="P202">
            <v>162.46553399999999</v>
          </cell>
          <cell r="Q202">
            <v>0</v>
          </cell>
          <cell r="R202">
            <v>124323.73839030002</v>
          </cell>
          <cell r="S202">
            <v>11.729393142232555</v>
          </cell>
          <cell r="T202">
            <v>0</v>
          </cell>
          <cell r="U202">
            <v>4.4298549895652514E-3</v>
          </cell>
          <cell r="V202">
            <v>1.2E-2</v>
          </cell>
          <cell r="W202">
            <v>0.31775999999999999</v>
          </cell>
          <cell r="X202">
            <v>9.0090000000000003</v>
          </cell>
          <cell r="Y202">
            <v>10.59</v>
          </cell>
          <cell r="AB202">
            <v>0</v>
          </cell>
          <cell r="AC202">
            <v>0.22738406386009222</v>
          </cell>
          <cell r="AD202">
            <v>5.9521955446315548E-2</v>
          </cell>
          <cell r="AE202">
            <v>2.1179002499999999</v>
          </cell>
          <cell r="AF202">
            <v>13.379669089642556</v>
          </cell>
          <cell r="AG202">
            <v>8.4294297670206397</v>
          </cell>
          <cell r="AH202">
            <v>202310</v>
          </cell>
          <cell r="AI202" t="str">
            <v>Prev day data for Acg,BC-10,SPOC</v>
          </cell>
          <cell r="AJ202" t="str">
            <v xml:space="preserve">Vankor:Deferment due to preparation of the oil gathering pipeline section to tie up in the junction point of the FWKF-Center for the construction and installation of the junction point.(likely to last 3 days)
SCB:Intermittent pumping. field prod 3350.
CPO-5:Indico 6 rate 3551 bopd(30/64), Ind 7 rate: 3934 bopd (34/64)
</v>
          </cell>
        </row>
        <row r="203">
          <cell r="C203">
            <v>45211</v>
          </cell>
          <cell r="D203">
            <v>355465</v>
          </cell>
          <cell r="E203">
            <v>0</v>
          </cell>
          <cell r="F203">
            <v>23728.37</v>
          </cell>
          <cell r="G203">
            <v>3289</v>
          </cell>
          <cell r="H203">
            <v>2525</v>
          </cell>
          <cell r="I203">
            <v>176000</v>
          </cell>
          <cell r="J203">
            <v>117909</v>
          </cell>
          <cell r="K203">
            <v>45717.520000000004</v>
          </cell>
          <cell r="L203">
            <v>4745</v>
          </cell>
          <cell r="M203">
            <v>397143</v>
          </cell>
          <cell r="N203">
            <v>8722</v>
          </cell>
          <cell r="O203">
            <v>5953</v>
          </cell>
          <cell r="P203">
            <v>154.22589599999998</v>
          </cell>
          <cell r="Q203">
            <v>0</v>
          </cell>
          <cell r="R203">
            <v>126716.79340319999</v>
          </cell>
          <cell r="S203">
            <v>12.517167072069141</v>
          </cell>
          <cell r="T203">
            <v>0</v>
          </cell>
          <cell r="U203">
            <v>4.6176238223742515E-3</v>
          </cell>
          <cell r="V203">
            <v>1.2E-2</v>
          </cell>
          <cell r="W203">
            <v>0.32016</v>
          </cell>
          <cell r="X203">
            <v>9.0090000000000003</v>
          </cell>
          <cell r="Y203">
            <v>10.130000000000001</v>
          </cell>
          <cell r="AB203">
            <v>0</v>
          </cell>
          <cell r="AC203">
            <v>0.23729495082784224</v>
          </cell>
          <cell r="AD203">
            <v>6.3288092494060547E-2</v>
          </cell>
          <cell r="AE203">
            <v>2.1264002500000001</v>
          </cell>
          <cell r="AF203">
            <v>13.37921602052403</v>
          </cell>
          <cell r="AG203">
            <v>8.3369034136182325</v>
          </cell>
          <cell r="AH203">
            <v>202310</v>
          </cell>
          <cell r="AI203" t="str">
            <v>Prev day data for Acg,BC-10,MECL,SCB,PCB</v>
          </cell>
          <cell r="AJ203" t="str">
            <v>CPO-5:Ind-6 flowing 3500 bopd(30/64).Ind 7 flowing with 3925 bopd(34/64)
GPOC:Deferment due to transmission line problem in Unity.
SPOC:Export from WHCC started. Dev in total stock at TJ and WHCC 8824 bopd. 29 wells flowing_x000D_
Vankor:Deferment due to preparation of the oil gathering pipeline section to tie up in the junction point of the FWKF-Center for the construction and installation of the junction point.</v>
          </cell>
        </row>
        <row r="204">
          <cell r="C204">
            <v>45212</v>
          </cell>
          <cell r="D204">
            <v>355553</v>
          </cell>
          <cell r="E204">
            <v>0</v>
          </cell>
          <cell r="F204">
            <v>23804.74</v>
          </cell>
          <cell r="G204">
            <v>3270</v>
          </cell>
          <cell r="H204">
            <v>2603</v>
          </cell>
          <cell r="I204">
            <v>176000</v>
          </cell>
          <cell r="J204">
            <v>171201.84</v>
          </cell>
          <cell r="K204">
            <v>48778.33</v>
          </cell>
          <cell r="L204">
            <v>7702</v>
          </cell>
          <cell r="M204">
            <v>405397</v>
          </cell>
          <cell r="N204">
            <v>9007</v>
          </cell>
          <cell r="O204">
            <v>1443</v>
          </cell>
          <cell r="P204">
            <v>158.25136799999999</v>
          </cell>
          <cell r="Q204">
            <v>0</v>
          </cell>
          <cell r="R204">
            <v>140734.82381559999</v>
          </cell>
          <cell r="S204">
            <v>12.609763073167832</v>
          </cell>
          <cell r="T204">
            <v>0</v>
          </cell>
          <cell r="U204">
            <v>4.3657457092938631E-3</v>
          </cell>
          <cell r="V204">
            <v>1.2E-2</v>
          </cell>
          <cell r="W204">
            <v>0.31944</v>
          </cell>
          <cell r="X204">
            <v>9.0090000000000003</v>
          </cell>
          <cell r="Y204">
            <v>11.418295000000001</v>
          </cell>
          <cell r="AB204">
            <v>0</v>
          </cell>
          <cell r="AC204">
            <v>0.24069296921678507</v>
          </cell>
          <cell r="AD204">
            <v>6.0399776863459126E-2</v>
          </cell>
          <cell r="AE204">
            <v>2.1262002500000001</v>
          </cell>
          <cell r="AF204">
            <v>13.378111664547625</v>
          </cell>
          <cell r="AG204">
            <v>8.67204348181901</v>
          </cell>
          <cell r="AH204">
            <v>202310</v>
          </cell>
        </row>
        <row r="205">
          <cell r="C205">
            <v>45213</v>
          </cell>
          <cell r="D205">
            <v>353668</v>
          </cell>
          <cell r="E205">
            <v>0</v>
          </cell>
          <cell r="F205">
            <v>23809.61</v>
          </cell>
          <cell r="G205">
            <v>3277</v>
          </cell>
          <cell r="H205">
            <v>2559</v>
          </cell>
          <cell r="I205">
            <v>176000</v>
          </cell>
          <cell r="J205">
            <v>178604.64</v>
          </cell>
          <cell r="K205">
            <v>49482.066610000002</v>
          </cell>
          <cell r="L205">
            <v>7696</v>
          </cell>
          <cell r="M205">
            <v>405684</v>
          </cell>
          <cell r="N205">
            <v>8969</v>
          </cell>
          <cell r="O205">
            <v>145</v>
          </cell>
          <cell r="P205">
            <v>132.40028999999998</v>
          </cell>
          <cell r="Q205">
            <v>0</v>
          </cell>
          <cell r="R205">
            <v>142229.87098299997</v>
          </cell>
          <cell r="S205">
            <v>13.276341013798787</v>
          </cell>
          <cell r="T205">
            <v>0</v>
          </cell>
          <cell r="U205">
            <v>4.3702480836592117E-3</v>
          </cell>
          <cell r="V205">
            <v>1.2E-2</v>
          </cell>
          <cell r="W205">
            <v>0.31877</v>
          </cell>
          <cell r="X205">
            <v>9.0090000000000003</v>
          </cell>
          <cell r="Y205">
            <v>12.318509000000001</v>
          </cell>
          <cell r="AB205">
            <v>0</v>
          </cell>
          <cell r="AC205">
            <v>0.24295831480941363</v>
          </cell>
          <cell r="AD205">
            <v>6.4222547551019818E-2</v>
          </cell>
          <cell r="AE205">
            <v>2.1155002500000002</v>
          </cell>
          <cell r="AF205">
            <v>13.375506517116101</v>
          </cell>
          <cell r="AG205">
            <v>8.9173506451364943</v>
          </cell>
          <cell r="AH205">
            <v>202310</v>
          </cell>
        </row>
        <row r="206">
          <cell r="C206">
            <v>45214</v>
          </cell>
          <cell r="D206">
            <v>345263</v>
          </cell>
          <cell r="E206">
            <v>0</v>
          </cell>
          <cell r="F206">
            <v>23808.53</v>
          </cell>
          <cell r="G206">
            <v>3303</v>
          </cell>
          <cell r="H206">
            <v>2573</v>
          </cell>
          <cell r="I206">
            <v>176000</v>
          </cell>
          <cell r="J206">
            <v>178314.48</v>
          </cell>
          <cell r="K206">
            <v>47033.279999999999</v>
          </cell>
          <cell r="L206">
            <v>7443</v>
          </cell>
          <cell r="M206">
            <v>401600</v>
          </cell>
          <cell r="N206">
            <v>9066</v>
          </cell>
          <cell r="O206">
            <v>6924</v>
          </cell>
          <cell r="P206">
            <v>164.60406599999999</v>
          </cell>
          <cell r="Q206">
            <v>0</v>
          </cell>
          <cell r="R206">
            <v>143886.68667970001</v>
          </cell>
          <cell r="S206">
            <v>12.554545274347509</v>
          </cell>
          <cell r="T206">
            <v>0</v>
          </cell>
          <cell r="U206">
            <v>4.229740023276426E-3</v>
          </cell>
          <cell r="V206">
            <v>1.2E-2</v>
          </cell>
          <cell r="W206">
            <v>0.31417</v>
          </cell>
          <cell r="X206">
            <v>9.0090000000000003</v>
          </cell>
          <cell r="Y206">
            <v>12.383782</v>
          </cell>
          <cell r="AB206">
            <v>0</v>
          </cell>
          <cell r="AC206">
            <v>0.24550682860112077</v>
          </cell>
          <cell r="AD206">
            <v>6.4505715750098391E-2</v>
          </cell>
          <cell r="AE206">
            <v>2.1199002500000002</v>
          </cell>
          <cell r="AF206">
            <v>8.562468320557727</v>
          </cell>
          <cell r="AG206">
            <v>8.0971068982946974</v>
          </cell>
          <cell r="AH206">
            <v>202310</v>
          </cell>
          <cell r="AI206" t="str">
            <v>Prev day data for BC-10,MECL,SCB.</v>
          </cell>
          <cell r="AJ206" t="str">
            <v>SPOC:Total stock dev at TJ and WHCC:5203 bbls
A1-A3:Reduced production due to pipeline maintenance job in China side. (Period 17th Oct to 21st Oct 2023 tentatively)
SCB:Intermittent pumping. Field prod 3.4k bopd</v>
          </cell>
        </row>
        <row r="207">
          <cell r="C207">
            <v>45215</v>
          </cell>
          <cell r="D207">
            <v>342965</v>
          </cell>
          <cell r="E207">
            <v>0</v>
          </cell>
          <cell r="F207">
            <v>23706.28</v>
          </cell>
          <cell r="G207">
            <v>3319</v>
          </cell>
          <cell r="H207">
            <v>2597</v>
          </cell>
          <cell r="I207">
            <v>179000</v>
          </cell>
          <cell r="J207">
            <v>177124.08000000002</v>
          </cell>
          <cell r="K207">
            <v>46797.351889999998</v>
          </cell>
          <cell r="L207">
            <v>8401</v>
          </cell>
          <cell r="M207">
            <v>387730</v>
          </cell>
          <cell r="N207">
            <v>8646</v>
          </cell>
          <cell r="O207">
            <v>7378</v>
          </cell>
          <cell r="P207">
            <v>158.50295999999997</v>
          </cell>
          <cell r="Q207">
            <v>0</v>
          </cell>
          <cell r="R207">
            <v>143834.51385450002</v>
          </cell>
          <cell r="S207">
            <v>13.323346934845828</v>
          </cell>
          <cell r="T207">
            <v>0</v>
          </cell>
          <cell r="U207">
            <v>4.2185548794128223E-3</v>
          </cell>
          <cell r="V207">
            <v>1.2E-2</v>
          </cell>
          <cell r="W207">
            <v>0.31629000000000002</v>
          </cell>
          <cell r="X207">
            <v>9.0090000000000003</v>
          </cell>
          <cell r="Y207">
            <v>12.298029</v>
          </cell>
          <cell r="AB207">
            <v>0</v>
          </cell>
          <cell r="AC207">
            <v>0.23248109144350654</v>
          </cell>
          <cell r="AD207">
            <v>6.5638388546412685E-2</v>
          </cell>
          <cell r="AE207">
            <v>2.11900025</v>
          </cell>
          <cell r="AF207">
            <v>8.5626099046572683</v>
          </cell>
          <cell r="AG207">
            <v>8.0933219143796151</v>
          </cell>
          <cell r="AH207">
            <v>202310</v>
          </cell>
          <cell r="AI207" t="str">
            <v>Prev day data for Acg,BC-10</v>
          </cell>
          <cell r="AJ207" t="str">
            <v>A1-A3:Reduced production due to pipeline maintenance job in China side. (Period 17th Oct to 21st Oct 2023 tentatively)
SPOC:Total stock dev at TJ and WHCC:2676 bbls
SCB:Intermittent pumping. Field prod 3.46k bopd</v>
          </cell>
        </row>
        <row r="208">
          <cell r="C208">
            <v>45216</v>
          </cell>
          <cell r="D208">
            <v>341090</v>
          </cell>
          <cell r="E208">
            <v>0</v>
          </cell>
          <cell r="F208">
            <v>23704.06</v>
          </cell>
          <cell r="G208">
            <v>3290</v>
          </cell>
          <cell r="H208">
            <v>2576</v>
          </cell>
          <cell r="I208">
            <v>179000</v>
          </cell>
          <cell r="J208">
            <v>178954.32</v>
          </cell>
          <cell r="K208">
            <v>51084.166200000007</v>
          </cell>
          <cell r="L208">
            <v>9983</v>
          </cell>
          <cell r="M208">
            <v>390995</v>
          </cell>
          <cell r="N208">
            <v>3517</v>
          </cell>
          <cell r="O208">
            <v>1802</v>
          </cell>
          <cell r="P208">
            <v>74.471232000000001</v>
          </cell>
          <cell r="Q208">
            <v>0</v>
          </cell>
          <cell r="R208">
            <v>142981.56655439996</v>
          </cell>
          <cell r="S208">
            <v>11.527777384488616</v>
          </cell>
          <cell r="T208">
            <v>0</v>
          </cell>
          <cell r="U208">
            <v>4.5093119862266986E-3</v>
          </cell>
          <cell r="V208">
            <v>1.2E-2</v>
          </cell>
          <cell r="W208">
            <v>0.32158999999999999</v>
          </cell>
          <cell r="X208">
            <v>9.0090000000000003</v>
          </cell>
          <cell r="Y208">
            <v>12.378489999999999</v>
          </cell>
          <cell r="AB208">
            <v>0</v>
          </cell>
          <cell r="AC208">
            <v>0.24352465120757077</v>
          </cell>
          <cell r="AD208">
            <v>6.6572843603371956E-2</v>
          </cell>
          <cell r="AE208">
            <v>2.12360025</v>
          </cell>
          <cell r="AF208">
            <v>8.5625249541975421</v>
          </cell>
          <cell r="AG208">
            <v>8.0819117797598103</v>
          </cell>
          <cell r="AH208">
            <v>202310</v>
          </cell>
          <cell r="AI208" t="str">
            <v>Prev day data for BC-10,SPOC</v>
          </cell>
          <cell r="AJ208" t="str">
            <v>PCB:General shutdown of the plant and wells, due to failure in the supply of diluent to Petrocarabobo.
SCB: Intermittent pumping. Field prod 3.5 k bopd.
A1-A3:Reduced production due to pipeline maintenance job in China side. (Period 17th Oct to 21st Oct 2023 tentatively)</v>
          </cell>
        </row>
        <row r="209">
          <cell r="C209">
            <v>45217</v>
          </cell>
          <cell r="D209">
            <v>352045</v>
          </cell>
          <cell r="E209">
            <v>0</v>
          </cell>
          <cell r="F209">
            <v>23716.09</v>
          </cell>
          <cell r="G209">
            <v>3271</v>
          </cell>
          <cell r="H209">
            <v>2587</v>
          </cell>
          <cell r="I209">
            <v>179000</v>
          </cell>
          <cell r="J209">
            <v>179147.76</v>
          </cell>
          <cell r="K209">
            <v>50411.068219999994</v>
          </cell>
          <cell r="L209">
            <v>8089</v>
          </cell>
          <cell r="M209">
            <v>384757</v>
          </cell>
          <cell r="N209">
            <v>8703</v>
          </cell>
          <cell r="O209">
            <v>3955</v>
          </cell>
          <cell r="P209">
            <v>170.26488599999999</v>
          </cell>
          <cell r="Q209">
            <v>0</v>
          </cell>
          <cell r="R209">
            <v>143894.88760370002</v>
          </cell>
          <cell r="S209">
            <v>9.5928890801847384</v>
          </cell>
          <cell r="T209">
            <v>0</v>
          </cell>
          <cell r="U209">
            <v>4.3784882782523992E-3</v>
          </cell>
          <cell r="V209">
            <v>1.2E-2</v>
          </cell>
          <cell r="W209">
            <v>0.32722000000000001</v>
          </cell>
          <cell r="X209">
            <v>9.0090000000000003</v>
          </cell>
          <cell r="Y209">
            <v>12.358491000000001</v>
          </cell>
          <cell r="AB209">
            <v>0</v>
          </cell>
          <cell r="AC209">
            <v>0.24833851059190645</v>
          </cell>
          <cell r="AD209">
            <v>6.7167496821436953E-2</v>
          </cell>
          <cell r="AE209">
            <v>2.1231002499999998</v>
          </cell>
          <cell r="AF209">
            <v>8.5562386201779983</v>
          </cell>
          <cell r="AG209">
            <v>8.0370282523709875</v>
          </cell>
          <cell r="AH209">
            <v>202310</v>
          </cell>
          <cell r="AI209" t="str">
            <v>Prev day data for ACG,BC-10</v>
          </cell>
          <cell r="AJ209" t="str">
            <v xml:space="preserve">SCB: Intermittent pumping. Field prod 3.5 k bopd.
A1-A3:Reduced production due to pipeline maintenance job in China side. (Period 17th Oct to 21st Oct 2023 tentatively)
SPOC:Pumping  reduced  to 50 m3/hr at 08.45 hrs , PETCO citing pour point increase to 36 in export line  </v>
          </cell>
        </row>
        <row r="210">
          <cell r="C210">
            <v>45218</v>
          </cell>
          <cell r="D210">
            <v>355724</v>
          </cell>
          <cell r="E210">
            <v>0</v>
          </cell>
          <cell r="F210">
            <v>23707.37</v>
          </cell>
          <cell r="G210">
            <v>3173</v>
          </cell>
          <cell r="H210">
            <v>2638</v>
          </cell>
          <cell r="I210">
            <v>179000</v>
          </cell>
          <cell r="J210">
            <v>179862</v>
          </cell>
          <cell r="K210">
            <v>50702.030000000006</v>
          </cell>
          <cell r="L210">
            <v>6898</v>
          </cell>
          <cell r="M210">
            <v>382063</v>
          </cell>
          <cell r="N210">
            <v>8944</v>
          </cell>
          <cell r="O210">
            <v>3432</v>
          </cell>
          <cell r="P210">
            <v>167.560272</v>
          </cell>
          <cell r="Q210">
            <v>0</v>
          </cell>
          <cell r="R210">
            <v>143655.21552239999</v>
          </cell>
          <cell r="S210">
            <v>12.574650216482089</v>
          </cell>
          <cell r="T210">
            <v>0</v>
          </cell>
          <cell r="U210">
            <v>4.489405261831475E-3</v>
          </cell>
          <cell r="V210">
            <v>1.2E-2</v>
          </cell>
          <cell r="W210">
            <v>0.32756999999999997</v>
          </cell>
          <cell r="X210">
            <v>9.0090000000000003</v>
          </cell>
          <cell r="Y210">
            <v>12.4</v>
          </cell>
          <cell r="AB210">
            <v>0</v>
          </cell>
          <cell r="AC210">
            <v>0.24720583779559221</v>
          </cell>
          <cell r="AD210">
            <v>6.7224130461252682E-2</v>
          </cell>
          <cell r="AE210">
            <v>2.1113002500000002</v>
          </cell>
          <cell r="AF210">
            <v>8.66050115107873</v>
          </cell>
          <cell r="AG210">
            <v>8.1294396062094183</v>
          </cell>
          <cell r="AH210">
            <v>202310</v>
          </cell>
          <cell r="AI210" t="str">
            <v>Prev day data for BC-10,MECL</v>
          </cell>
          <cell r="AJ210" t="str">
            <v>SCB: Intermittent pumping. Field prod 3.5 k bopd.
A1-A3:Reduced production due to pipeline maintenance job in China side. (Period 17th Oct to 21st Oct 2023 tentatively)
SPOC:Pumping speed varied during the day by PETCO to monitor export line parameters</v>
          </cell>
        </row>
        <row r="211">
          <cell r="C211">
            <v>45219</v>
          </cell>
          <cell r="D211">
            <v>357352</v>
          </cell>
          <cell r="E211">
            <v>0</v>
          </cell>
          <cell r="F211">
            <v>23692.639999999999</v>
          </cell>
          <cell r="G211">
            <v>3217</v>
          </cell>
          <cell r="H211">
            <v>2538</v>
          </cell>
          <cell r="I211">
            <v>179000</v>
          </cell>
          <cell r="J211">
            <v>180695.28</v>
          </cell>
          <cell r="K211">
            <v>48487.253380000002</v>
          </cell>
          <cell r="L211">
            <v>7398</v>
          </cell>
          <cell r="M211">
            <v>382011</v>
          </cell>
          <cell r="N211">
            <v>3548</v>
          </cell>
          <cell r="O211">
            <v>1440</v>
          </cell>
          <cell r="P211">
            <v>164.85565800000001</v>
          </cell>
          <cell r="Q211">
            <v>0</v>
          </cell>
          <cell r="R211">
            <v>141994.43789109998</v>
          </cell>
          <cell r="S211">
            <v>13.068212387476036</v>
          </cell>
          <cell r="T211">
            <v>0</v>
          </cell>
          <cell r="U211">
            <v>4.3514740320603033E-3</v>
          </cell>
          <cell r="V211">
            <v>1.2E-2</v>
          </cell>
          <cell r="W211">
            <v>0.31989999999999996</v>
          </cell>
          <cell r="X211">
            <v>9.0090000000000003</v>
          </cell>
          <cell r="Y211">
            <v>12.372487999999999</v>
          </cell>
          <cell r="AB211">
            <v>0</v>
          </cell>
          <cell r="AC211">
            <v>0.16565339646096383</v>
          </cell>
          <cell r="AD211">
            <v>6.7507298660331241E-2</v>
          </cell>
          <cell r="AE211">
            <v>2.10760025</v>
          </cell>
          <cell r="AF211">
            <v>11.334231920418409</v>
          </cell>
          <cell r="AG211">
            <v>8.5699329500191066</v>
          </cell>
          <cell r="AH211">
            <v>202310</v>
          </cell>
          <cell r="AJ211" t="str">
            <v xml:space="preserve">PCB:Diluent issue
</v>
          </cell>
        </row>
        <row r="212">
          <cell r="C212">
            <v>45220</v>
          </cell>
          <cell r="D212">
            <v>286029</v>
          </cell>
          <cell r="E212">
            <v>0</v>
          </cell>
          <cell r="F212">
            <v>23949.01</v>
          </cell>
          <cell r="G212">
            <v>3223</v>
          </cell>
          <cell r="H212">
            <v>2649</v>
          </cell>
          <cell r="I212">
            <v>179000</v>
          </cell>
          <cell r="J212">
            <v>182480.88</v>
          </cell>
          <cell r="K212">
            <v>50431.568589999995</v>
          </cell>
          <cell r="L212">
            <v>7448</v>
          </cell>
          <cell r="M212">
            <v>391674</v>
          </cell>
          <cell r="N212">
            <v>8876</v>
          </cell>
          <cell r="O212">
            <v>3853</v>
          </cell>
          <cell r="P212">
            <v>108.24745799999999</v>
          </cell>
          <cell r="Q212">
            <v>0</v>
          </cell>
          <cell r="R212">
            <v>143515.05920359999</v>
          </cell>
          <cell r="S212">
            <v>10.549431256672149</v>
          </cell>
          <cell r="T212">
            <v>0</v>
          </cell>
          <cell r="U212">
            <v>4.4980418919033718E-3</v>
          </cell>
          <cell r="V212">
            <v>1.2E-2</v>
          </cell>
          <cell r="W212">
            <v>0.32662999999999998</v>
          </cell>
          <cell r="X212">
            <v>9.0090000000000003</v>
          </cell>
          <cell r="Y212">
            <v>12.365584</v>
          </cell>
          <cell r="AB212">
            <v>0</v>
          </cell>
          <cell r="AC212">
            <v>0.2355959416333708</v>
          </cell>
          <cell r="AD212">
            <v>6.4987101688531959E-2</v>
          </cell>
          <cell r="AE212">
            <v>2.1104002500000001</v>
          </cell>
          <cell r="AF212">
            <v>13.726861618532791</v>
          </cell>
          <cell r="AG212">
            <v>8.9314793132591177</v>
          </cell>
          <cell r="AH212">
            <v>202310</v>
          </cell>
          <cell r="AJ212" t="str">
            <v>_x000D_
CPO-5: Indico-6 choke size change from 30 to 34/64 inch</v>
          </cell>
        </row>
        <row r="213">
          <cell r="C213">
            <v>45221</v>
          </cell>
          <cell r="D213">
            <v>323106</v>
          </cell>
          <cell r="E213">
            <v>0</v>
          </cell>
          <cell r="F213">
            <v>24123.91</v>
          </cell>
          <cell r="G213">
            <v>3201</v>
          </cell>
          <cell r="H213">
            <v>2655</v>
          </cell>
          <cell r="I213">
            <v>179000</v>
          </cell>
          <cell r="J213">
            <v>184645.92</v>
          </cell>
          <cell r="K213">
            <v>49306.02304</v>
          </cell>
          <cell r="L213">
            <v>7527</v>
          </cell>
          <cell r="M213">
            <v>381644</v>
          </cell>
          <cell r="N213">
            <v>9042</v>
          </cell>
          <cell r="O213">
            <v>4598</v>
          </cell>
          <cell r="P213">
            <v>168.12635399999999</v>
          </cell>
          <cell r="Q213">
            <v>0</v>
          </cell>
          <cell r="R213">
            <v>144731.55616930002</v>
          </cell>
          <cell r="S213">
            <v>8.1487312648840309</v>
          </cell>
          <cell r="T213">
            <v>0</v>
          </cell>
          <cell r="U213">
            <v>4.0382050534196806E-3</v>
          </cell>
          <cell r="V213">
            <v>1.2E-2</v>
          </cell>
          <cell r="W213">
            <v>0.32877999999999996</v>
          </cell>
          <cell r="X213">
            <v>9.0090000000000003</v>
          </cell>
          <cell r="Y213">
            <v>12.344875</v>
          </cell>
          <cell r="AB213">
            <v>0</v>
          </cell>
          <cell r="AC213">
            <v>0.24409098760572789</v>
          </cell>
          <cell r="AD213">
            <v>6.5921556745491244E-2</v>
          </cell>
          <cell r="AE213">
            <v>2.1006002499999998</v>
          </cell>
          <cell r="AF213">
            <v>13.811727127796638</v>
          </cell>
          <cell r="AG213">
            <v>8.8837922913164711</v>
          </cell>
          <cell r="AH213">
            <v>202310</v>
          </cell>
        </row>
        <row r="214">
          <cell r="C214">
            <v>45222</v>
          </cell>
          <cell r="D214">
            <v>333875</v>
          </cell>
          <cell r="E214">
            <v>0</v>
          </cell>
          <cell r="F214">
            <v>24118.57</v>
          </cell>
          <cell r="G214">
            <v>3061</v>
          </cell>
          <cell r="H214">
            <v>2609</v>
          </cell>
          <cell r="I214">
            <v>177600</v>
          </cell>
          <cell r="J214">
            <v>184861.68000000002</v>
          </cell>
          <cell r="K214">
            <v>48852.359509999995</v>
          </cell>
          <cell r="L214">
            <v>7488</v>
          </cell>
          <cell r="M214">
            <v>387621</v>
          </cell>
          <cell r="N214">
            <v>4983</v>
          </cell>
          <cell r="O214">
            <v>3631</v>
          </cell>
          <cell r="P214">
            <v>163.40900399999998</v>
          </cell>
          <cell r="Q214">
            <v>0</v>
          </cell>
          <cell r="R214">
            <v>143917.5222293</v>
          </cell>
          <cell r="S214">
            <v>11.554678363401075</v>
          </cell>
          <cell r="T214">
            <v>0</v>
          </cell>
          <cell r="U214">
            <v>4.4087306419139903E-3</v>
          </cell>
          <cell r="V214">
            <v>1.2E-2</v>
          </cell>
          <cell r="W214">
            <v>0.32658999999999999</v>
          </cell>
          <cell r="X214">
            <v>9.0090000000000003</v>
          </cell>
          <cell r="Y214">
            <v>12.395333000000001</v>
          </cell>
          <cell r="AB214">
            <v>0</v>
          </cell>
          <cell r="AC214">
            <v>0.26023157495320642</v>
          </cell>
          <cell r="AD214">
            <v>6.7167496821436953E-2</v>
          </cell>
          <cell r="AE214">
            <v>2.0999002500000001</v>
          </cell>
          <cell r="AF214">
            <v>13.814219007948532</v>
          </cell>
          <cell r="AG214">
            <v>8.9760405774685825</v>
          </cell>
          <cell r="AH214">
            <v>202310</v>
          </cell>
          <cell r="AJ214" t="str">
            <v xml:space="preserve">PCB:Deferment due to electrical flickering
</v>
          </cell>
        </row>
        <row r="215">
          <cell r="C215">
            <v>45223</v>
          </cell>
          <cell r="D215">
            <v>348244</v>
          </cell>
          <cell r="E215">
            <v>0</v>
          </cell>
          <cell r="F215">
            <v>24110.15</v>
          </cell>
          <cell r="G215">
            <v>3055</v>
          </cell>
          <cell r="H215">
            <v>2629</v>
          </cell>
          <cell r="I215">
            <v>177600</v>
          </cell>
          <cell r="J215">
            <v>182168.40000000002</v>
          </cell>
          <cell r="K215">
            <v>48877.255240000006</v>
          </cell>
          <cell r="L215">
            <v>5939</v>
          </cell>
          <cell r="M215">
            <v>385468</v>
          </cell>
          <cell r="N215">
            <v>8101.0000000000009</v>
          </cell>
          <cell r="O215">
            <v>3375</v>
          </cell>
          <cell r="P215">
            <v>165.23304599999997</v>
          </cell>
          <cell r="Q215">
            <v>0</v>
          </cell>
          <cell r="R215">
            <v>143348.1078307</v>
          </cell>
          <cell r="S215">
            <v>11.456985334718967</v>
          </cell>
          <cell r="T215">
            <v>0</v>
          </cell>
          <cell r="U215">
            <v>4.3488405678088725E-3</v>
          </cell>
          <cell r="V215">
            <v>1.2E-2</v>
          </cell>
          <cell r="W215">
            <v>0.32249</v>
          </cell>
          <cell r="X215">
            <v>9.0090000000000003</v>
          </cell>
          <cell r="Y215">
            <v>12.248932</v>
          </cell>
          <cell r="AB215">
            <v>0</v>
          </cell>
          <cell r="AC215">
            <v>0.22823356845732798</v>
          </cell>
          <cell r="AD215">
            <v>6.572333900613625E-2</v>
          </cell>
          <cell r="AE215">
            <v>2.0899002499999999</v>
          </cell>
          <cell r="AF215">
            <v>13.80762118891</v>
          </cell>
          <cell r="AG215">
            <v>8.9218586123769352</v>
          </cell>
          <cell r="AH215">
            <v>202310</v>
          </cell>
          <cell r="AI215" t="str">
            <v>Prev day data for ACG,BC-10,SPOC, SCB.</v>
          </cell>
          <cell r="AJ215" t="str">
            <v xml:space="preserve">ACG:Deferment due to west azeri s/d on 21st oct.(ramp up ongoing)
MECL:Deferment due to sand problem in 2 wells, and gas lock in 2 wells.
SPOC: Export rate clamped around 50 m3/hr by PETCO.Delegation from SPOC to visit port sudan for meeting with PETCO.
SCB:Field prod 3.5k bopd.
</v>
          </cell>
        </row>
        <row r="216">
          <cell r="C216">
            <v>45224</v>
          </cell>
          <cell r="D216">
            <v>361529</v>
          </cell>
          <cell r="E216">
            <v>0</v>
          </cell>
          <cell r="F216">
            <v>24083.56</v>
          </cell>
          <cell r="G216">
            <v>3106</v>
          </cell>
          <cell r="H216">
            <v>2587</v>
          </cell>
          <cell r="I216">
            <v>177600</v>
          </cell>
          <cell r="J216">
            <v>182510.64</v>
          </cell>
          <cell r="K216">
            <v>50190.55027</v>
          </cell>
          <cell r="L216">
            <v>5395</v>
          </cell>
          <cell r="M216">
            <v>375971</v>
          </cell>
          <cell r="N216">
            <v>6075</v>
          </cell>
          <cell r="O216">
            <v>3420</v>
          </cell>
          <cell r="P216">
            <v>82.081890000000001</v>
          </cell>
          <cell r="Q216">
            <v>0</v>
          </cell>
          <cell r="R216">
            <v>143283.78646800001</v>
          </cell>
          <cell r="S216">
            <v>13.347982568165667</v>
          </cell>
          <cell r="T216">
            <v>0</v>
          </cell>
          <cell r="U216">
            <v>4.2390845738460182E-3</v>
          </cell>
          <cell r="V216">
            <v>1.2E-2</v>
          </cell>
          <cell r="W216">
            <v>0.30881000000000003</v>
          </cell>
          <cell r="X216">
            <v>9.0090000000000003</v>
          </cell>
          <cell r="Y216">
            <v>12.40357</v>
          </cell>
          <cell r="AB216">
            <v>0</v>
          </cell>
          <cell r="AC216">
            <v>0.2055801125310423</v>
          </cell>
          <cell r="AD216">
            <v>6.0682945062537685E-2</v>
          </cell>
          <cell r="AE216">
            <v>2.0940002500000001</v>
          </cell>
          <cell r="AF216">
            <v>13.528049225959727</v>
          </cell>
          <cell r="AG216">
            <v>8.9417994278429038</v>
          </cell>
          <cell r="AH216">
            <v>202310</v>
          </cell>
          <cell r="AI216" t="str">
            <v>Prev day data for BC-10,SCB.</v>
          </cell>
          <cell r="AJ216" t="str">
            <v>SPOC:PETCO stopped oil export from 09.00 hrs to 16.00 hrs citing high export line pour point.Approx field oil prod'n 11269 bbl.
PCB:Macolla 3 &amp; 5 wells shutdown due to reduction in the diluent flowrate to PCB reported on 24.10.2023 . Restarted after diluent supply reestablished.</v>
          </cell>
        </row>
        <row r="217">
          <cell r="C217">
            <v>45225</v>
          </cell>
          <cell r="D217">
            <v>361601</v>
          </cell>
          <cell r="E217">
            <v>0</v>
          </cell>
          <cell r="F217">
            <v>24039.54</v>
          </cell>
          <cell r="G217">
            <v>3062</v>
          </cell>
          <cell r="H217">
            <v>2582</v>
          </cell>
          <cell r="I217">
            <v>177600</v>
          </cell>
          <cell r="J217">
            <v>181781.52000000002</v>
          </cell>
          <cell r="K217">
            <v>48881.424919999998</v>
          </cell>
          <cell r="L217">
            <v>4601</v>
          </cell>
          <cell r="M217">
            <v>381302</v>
          </cell>
          <cell r="N217">
            <v>8631</v>
          </cell>
          <cell r="O217">
            <v>1006</v>
          </cell>
          <cell r="P217">
            <v>170.45357999999999</v>
          </cell>
          <cell r="Q217">
            <v>0</v>
          </cell>
          <cell r="R217">
            <v>142087.79789100002</v>
          </cell>
          <cell r="S217">
            <v>13.69316460284244</v>
          </cell>
          <cell r="T217">
            <v>0</v>
          </cell>
          <cell r="U217">
            <v>4.3025708840794341E-3</v>
          </cell>
          <cell r="V217">
            <v>1.2E-2</v>
          </cell>
          <cell r="W217">
            <v>0.3236</v>
          </cell>
          <cell r="X217">
            <v>9.0090000000000003</v>
          </cell>
          <cell r="Y217">
            <v>12.393772999999999</v>
          </cell>
          <cell r="AB217">
            <v>0</v>
          </cell>
          <cell r="AC217">
            <v>0.2296494094527208</v>
          </cell>
          <cell r="AD217">
            <v>5.8672450849079842E-2</v>
          </cell>
          <cell r="AE217">
            <v>1.98630025</v>
          </cell>
          <cell r="AF217">
            <v>13.819259401892129</v>
          </cell>
          <cell r="AG217">
            <v>8.9649445081456101</v>
          </cell>
          <cell r="AH217">
            <v>202310</v>
          </cell>
          <cell r="AI217" t="str">
            <v>Prev day data for ACG,BC-10,MECL,Vankor</v>
          </cell>
          <cell r="AJ217" t="str">
            <v>SPOC:PETCO  stopped oil export from 08.50 hrs to 18.26 hrs citing high export line pour point. Approx feld prod'n from wells:11k bopd.
SCB: Field prod'n 2.6k bopd. Deferment due to power trip.</v>
          </cell>
        </row>
        <row r="218">
          <cell r="C218">
            <v>45226</v>
          </cell>
          <cell r="D218">
            <v>337668</v>
          </cell>
          <cell r="E218">
            <v>0</v>
          </cell>
          <cell r="F218">
            <v>24068.44</v>
          </cell>
          <cell r="G218">
            <v>3064</v>
          </cell>
          <cell r="H218">
            <v>2583</v>
          </cell>
          <cell r="I218">
            <v>177600</v>
          </cell>
          <cell r="J218">
            <v>180829.2</v>
          </cell>
          <cell r="K218">
            <v>48521.315910000005</v>
          </cell>
          <cell r="L218">
            <v>9343</v>
          </cell>
          <cell r="M218">
            <v>378264</v>
          </cell>
          <cell r="N218">
            <v>9084</v>
          </cell>
          <cell r="O218">
            <v>147</v>
          </cell>
          <cell r="P218">
            <v>149.57144399999999</v>
          </cell>
          <cell r="Q218">
            <v>0</v>
          </cell>
          <cell r="R218">
            <v>141938.8656773</v>
          </cell>
          <cell r="S218">
            <v>13.567154754252478</v>
          </cell>
          <cell r="T218">
            <v>0</v>
          </cell>
          <cell r="U218">
            <v>4.2896300973815429E-3</v>
          </cell>
          <cell r="V218">
            <v>1.2E-2</v>
          </cell>
          <cell r="W218">
            <v>0.32033</v>
          </cell>
          <cell r="X218">
            <v>9.0090000000000003</v>
          </cell>
          <cell r="Y218">
            <v>12.465406999999999</v>
          </cell>
          <cell r="AB218">
            <v>0</v>
          </cell>
          <cell r="AC218">
            <v>0.2327642596425851</v>
          </cell>
          <cell r="AD218">
            <v>5.9295420887052697E-2</v>
          </cell>
          <cell r="AE218">
            <v>1.88900025</v>
          </cell>
          <cell r="AF218">
            <v>13.953197960056293</v>
          </cell>
          <cell r="AG218">
            <v>8.9569558385164747</v>
          </cell>
          <cell r="AH218">
            <v>202310</v>
          </cell>
        </row>
        <row r="219">
          <cell r="C219">
            <v>45227</v>
          </cell>
          <cell r="D219">
            <v>340463</v>
          </cell>
          <cell r="E219">
            <v>0</v>
          </cell>
          <cell r="F219">
            <v>24045.33</v>
          </cell>
          <cell r="G219">
            <v>2992</v>
          </cell>
          <cell r="H219">
            <v>2563</v>
          </cell>
          <cell r="I219">
            <v>177600</v>
          </cell>
          <cell r="J219">
            <v>181528.56</v>
          </cell>
          <cell r="K219">
            <v>49513.354189999998</v>
          </cell>
          <cell r="L219">
            <v>7331</v>
          </cell>
          <cell r="M219">
            <v>392924</v>
          </cell>
          <cell r="N219">
            <v>9085</v>
          </cell>
          <cell r="O219">
            <v>5887</v>
          </cell>
          <cell r="P219">
            <v>96.422633999999988</v>
          </cell>
          <cell r="Q219">
            <v>0</v>
          </cell>
          <cell r="R219">
            <v>144734.2943828</v>
          </cell>
          <cell r="S219">
            <v>12.590224467431407</v>
          </cell>
          <cell r="T219">
            <v>0</v>
          </cell>
          <cell r="U219">
            <v>4.2304196269542143E-3</v>
          </cell>
          <cell r="V219">
            <v>1.2E-2</v>
          </cell>
          <cell r="W219">
            <v>0.31880000000000003</v>
          </cell>
          <cell r="X219">
            <v>9.0090000000000003</v>
          </cell>
          <cell r="Y219">
            <v>12.380549999999999</v>
          </cell>
          <cell r="AB219">
            <v>0</v>
          </cell>
          <cell r="AC219">
            <v>0.23191475504534936</v>
          </cell>
          <cell r="AD219">
            <v>5.8417599469909133E-2</v>
          </cell>
          <cell r="AE219">
            <v>1.86960025</v>
          </cell>
          <cell r="AF219">
            <v>13.377885129988361</v>
          </cell>
          <cell r="AG219">
            <v>8.8037767263775066</v>
          </cell>
          <cell r="AH219">
            <v>202310</v>
          </cell>
        </row>
        <row r="220">
          <cell r="C220">
            <v>45228</v>
          </cell>
          <cell r="D220">
            <v>347717</v>
          </cell>
          <cell r="E220">
            <v>0</v>
          </cell>
          <cell r="F220">
            <v>24033.7</v>
          </cell>
          <cell r="G220">
            <v>3037</v>
          </cell>
          <cell r="H220">
            <v>2578</v>
          </cell>
          <cell r="I220">
            <v>177600</v>
          </cell>
          <cell r="J220">
            <v>180866.40000000002</v>
          </cell>
          <cell r="K220">
            <v>50254.736490000003</v>
          </cell>
          <cell r="L220">
            <v>6840</v>
          </cell>
          <cell r="M220">
            <v>395743</v>
          </cell>
          <cell r="N220">
            <v>9113</v>
          </cell>
          <cell r="O220">
            <v>7336</v>
          </cell>
          <cell r="P220">
            <v>162.59133</v>
          </cell>
          <cell r="Q220">
            <v>0</v>
          </cell>
          <cell r="R220">
            <v>145551.166921</v>
          </cell>
          <cell r="S220">
            <v>12.838562978023315</v>
          </cell>
          <cell r="T220">
            <v>0</v>
          </cell>
          <cell r="U220">
            <v>4.0944705745765923E-3</v>
          </cell>
          <cell r="V220">
            <v>1.2E-2</v>
          </cell>
          <cell r="W220">
            <v>0.31774999999999998</v>
          </cell>
          <cell r="X220">
            <v>9.0090000000000003</v>
          </cell>
          <cell r="Y220">
            <v>12.488647</v>
          </cell>
          <cell r="AB220">
            <v>0</v>
          </cell>
          <cell r="AC220">
            <v>0.22653455926285654</v>
          </cell>
          <cell r="AD220">
            <v>5.9521955446315548E-2</v>
          </cell>
          <cell r="AE220">
            <v>1.87370025</v>
          </cell>
          <cell r="AF220">
            <v>13.952914791857214</v>
          </cell>
          <cell r="AG220">
            <v>8.9359233650077101</v>
          </cell>
          <cell r="AH220">
            <v>202310</v>
          </cell>
          <cell r="AI220" t="str">
            <v>Prev day data for ACG,BC-10,Myanamar</v>
          </cell>
          <cell r="AJ220" t="str">
            <v>BC-10:Details sough from operator about flotal campaign status.
SPOC:Field prod'n about 11k bopd.</v>
          </cell>
        </row>
        <row r="221">
          <cell r="C221">
            <v>45229</v>
          </cell>
          <cell r="D221">
            <v>339472</v>
          </cell>
          <cell r="E221">
            <v>0</v>
          </cell>
          <cell r="F221">
            <v>24004.19</v>
          </cell>
          <cell r="G221">
            <v>3145</v>
          </cell>
          <cell r="H221">
            <v>2585</v>
          </cell>
          <cell r="I221">
            <v>184600</v>
          </cell>
          <cell r="J221">
            <v>184140.84072000001</v>
          </cell>
          <cell r="K221">
            <v>50811.062189999997</v>
          </cell>
          <cell r="L221">
            <v>8767</v>
          </cell>
          <cell r="M221">
            <v>396404</v>
          </cell>
          <cell r="N221">
            <v>9059</v>
          </cell>
          <cell r="O221">
            <v>728</v>
          </cell>
          <cell r="P221">
            <v>142.401072</v>
          </cell>
          <cell r="Q221">
            <v>0</v>
          </cell>
          <cell r="R221">
            <v>145624.58956710002</v>
          </cell>
          <cell r="S221">
            <v>12.515184894675588</v>
          </cell>
          <cell r="T221">
            <v>0</v>
          </cell>
          <cell r="U221">
            <v>4.3497750228658318E-3</v>
          </cell>
          <cell r="V221">
            <v>1.2E-2</v>
          </cell>
          <cell r="W221">
            <v>0.32312999999999997</v>
          </cell>
          <cell r="X221">
            <v>9.0090000000000003</v>
          </cell>
          <cell r="Y221">
            <v>12.691735000000001</v>
          </cell>
          <cell r="AB221">
            <v>0</v>
          </cell>
          <cell r="AC221">
            <v>0.22908307305456366</v>
          </cell>
          <cell r="AD221">
            <v>5.8672450849079842E-2</v>
          </cell>
          <cell r="AE221">
            <v>1.86310025</v>
          </cell>
          <cell r="AF221">
            <v>13.953452811435463</v>
          </cell>
          <cell r="AG221">
            <v>8.9820769224026744</v>
          </cell>
          <cell r="AH221">
            <v>202310</v>
          </cell>
          <cell r="AI221" t="str">
            <v>Prev day data for BC-10.</v>
          </cell>
          <cell r="AJ221" t="str">
            <v>BC-10:Prod'n reading from fiscal meters due to hot oil circulation. Wells remained closed.
SPOC:Field prod'n about 11k bopd.
SCB:Intermittent pumping. Field prod'n 3.3k bopd.</v>
          </cell>
        </row>
        <row r="222">
          <cell r="C222">
            <v>45230</v>
          </cell>
          <cell r="D222">
            <v>349042</v>
          </cell>
          <cell r="E222">
            <v>0</v>
          </cell>
          <cell r="F222">
            <v>23968.07</v>
          </cell>
          <cell r="G222">
            <v>3130</v>
          </cell>
          <cell r="H222">
            <v>2596</v>
          </cell>
          <cell r="I222">
            <v>184600</v>
          </cell>
          <cell r="J222">
            <v>181431.84</v>
          </cell>
          <cell r="K222">
            <v>48759.037510000002</v>
          </cell>
          <cell r="L222">
            <v>7549</v>
          </cell>
          <cell r="M222">
            <v>389593</v>
          </cell>
          <cell r="N222">
            <v>9068</v>
          </cell>
          <cell r="O222">
            <v>1296</v>
          </cell>
          <cell r="P222">
            <v>152.71634399999999</v>
          </cell>
          <cell r="Q222">
            <v>0</v>
          </cell>
          <cell r="R222">
            <v>144273.07558229999</v>
          </cell>
          <cell r="S222">
            <v>12.290349344607202</v>
          </cell>
          <cell r="T222">
            <v>0</v>
          </cell>
          <cell r="U222">
            <v>4.3251393895459966E-3</v>
          </cell>
          <cell r="V222">
            <v>1.2E-2</v>
          </cell>
          <cell r="W222">
            <v>0.32600999999999997</v>
          </cell>
          <cell r="X222">
            <v>9.0090000000000003</v>
          </cell>
          <cell r="Y222">
            <v>12.487112</v>
          </cell>
          <cell r="AA222">
            <v>0</v>
          </cell>
          <cell r="AB222">
            <v>0</v>
          </cell>
          <cell r="AC222">
            <v>0.2268177274619351</v>
          </cell>
          <cell r="AD222">
            <v>6.0937796441708408E-2</v>
          </cell>
          <cell r="AE222">
            <v>1.8603002500000001</v>
          </cell>
          <cell r="AF222">
            <v>13.988055965362864</v>
          </cell>
          <cell r="AG222">
            <v>8.931823482642292</v>
          </cell>
          <cell r="AH222">
            <v>202310</v>
          </cell>
          <cell r="AI222" t="str">
            <v>Prev day data for ACG,CPo-5,MECL,Vankor, Myanamar</v>
          </cell>
          <cell r="AJ222" t="str">
            <v>SPOC: Export clamped on 50 m3/hr by PETCO. Field prod'n around 11200 bopd.</v>
          </cell>
        </row>
        <row r="223">
          <cell r="C223">
            <v>45231</v>
          </cell>
          <cell r="D223">
            <v>352519</v>
          </cell>
          <cell r="E223">
            <v>0</v>
          </cell>
          <cell r="F223">
            <v>23898.12</v>
          </cell>
          <cell r="G223">
            <v>3132</v>
          </cell>
          <cell r="H223">
            <v>2629</v>
          </cell>
          <cell r="I223">
            <v>184600</v>
          </cell>
          <cell r="J223">
            <v>182101.44</v>
          </cell>
          <cell r="K223">
            <v>50551.983460000003</v>
          </cell>
          <cell r="L223">
            <v>4839</v>
          </cell>
          <cell r="M223">
            <v>373494</v>
          </cell>
          <cell r="N223">
            <v>9007</v>
          </cell>
          <cell r="O223">
            <v>6865</v>
          </cell>
          <cell r="P223">
            <v>109.56831600000001</v>
          </cell>
          <cell r="Q223">
            <v>0</v>
          </cell>
          <cell r="R223">
            <v>145864.48765719999</v>
          </cell>
          <cell r="S223">
            <v>12.068345476529604</v>
          </cell>
          <cell r="T223">
            <v>0</v>
          </cell>
          <cell r="U223">
            <v>4.2983233610932557E-3</v>
          </cell>
          <cell r="V223">
            <v>1.2E-2</v>
          </cell>
          <cell r="W223">
            <v>0.32107999999999998</v>
          </cell>
          <cell r="X223">
            <v>11.566000000000001</v>
          </cell>
          <cell r="Y223">
            <v>12.531803</v>
          </cell>
          <cell r="AB223">
            <v>0</v>
          </cell>
          <cell r="AC223">
            <v>0.22511871826746369</v>
          </cell>
          <cell r="AD223">
            <v>5.9918390925025558E-2</v>
          </cell>
          <cell r="AE223">
            <v>1.86150025</v>
          </cell>
          <cell r="AF223">
            <v>12.775388152808887</v>
          </cell>
          <cell r="AG223">
            <v>9.2385579007175416</v>
          </cell>
          <cell r="AH223">
            <v>202311</v>
          </cell>
          <cell r="AI223" t="str">
            <v>Prev day data for ACG,BC-10,MECL,SCB</v>
          </cell>
          <cell r="AJ223" t="str">
            <v>LZC:Quota for the month is 385k bopd.
SPOC: Export temporarily stopped for about 8.5 hrs during the day.Field prod'n about 10900 bopd.</v>
          </cell>
        </row>
        <row r="224">
          <cell r="C224">
            <v>45232</v>
          </cell>
          <cell r="D224">
            <v>349134</v>
          </cell>
          <cell r="E224">
            <v>0</v>
          </cell>
          <cell r="F224">
            <v>23825.87</v>
          </cell>
          <cell r="G224">
            <v>3162</v>
          </cell>
          <cell r="H224">
            <v>2626</v>
          </cell>
          <cell r="I224">
            <v>184600</v>
          </cell>
          <cell r="J224">
            <v>183113.28</v>
          </cell>
          <cell r="K224">
            <v>49526.955419999991</v>
          </cell>
          <cell r="L224">
            <v>7747</v>
          </cell>
          <cell r="M224">
            <v>391541</v>
          </cell>
          <cell r="N224">
            <v>9047</v>
          </cell>
          <cell r="O224">
            <v>5558</v>
          </cell>
          <cell r="P224">
            <v>119.380404</v>
          </cell>
          <cell r="Q224">
            <v>0</v>
          </cell>
          <cell r="R224">
            <v>146663.99098680002</v>
          </cell>
          <cell r="S224">
            <v>11.7208980962602</v>
          </cell>
          <cell r="T224">
            <v>0</v>
          </cell>
          <cell r="U224">
            <v>4.4643448762130217E-3</v>
          </cell>
          <cell r="V224">
            <v>1.2E-2</v>
          </cell>
          <cell r="W224">
            <v>0.32004000000000005</v>
          </cell>
          <cell r="X224">
            <v>11.566000000000001</v>
          </cell>
          <cell r="Y224">
            <v>12.324819999999999</v>
          </cell>
          <cell r="AB224">
            <v>0</v>
          </cell>
          <cell r="AC224">
            <v>0.24748900599467077</v>
          </cell>
          <cell r="AD224">
            <v>6.3004924294981973E-2</v>
          </cell>
          <cell r="AE224">
            <v>1.8600002499999999</v>
          </cell>
          <cell r="AF224">
            <v>12.773802410894046</v>
          </cell>
          <cell r="AG224">
            <v>9.1785432701663545</v>
          </cell>
          <cell r="AH224">
            <v>202311</v>
          </cell>
          <cell r="AI224" t="str">
            <v>Prev day data for ACG,BC-10,MECL,Vankor</v>
          </cell>
          <cell r="AJ224" t="str">
            <v>SCB:Intermittent pumping. Field prod'n 3.3k bopd
LZC:Quota for the month is 385k bopd.
A1-A3:Low nomination from China side
B-06.1: Prod'n gradually reduced by operator ( adjusting choke in one well-LD-P1). Plan for Nov 1.77 mmscmd.(Plan considered in RE also similar)</v>
          </cell>
        </row>
        <row r="225">
          <cell r="C225">
            <v>45233</v>
          </cell>
          <cell r="D225">
            <v>346987</v>
          </cell>
          <cell r="E225">
            <v>13528</v>
          </cell>
          <cell r="F225">
            <v>23844.39</v>
          </cell>
          <cell r="G225">
            <v>3260</v>
          </cell>
          <cell r="H225">
            <v>2544</v>
          </cell>
          <cell r="I225">
            <v>184600</v>
          </cell>
          <cell r="J225">
            <v>180509.28</v>
          </cell>
          <cell r="K225">
            <v>49559.028310000002</v>
          </cell>
          <cell r="L225">
            <v>7533</v>
          </cell>
          <cell r="M225">
            <v>385992</v>
          </cell>
          <cell r="N225">
            <v>9018</v>
          </cell>
          <cell r="O225">
            <v>630</v>
          </cell>
          <cell r="P225">
            <v>163.975086</v>
          </cell>
          <cell r="Q225">
            <v>0</v>
          </cell>
          <cell r="R225">
            <v>147349.98761620003</v>
          </cell>
          <cell r="S225">
            <v>11.779797081668539</v>
          </cell>
          <cell r="T225">
            <v>6.8224000000000007E-2</v>
          </cell>
          <cell r="U225">
            <v>4.4170274701469921E-3</v>
          </cell>
          <cell r="V225">
            <v>1.2E-2</v>
          </cell>
          <cell r="W225">
            <v>0.32139999999999996</v>
          </cell>
          <cell r="X225">
            <v>11.566000000000001</v>
          </cell>
          <cell r="Y225">
            <v>12.42909</v>
          </cell>
          <cell r="AB225">
            <v>0</v>
          </cell>
          <cell r="AC225">
            <v>0.22228703627667795</v>
          </cell>
          <cell r="AD225">
            <v>6.357126069313912E-2</v>
          </cell>
          <cell r="AE225">
            <v>1.8579002499999999</v>
          </cell>
          <cell r="AF225">
            <v>12.774170529552848</v>
          </cell>
          <cell r="AG225">
            <v>9.2233332926073199</v>
          </cell>
          <cell r="AH225">
            <v>202311</v>
          </cell>
          <cell r="AJ225" t="str">
            <v>_x000D_
BC-10:Ramp up started after flotal campaign(with ALM3)</v>
          </cell>
        </row>
        <row r="226">
          <cell r="C226">
            <v>45234</v>
          </cell>
          <cell r="D226">
            <v>343066</v>
          </cell>
          <cell r="E226">
            <v>20346</v>
          </cell>
          <cell r="F226">
            <v>23841.68</v>
          </cell>
          <cell r="G226">
            <v>3314</v>
          </cell>
          <cell r="H226">
            <v>2664</v>
          </cell>
          <cell r="I226">
            <v>184600</v>
          </cell>
          <cell r="J226">
            <v>183485.28</v>
          </cell>
          <cell r="K226">
            <v>49102.748530000012</v>
          </cell>
          <cell r="L226">
            <v>3723</v>
          </cell>
          <cell r="M226">
            <v>382392</v>
          </cell>
          <cell r="N226">
            <v>8719</v>
          </cell>
          <cell r="O226">
            <v>4200</v>
          </cell>
          <cell r="P226">
            <v>168.31504799999999</v>
          </cell>
          <cell r="Q226">
            <v>0</v>
          </cell>
          <cell r="R226">
            <v>150238.96605409999</v>
          </cell>
          <cell r="S226">
            <v>12.268545393278153</v>
          </cell>
          <cell r="T226">
            <v>0.17952699999999999</v>
          </cell>
          <cell r="U226">
            <v>4.2561029826106407E-3</v>
          </cell>
          <cell r="V226">
            <v>1.2E-2</v>
          </cell>
          <cell r="W226">
            <v>0.32239999999999996</v>
          </cell>
          <cell r="X226">
            <v>11.566000000000001</v>
          </cell>
          <cell r="Y226">
            <v>12.445088</v>
          </cell>
          <cell r="AB226">
            <v>0</v>
          </cell>
          <cell r="AC226">
            <v>0.22370287727207083</v>
          </cell>
          <cell r="AD226">
            <v>6.47039334894534E-2</v>
          </cell>
          <cell r="AE226">
            <v>1.8599002499999999</v>
          </cell>
          <cell r="AF226">
            <v>12.774312113652387</v>
          </cell>
          <cell r="AG226">
            <v>9.2712549023891686</v>
          </cell>
          <cell r="AH226">
            <v>202311</v>
          </cell>
          <cell r="AJ226" t="str">
            <v xml:space="preserve">SPOC: Export closed for 12 hrs during the day. </v>
          </cell>
        </row>
        <row r="227">
          <cell r="C227">
            <v>45235</v>
          </cell>
          <cell r="D227">
            <v>346156</v>
          </cell>
          <cell r="E227">
            <v>15522</v>
          </cell>
          <cell r="F227">
            <v>23828.84</v>
          </cell>
          <cell r="G227">
            <v>3303</v>
          </cell>
          <cell r="H227">
            <v>2578</v>
          </cell>
          <cell r="I227">
            <v>184600</v>
          </cell>
          <cell r="J227">
            <v>181997.28</v>
          </cell>
          <cell r="K227">
            <v>45783.070829999997</v>
          </cell>
          <cell r="L227">
            <v>7556</v>
          </cell>
          <cell r="M227">
            <v>383974</v>
          </cell>
          <cell r="N227">
            <v>8469</v>
          </cell>
          <cell r="O227">
            <v>3067</v>
          </cell>
          <cell r="P227">
            <v>82.836665999999994</v>
          </cell>
          <cell r="Q227">
            <v>0</v>
          </cell>
          <cell r="R227">
            <v>148159.40360719999</v>
          </cell>
          <cell r="S227">
            <v>12.277323607449587</v>
          </cell>
          <cell r="T227">
            <v>0.14122399999999999</v>
          </cell>
          <cell r="U227">
            <v>4.4190945980002658E-3</v>
          </cell>
          <cell r="V227">
            <v>1.2E-2</v>
          </cell>
          <cell r="W227">
            <v>0.31947000000000003</v>
          </cell>
          <cell r="X227">
            <v>11.566000000000001</v>
          </cell>
          <cell r="Y227">
            <v>12.479483</v>
          </cell>
          <cell r="AB227">
            <v>0</v>
          </cell>
          <cell r="AC227">
            <v>0.22115436348036369</v>
          </cell>
          <cell r="AD227">
            <v>6.5638388546412685E-2</v>
          </cell>
          <cell r="AE227">
            <v>1.85690025</v>
          </cell>
          <cell r="AF227">
            <v>12.774340430472297</v>
          </cell>
          <cell r="AG227">
            <v>9.2659909226323816</v>
          </cell>
          <cell r="AH227">
            <v>202311</v>
          </cell>
          <cell r="AI227" t="str">
            <v>Prev day data for ACG,BC-10,MECL</v>
          </cell>
          <cell r="AJ227" t="str">
            <v>BC-10:Ramp up started on 3rd Nov'23 after flotal campaign.
PCB:Production loss due to high % of BS&amp;W in the Mesa 30 diluent received.
LZC:Quota for the month is 385k bopd._x000D_
SCB:Intermittent pumping. Field prod'n 3360 bopd</v>
          </cell>
        </row>
        <row r="228">
          <cell r="C228">
            <v>45236</v>
          </cell>
          <cell r="D228">
            <v>335107</v>
          </cell>
          <cell r="E228">
            <v>5465</v>
          </cell>
          <cell r="F228">
            <v>23810.41</v>
          </cell>
          <cell r="G228">
            <v>3302</v>
          </cell>
          <cell r="H228">
            <v>2587</v>
          </cell>
          <cell r="I228">
            <v>177600</v>
          </cell>
          <cell r="J228">
            <v>182466</v>
          </cell>
          <cell r="K228">
            <v>45899.426350000002</v>
          </cell>
          <cell r="L228">
            <v>7572</v>
          </cell>
          <cell r="M228">
            <v>383527</v>
          </cell>
          <cell r="N228">
            <v>8201</v>
          </cell>
          <cell r="O228">
            <v>5018</v>
          </cell>
          <cell r="P228">
            <v>146.55233999999999</v>
          </cell>
          <cell r="Q228">
            <v>0</v>
          </cell>
          <cell r="R228">
            <v>144700.90884049999</v>
          </cell>
          <cell r="S228">
            <v>12.286101821621024</v>
          </cell>
          <cell r="T228">
            <v>2.8114E-2</v>
          </cell>
          <cell r="U228">
            <v>4.2561596162504567E-3</v>
          </cell>
          <cell r="V228">
            <v>1.2E-2</v>
          </cell>
          <cell r="W228">
            <v>0.31972</v>
          </cell>
          <cell r="X228">
            <v>11.566000000000001</v>
          </cell>
          <cell r="Y228">
            <v>12.518051999999999</v>
          </cell>
          <cell r="AB228">
            <v>0</v>
          </cell>
          <cell r="AC228">
            <v>0.2106771401144566</v>
          </cell>
          <cell r="AD228">
            <v>6.6572843603371956E-2</v>
          </cell>
          <cell r="AE228">
            <v>1.8259002499999999</v>
          </cell>
          <cell r="AF228">
            <v>12.717508572917227</v>
          </cell>
          <cell r="AG228">
            <v>9.2214277565606899</v>
          </cell>
          <cell r="AH228">
            <v>202311</v>
          </cell>
          <cell r="AI228" t="str">
            <v>Prev day data for ACG,MECL,Vankor</v>
          </cell>
          <cell r="AJ228" t="str">
            <v>GPOC: 9 wells of El Har closed due to flowline rupture(Deferment 3.8k bopd). Also 2 El toor wells closed(800 bbl) , need flowline flushing and electrical cable replacement. 
BC-10:Ramp up affected by gas leak in flash gas vessel in the Gas Dehydration and tripping of MOBO-9. Given the high flaring conditions a decision was taken to keep the full field shutdown to perform the repair.  
PCB:Deferment due to diluent issue.</v>
          </cell>
        </row>
        <row r="229">
          <cell r="C229">
            <v>45237</v>
          </cell>
          <cell r="D229">
            <v>359390</v>
          </cell>
          <cell r="E229">
            <v>0</v>
          </cell>
          <cell r="F229">
            <v>23824.46</v>
          </cell>
          <cell r="G229">
            <v>3274</v>
          </cell>
          <cell r="H229">
            <v>2654</v>
          </cell>
          <cell r="I229">
            <v>177600</v>
          </cell>
          <cell r="J229">
            <v>180070.32</v>
          </cell>
          <cell r="K229">
            <v>46212.100000000006</v>
          </cell>
          <cell r="L229">
            <v>3110</v>
          </cell>
          <cell r="M229">
            <v>379484</v>
          </cell>
          <cell r="N229">
            <v>8409</v>
          </cell>
          <cell r="O229">
            <v>491</v>
          </cell>
          <cell r="P229">
            <v>153.97430399999999</v>
          </cell>
          <cell r="Q229">
            <v>0</v>
          </cell>
          <cell r="R229">
            <v>140281.6651368</v>
          </cell>
          <cell r="S229">
            <v>12.639495734071078</v>
          </cell>
          <cell r="T229">
            <v>0</v>
          </cell>
          <cell r="U229">
            <v>4.2533845678994859E-3</v>
          </cell>
          <cell r="V229">
            <v>1.2E-2</v>
          </cell>
          <cell r="W229">
            <v>0.32069999999999999</v>
          </cell>
          <cell r="X229">
            <v>11.566000000000001</v>
          </cell>
          <cell r="Y229">
            <v>12.476194</v>
          </cell>
          <cell r="AB229">
            <v>0</v>
          </cell>
          <cell r="AC229">
            <v>0.20303159873933516</v>
          </cell>
          <cell r="AD229">
            <v>6.6912645442266244E-2</v>
          </cell>
          <cell r="AE229">
            <v>1.76440025</v>
          </cell>
          <cell r="AF229">
            <v>12.716942236519071</v>
          </cell>
          <cell r="AG229">
            <v>9.1836189874010472</v>
          </cell>
          <cell r="AH229">
            <v>202311</v>
          </cell>
          <cell r="AI229" t="str">
            <v>Prev day data for ACGGPOC,Myanamar</v>
          </cell>
          <cell r="AJ229" t="str">
            <v>GPOC: Repair of El har pipeline rupture ongoing.
BC-10:Ramp down due to gas leak in flash gas vessel in the Gas Dehydration and tripping of MOBO-9. Repair ongoing.Expected timeline of restart not yet conveyed by operator.
SCB:Intermittent pumping.field prod'n 3.5k bopd:::    PCB:Diluent issue
SPOC: Export closed for 14 hrs during the day due to low 2B-OPCO production.Field prod'n from SPOC about 8.8k bopd.</v>
          </cell>
        </row>
        <row r="230">
          <cell r="C230">
            <v>45238</v>
          </cell>
          <cell r="D230">
            <v>347695</v>
          </cell>
          <cell r="E230">
            <v>0</v>
          </cell>
          <cell r="F230">
            <v>23785.63</v>
          </cell>
          <cell r="G230">
            <v>3245</v>
          </cell>
          <cell r="H230">
            <v>2600</v>
          </cell>
          <cell r="I230">
            <v>177600</v>
          </cell>
          <cell r="J230">
            <v>179363.52000000002</v>
          </cell>
          <cell r="K230">
            <v>45777.864310000004</v>
          </cell>
          <cell r="L230">
            <v>7608</v>
          </cell>
          <cell r="M230">
            <v>378229</v>
          </cell>
          <cell r="N230">
            <v>8304</v>
          </cell>
          <cell r="O230">
            <v>5111</v>
          </cell>
          <cell r="P230">
            <v>160.89308399999999</v>
          </cell>
          <cell r="Q230">
            <v>0</v>
          </cell>
          <cell r="R230">
            <v>142498.0086653</v>
          </cell>
          <cell r="S230">
            <v>12.660733349001973</v>
          </cell>
          <cell r="T230">
            <v>0</v>
          </cell>
          <cell r="U230">
            <v>4.1404287732870445E-3</v>
          </cell>
          <cell r="V230">
            <v>1.2E-2</v>
          </cell>
          <cell r="W230">
            <v>0.31925999999999999</v>
          </cell>
          <cell r="X230">
            <v>11.566000000000001</v>
          </cell>
          <cell r="Y230">
            <v>12.481033999999999</v>
          </cell>
          <cell r="AB230">
            <v>0</v>
          </cell>
          <cell r="AC230">
            <v>0.17584745162779239</v>
          </cell>
          <cell r="AD230">
            <v>6.7224130461252682E-2</v>
          </cell>
          <cell r="AE230">
            <v>1.76610025</v>
          </cell>
          <cell r="AF230">
            <v>12.716290949661188</v>
          </cell>
          <cell r="AG230">
            <v>9.1816375263092063</v>
          </cell>
          <cell r="AH230">
            <v>202311</v>
          </cell>
          <cell r="AI230" t="str">
            <v>Prev day data for ACG,BC-10</v>
          </cell>
          <cell r="AJ230" t="str">
            <v>GPOC:Pipeline leakage rectified. Wells opened late evening.
SCB:Intermittent pumping. Field prod 3.35 bopd</v>
          </cell>
        </row>
        <row r="231">
          <cell r="C231">
            <v>45239</v>
          </cell>
          <cell r="D231">
            <v>349205</v>
          </cell>
          <cell r="E231">
            <v>453</v>
          </cell>
          <cell r="F231">
            <v>23776.13</v>
          </cell>
          <cell r="G231">
            <v>3213</v>
          </cell>
          <cell r="H231">
            <v>2602</v>
          </cell>
          <cell r="I231">
            <v>177600</v>
          </cell>
          <cell r="J231">
            <v>179742.96000000002</v>
          </cell>
          <cell r="K231">
            <v>47578.488320000004</v>
          </cell>
          <cell r="L231">
            <v>23377</v>
          </cell>
          <cell r="M231">
            <v>378742</v>
          </cell>
          <cell r="N231">
            <v>8124.0000000000009</v>
          </cell>
          <cell r="O231">
            <v>576</v>
          </cell>
          <cell r="P231">
            <v>156.86761200000001</v>
          </cell>
          <cell r="Q231">
            <v>0</v>
          </cell>
          <cell r="R231">
            <v>145172.53985540001</v>
          </cell>
          <cell r="S231">
            <v>10.977864741878026</v>
          </cell>
          <cell r="T231">
            <v>2.6927E-2</v>
          </cell>
          <cell r="U231">
            <v>4.2623893166301849E-3</v>
          </cell>
          <cell r="V231">
            <v>1.2E-2</v>
          </cell>
          <cell r="W231">
            <v>0.3196</v>
          </cell>
          <cell r="X231">
            <v>11.566000000000001</v>
          </cell>
          <cell r="Y231">
            <v>12.373664000000002</v>
          </cell>
          <cell r="AB231">
            <v>0</v>
          </cell>
          <cell r="AC231">
            <v>0.17584745162779239</v>
          </cell>
          <cell r="AD231">
            <v>6.7818783679317679E-2</v>
          </cell>
          <cell r="AE231">
            <v>1.7658002500000001</v>
          </cell>
          <cell r="AF231">
            <v>10.047883742464187</v>
          </cell>
          <cell r="AG231">
            <v>8.6690163599287207</v>
          </cell>
          <cell r="AH231">
            <v>202311</v>
          </cell>
          <cell r="AI231" t="str">
            <v>Prev day data for ACG,BC-10,MECL</v>
          </cell>
          <cell r="AJ231" t="str">
            <v>SPOC:Export from WHCC to #PS1 increased to 220m3/hr at 0920 hrs for flow ratio optimization field trail (Batching)
A1-A3:SHP process shutdown @ 08:28 hr due to fuel gas heater element high temperature.Resumed export at 12:08 hrs 
SCB:Intermittent pumping. Field prod'n 3.5k bopd</v>
          </cell>
        </row>
        <row r="232">
          <cell r="C232">
            <v>45240</v>
          </cell>
          <cell r="D232">
            <v>349274</v>
          </cell>
          <cell r="E232">
            <v>1239</v>
          </cell>
          <cell r="F232">
            <v>23745.82</v>
          </cell>
          <cell r="G232">
            <v>3260</v>
          </cell>
          <cell r="H232">
            <v>2578</v>
          </cell>
          <cell r="I232">
            <v>177600</v>
          </cell>
          <cell r="J232">
            <v>181387.2</v>
          </cell>
          <cell r="K232">
            <v>47491.805299999993</v>
          </cell>
          <cell r="L232">
            <v>13955</v>
          </cell>
          <cell r="M232">
            <v>373836</v>
          </cell>
          <cell r="N232">
            <v>8309</v>
          </cell>
          <cell r="O232">
            <v>5454</v>
          </cell>
          <cell r="P232">
            <v>127.87163399999999</v>
          </cell>
          <cell r="Q232">
            <v>0</v>
          </cell>
          <cell r="R232">
            <v>145259.67271030002</v>
          </cell>
          <cell r="S232">
            <v>9.1440674846452019</v>
          </cell>
          <cell r="T232">
            <v>2.4983999999999999E-2</v>
          </cell>
          <cell r="U232">
            <v>4.2202822054272018E-3</v>
          </cell>
          <cell r="V232">
            <v>1.2E-2</v>
          </cell>
          <cell r="W232">
            <v>0.31924000000000002</v>
          </cell>
          <cell r="X232">
            <v>11.566000000000001</v>
          </cell>
          <cell r="Y232">
            <v>12.478367</v>
          </cell>
          <cell r="AB232">
            <v>0</v>
          </cell>
          <cell r="AC232">
            <v>0.17584745162779239</v>
          </cell>
          <cell r="AD232">
            <v>6.6912645442266244E-2</v>
          </cell>
          <cell r="AE232">
            <v>1.7619002500000001</v>
          </cell>
          <cell r="AF232">
            <v>13.9424092516714</v>
          </cell>
          <cell r="AG232">
            <v>9.3129162195792059</v>
          </cell>
          <cell r="AH232">
            <v>202311</v>
          </cell>
          <cell r="AJ232" t="str">
            <v xml:space="preserve">BC-10:ALM 1 / Train C  MOBO 3 started Nov 9th 20:18 hours </v>
          </cell>
        </row>
        <row r="233">
          <cell r="C233">
            <v>45241</v>
          </cell>
          <cell r="D233">
            <v>357871</v>
          </cell>
          <cell r="E233">
            <v>1107</v>
          </cell>
          <cell r="F233">
            <v>23705.41</v>
          </cell>
          <cell r="G233">
            <v>3249</v>
          </cell>
          <cell r="H233">
            <v>2615</v>
          </cell>
          <cell r="I233">
            <v>177600</v>
          </cell>
          <cell r="J233">
            <v>181193.76</v>
          </cell>
          <cell r="K233">
            <v>47467.551400000011</v>
          </cell>
          <cell r="L233">
            <v>0</v>
          </cell>
          <cell r="M233">
            <v>377176</v>
          </cell>
          <cell r="N233">
            <v>8360</v>
          </cell>
          <cell r="O233">
            <v>4514</v>
          </cell>
          <cell r="P233">
            <v>154.791978</v>
          </cell>
          <cell r="Q233">
            <v>0</v>
          </cell>
          <cell r="R233">
            <v>141778.15894010002</v>
          </cell>
          <cell r="S233">
            <v>6.4304666328752589</v>
          </cell>
          <cell r="T233">
            <v>5.1480999999999999E-2</v>
          </cell>
          <cell r="U233">
            <v>4.3235253308112481E-3</v>
          </cell>
          <cell r="V233">
            <v>1.2E-2</v>
          </cell>
          <cell r="W233">
            <v>0.31886999999999999</v>
          </cell>
          <cell r="X233">
            <v>11.566000000000001</v>
          </cell>
          <cell r="Y233">
            <v>12.468823</v>
          </cell>
          <cell r="AB233">
            <v>0</v>
          </cell>
          <cell r="AC233">
            <v>0.17556428342871383</v>
          </cell>
          <cell r="AD233">
            <v>6.7224130461252682E-2</v>
          </cell>
          <cell r="AE233">
            <v>1.7554002500000001</v>
          </cell>
          <cell r="AF233">
            <v>13.863830076427096</v>
          </cell>
          <cell r="AG233">
            <v>9.238417045805253</v>
          </cell>
          <cell r="AH233">
            <v>202311</v>
          </cell>
        </row>
        <row r="234">
          <cell r="C234">
            <v>45242</v>
          </cell>
          <cell r="D234">
            <v>352610</v>
          </cell>
          <cell r="E234">
            <v>5824</v>
          </cell>
          <cell r="F234">
            <v>23680.29</v>
          </cell>
          <cell r="G234">
            <v>3236</v>
          </cell>
          <cell r="H234">
            <v>2602</v>
          </cell>
          <cell r="I234">
            <v>177600</v>
          </cell>
          <cell r="J234">
            <v>179408.16</v>
          </cell>
          <cell r="K234">
            <v>48000.298519999997</v>
          </cell>
          <cell r="L234">
            <v>0</v>
          </cell>
          <cell r="M234">
            <v>371814</v>
          </cell>
          <cell r="N234">
            <v>8295</v>
          </cell>
          <cell r="O234">
            <v>1194</v>
          </cell>
          <cell r="P234">
            <v>123.84616200000001</v>
          </cell>
          <cell r="Q234">
            <v>0</v>
          </cell>
          <cell r="R234">
            <v>140998.51100290002</v>
          </cell>
          <cell r="S234">
            <v>6.8107615242377815</v>
          </cell>
          <cell r="T234">
            <v>9.9110000000000004E-2</v>
          </cell>
          <cell r="U234">
            <v>4.3963845084341651E-3</v>
          </cell>
          <cell r="V234">
            <v>1.2E-2</v>
          </cell>
          <cell r="W234">
            <v>0.31889999999999996</v>
          </cell>
          <cell r="X234">
            <v>11.566000000000001</v>
          </cell>
          <cell r="Y234">
            <v>12.373843000000001</v>
          </cell>
          <cell r="AB234">
            <v>0</v>
          </cell>
          <cell r="AC234">
            <v>0.19566922556329233</v>
          </cell>
          <cell r="AD234">
            <v>6.7507298660331241E-2</v>
          </cell>
          <cell r="AE234">
            <v>1.75810025</v>
          </cell>
          <cell r="AF234">
            <v>13.863745125967373</v>
          </cell>
          <cell r="AG234">
            <v>9.2389732585563458</v>
          </cell>
          <cell r="AH234">
            <v>202311</v>
          </cell>
          <cell r="AI234" t="str">
            <v>Prev day data for ACG,Vankor</v>
          </cell>
          <cell r="AJ234" t="str">
            <v xml:space="preserve">
BC-10:Ramp up started with ALM1 (on 9th Nov night). ALM3 and ALM2 still shut in
SPOC:Export from WHCC to #PS1 stopped at 0920 hrs w.e.f 10/11/23 for flow ratio optimization field trail by PETCO(Batching process). Field prod 10k bopd.
SCB:Intermittent pumping. Field prod 3.5k bopd
ACG gas:GEC Tr 1 is stopped/isolated for maintenance
</v>
          </cell>
        </row>
        <row r="235">
          <cell r="C235">
            <v>45243</v>
          </cell>
          <cell r="D235">
            <v>339802</v>
          </cell>
          <cell r="E235">
            <v>11566</v>
          </cell>
          <cell r="F235">
            <v>23658.92</v>
          </cell>
          <cell r="G235">
            <v>3230</v>
          </cell>
          <cell r="H235">
            <v>2570</v>
          </cell>
          <cell r="I235">
            <v>177600</v>
          </cell>
          <cell r="J235">
            <v>178969.2</v>
          </cell>
          <cell r="K235">
            <v>48564.966569999997</v>
          </cell>
          <cell r="L235">
            <v>4598</v>
          </cell>
          <cell r="M235">
            <v>387432</v>
          </cell>
          <cell r="N235">
            <v>8326</v>
          </cell>
          <cell r="O235">
            <v>0</v>
          </cell>
          <cell r="P235">
            <v>102.77533199999999</v>
          </cell>
          <cell r="Q235">
            <v>0</v>
          </cell>
          <cell r="R235">
            <v>143480.38024189998</v>
          </cell>
          <cell r="S235">
            <v>6.7549773890193023</v>
          </cell>
          <cell r="T235">
            <v>9.9803000000000003E-2</v>
          </cell>
          <cell r="U235">
            <v>4.4160363814502186E-3</v>
          </cell>
          <cell r="V235">
            <v>1.2E-2</v>
          </cell>
          <cell r="W235">
            <v>0.31819999999999998</v>
          </cell>
          <cell r="X235">
            <v>11.566000000000001</v>
          </cell>
          <cell r="Y235">
            <v>12.343467</v>
          </cell>
          <cell r="AA235">
            <v>0</v>
          </cell>
          <cell r="AB235">
            <v>0</v>
          </cell>
          <cell r="AC235">
            <v>0.22370287727207083</v>
          </cell>
          <cell r="AD235">
            <v>6.4364131650559112E-2</v>
          </cell>
          <cell r="AE235">
            <v>1.76280025</v>
          </cell>
          <cell r="AF235">
            <v>14.152463421747884</v>
          </cell>
          <cell r="AG235">
            <v>9.2823112965106525</v>
          </cell>
          <cell r="AH235">
            <v>202311</v>
          </cell>
          <cell r="AI235" t="str">
            <v>Prev day data for ACG</v>
          </cell>
          <cell r="AJ235" t="str">
            <v xml:space="preserve">BC-10: ramp up ongoing.(ALM1 and ALM 3 started)
SPOC:Export from WHCC to #PS1 restared at 0915 hrs w.e.f 13/11/23 @50m3/hr by PETCO
ACG gas:West Chirag Gas export compressor (GEC) Tr 1 is stopped/isolated for maintenance
</v>
          </cell>
        </row>
        <row r="236">
          <cell r="C236">
            <v>45244</v>
          </cell>
          <cell r="D236">
            <v>334058</v>
          </cell>
          <cell r="E236">
            <v>28208</v>
          </cell>
          <cell r="F236">
            <v>24024.52</v>
          </cell>
          <cell r="G236">
            <v>3237</v>
          </cell>
          <cell r="H236">
            <v>2606</v>
          </cell>
          <cell r="I236">
            <v>177600</v>
          </cell>
          <cell r="J236">
            <v>179207.28</v>
          </cell>
          <cell r="K236">
            <v>49190.884559999999</v>
          </cell>
          <cell r="L236">
            <v>3712</v>
          </cell>
          <cell r="M236">
            <v>384322</v>
          </cell>
          <cell r="N236">
            <v>8526</v>
          </cell>
          <cell r="O236">
            <v>6412</v>
          </cell>
          <cell r="P236">
            <v>154.54038599999998</v>
          </cell>
          <cell r="Q236">
            <v>0</v>
          </cell>
          <cell r="R236">
            <v>150626.78091369997</v>
          </cell>
          <cell r="S236">
            <v>6.465579489561005</v>
          </cell>
          <cell r="T236">
            <v>0.216778</v>
          </cell>
          <cell r="U236">
            <v>4.4660438854074933E-3</v>
          </cell>
          <cell r="V236">
            <v>1.2E-2</v>
          </cell>
          <cell r="W236">
            <v>0.31830999999999998</v>
          </cell>
          <cell r="X236">
            <v>11.566000000000001</v>
          </cell>
          <cell r="Y236">
            <v>12.532396</v>
          </cell>
          <cell r="AB236">
            <v>0</v>
          </cell>
          <cell r="AC236">
            <v>0.23333059604074224</v>
          </cell>
          <cell r="AD236">
            <v>5.8927302228250551E-2</v>
          </cell>
          <cell r="AE236">
            <v>1.7577002500000001</v>
          </cell>
          <cell r="AF236">
            <v>14.296539401439059</v>
          </cell>
          <cell r="AG236">
            <v>9.3775582341290686</v>
          </cell>
          <cell r="AH236">
            <v>202311</v>
          </cell>
          <cell r="AI236" t="str">
            <v>Prev day data for ACG,SCB.</v>
          </cell>
          <cell r="AJ236" t="str">
            <v>SPOC:Export from WHCC to #PS1 stopped at 11.48 hrs by PETCO due to low 2BOPCO tank levels (2BOPCO low production)
BC-10:Ramp up ongoing. ALM1 and ALM3 online.
ACG gas:West Chirag Gas export compressor (GEC) Tr 1 is stopped/isolated for maintenance</v>
          </cell>
        </row>
        <row r="237">
          <cell r="C237">
            <v>45245</v>
          </cell>
          <cell r="D237">
            <v>331710</v>
          </cell>
          <cell r="E237">
            <v>31440</v>
          </cell>
          <cell r="F237">
            <v>7509.5199999999986</v>
          </cell>
          <cell r="G237">
            <v>3161</v>
          </cell>
          <cell r="H237">
            <v>2596</v>
          </cell>
          <cell r="I237">
            <v>177600</v>
          </cell>
          <cell r="J237">
            <v>178232.64</v>
          </cell>
          <cell r="K237">
            <v>49374.532630000002</v>
          </cell>
          <cell r="L237">
            <v>4517</v>
          </cell>
          <cell r="M237">
            <v>385000</v>
          </cell>
          <cell r="N237">
            <v>8520</v>
          </cell>
          <cell r="O237">
            <v>1076</v>
          </cell>
          <cell r="P237">
            <v>156.42732599999999</v>
          </cell>
          <cell r="Q237">
            <v>0</v>
          </cell>
          <cell r="R237">
            <v>137716.30310420002</v>
          </cell>
          <cell r="S237">
            <v>7.4116444426825119</v>
          </cell>
          <cell r="T237">
            <v>0.28812300000000002</v>
          </cell>
          <cell r="U237">
            <v>2.5151282610357721E-3</v>
          </cell>
          <cell r="V237">
            <v>1.2E-2</v>
          </cell>
          <cell r="W237">
            <v>0.31983</v>
          </cell>
          <cell r="X237">
            <v>11.566000000000001</v>
          </cell>
          <cell r="Y237">
            <v>12.415362</v>
          </cell>
          <cell r="AB237">
            <v>0</v>
          </cell>
          <cell r="AC237">
            <v>0.25994840675412784</v>
          </cell>
          <cell r="AD237">
            <v>6.2183736517654124E-2</v>
          </cell>
          <cell r="AE237">
            <v>1.7609002499999999</v>
          </cell>
          <cell r="AF237">
            <v>14.728116053654711</v>
          </cell>
          <cell r="AG237">
            <v>9.4674395673800085</v>
          </cell>
          <cell r="AH237">
            <v>202311</v>
          </cell>
          <cell r="AI237" t="str">
            <v>Prev day data for ACG</v>
          </cell>
          <cell r="AJ237" t="str">
            <v>CPO-5:Since 7:00 a.m. on 15/11/2023, Indico wells were closed due to community blockade.Efforts to lift the blockade ongoing.
SCB:intermittent pumping. Field prod'n 3560 bopd.
BC-10:Ramp up ongoing with ALM1 and 3 online. ALM 2 yet to be started</v>
          </cell>
        </row>
        <row r="238">
          <cell r="C238">
            <v>45246</v>
          </cell>
          <cell r="D238">
            <v>359593</v>
          </cell>
          <cell r="E238">
            <v>28000</v>
          </cell>
          <cell r="F238">
            <v>3103.5</v>
          </cell>
          <cell r="G238">
            <v>3207</v>
          </cell>
          <cell r="H238">
            <v>2577</v>
          </cell>
          <cell r="I238">
            <v>177600</v>
          </cell>
          <cell r="J238">
            <v>180085.2</v>
          </cell>
          <cell r="K238">
            <v>48144.568070000001</v>
          </cell>
          <cell r="L238">
            <v>4569</v>
          </cell>
          <cell r="M238">
            <v>388766</v>
          </cell>
          <cell r="N238">
            <v>8457</v>
          </cell>
          <cell r="O238">
            <v>3702</v>
          </cell>
          <cell r="P238">
            <v>158.62875599999998</v>
          </cell>
          <cell r="Q238">
            <v>0</v>
          </cell>
          <cell r="R238">
            <v>135733.20650769997</v>
          </cell>
          <cell r="S238">
            <v>8.8642973039555777</v>
          </cell>
          <cell r="T238">
            <v>0.26603900000000003</v>
          </cell>
          <cell r="U238">
            <v>1.7754929250425459E-3</v>
          </cell>
          <cell r="V238">
            <v>1.2E-2</v>
          </cell>
          <cell r="W238">
            <v>0.31949</v>
          </cell>
          <cell r="X238">
            <v>11.566000000000001</v>
          </cell>
          <cell r="Y238">
            <v>12.243242</v>
          </cell>
          <cell r="AB238">
            <v>0</v>
          </cell>
          <cell r="AC238">
            <v>0.23531277343429224</v>
          </cell>
          <cell r="AD238">
            <v>5.8417599469909133E-2</v>
          </cell>
          <cell r="AE238">
            <v>1.91400025</v>
          </cell>
          <cell r="AF238">
            <v>14.728059420014892</v>
          </cell>
          <cell r="AG238">
            <v>9.5140932215371716</v>
          </cell>
          <cell r="AH238">
            <v>202311</v>
          </cell>
          <cell r="AI238" t="str">
            <v>Prev day data for GPOC,SCB</v>
          </cell>
          <cell r="AJ238" t="str">
            <v>CPO-5:Indico wells opened on 16-11-23 late evening.
BC-10:Ramp up ongoing with ALM1 and 3 online. 
SPOC:Export from WHCC to #PS1 stopped at 1424 hrs by PETCO citing high pour point of GPOC crude</v>
          </cell>
        </row>
        <row r="239">
          <cell r="C239">
            <v>45247</v>
          </cell>
          <cell r="D239">
            <v>359636</v>
          </cell>
          <cell r="E239">
            <v>22321</v>
          </cell>
          <cell r="F239">
            <v>24324.19</v>
          </cell>
          <cell r="G239">
            <v>3276</v>
          </cell>
          <cell r="H239">
            <v>2578</v>
          </cell>
          <cell r="I239">
            <v>177600</v>
          </cell>
          <cell r="J239">
            <v>180486.96000000002</v>
          </cell>
          <cell r="K239">
            <v>50022.910299999996</v>
          </cell>
          <cell r="L239">
            <v>0</v>
          </cell>
          <cell r="M239">
            <v>288265</v>
          </cell>
          <cell r="N239">
            <v>8628</v>
          </cell>
          <cell r="O239">
            <v>731</v>
          </cell>
          <cell r="P239">
            <v>164.16378</v>
          </cell>
          <cell r="Q239">
            <v>0</v>
          </cell>
          <cell r="R239">
            <v>143375.48547599997</v>
          </cell>
          <cell r="S239">
            <v>8.8178577193066907</v>
          </cell>
          <cell r="T239">
            <v>0.238232</v>
          </cell>
          <cell r="U239">
            <v>3.3557980104602331E-3</v>
          </cell>
          <cell r="V239">
            <v>1.2E-2</v>
          </cell>
          <cell r="W239">
            <v>0.32012000000000002</v>
          </cell>
          <cell r="X239">
            <v>11.566000000000001</v>
          </cell>
          <cell r="Y239">
            <v>12.283235000000001</v>
          </cell>
          <cell r="AB239">
            <v>0</v>
          </cell>
          <cell r="AC239">
            <v>0.2395602964204708</v>
          </cell>
          <cell r="AD239">
            <v>5.816274809073841E-2</v>
          </cell>
          <cell r="AE239">
            <v>1.9588002499999999</v>
          </cell>
          <cell r="AF239">
            <v>14.051995344714808</v>
          </cell>
          <cell r="AG239">
            <v>9.423241364867371</v>
          </cell>
          <cell r="AH239">
            <v>202311</v>
          </cell>
        </row>
        <row r="240">
          <cell r="C240">
            <v>45248</v>
          </cell>
          <cell r="D240">
            <v>353158</v>
          </cell>
          <cell r="E240">
            <v>19767</v>
          </cell>
          <cell r="F240">
            <v>24322.6</v>
          </cell>
          <cell r="G240">
            <v>3357</v>
          </cell>
          <cell r="H240">
            <v>2547</v>
          </cell>
          <cell r="I240">
            <v>177600</v>
          </cell>
          <cell r="J240">
            <v>180955.68000000002</v>
          </cell>
          <cell r="K240">
            <v>50227.446769999995</v>
          </cell>
          <cell r="L240">
            <v>0</v>
          </cell>
          <cell r="M240">
            <v>358355</v>
          </cell>
          <cell r="N240">
            <v>8637</v>
          </cell>
          <cell r="O240">
            <v>3927</v>
          </cell>
          <cell r="P240">
            <v>157.30789799999999</v>
          </cell>
          <cell r="Q240">
            <v>0</v>
          </cell>
          <cell r="R240">
            <v>146797.5568466</v>
          </cell>
          <cell r="S240">
            <v>7.7573928137574413</v>
          </cell>
          <cell r="T240">
            <v>0.22695299999999999</v>
          </cell>
          <cell r="U240">
            <v>4.1112058151421367E-3</v>
          </cell>
          <cell r="V240">
            <v>1.2E-2</v>
          </cell>
          <cell r="W240">
            <v>0.31886999999999999</v>
          </cell>
          <cell r="X240">
            <v>11.566000000000001</v>
          </cell>
          <cell r="Y240">
            <v>12.376384</v>
          </cell>
          <cell r="AB240">
            <v>0</v>
          </cell>
          <cell r="AC240">
            <v>0.23842762362415651</v>
          </cell>
          <cell r="AD240">
            <v>5.5755818398570564E-2</v>
          </cell>
          <cell r="AE240">
            <v>1.8819002499999999</v>
          </cell>
          <cell r="AF240">
            <v>14.728597439593143</v>
          </cell>
          <cell r="AG240">
            <v>9.4985268112573173</v>
          </cell>
          <cell r="AH240">
            <v>202311</v>
          </cell>
          <cell r="AI240" t="str">
            <v>Prev day data dor ACG,MECL,IEC,Vankor,Myanmar</v>
          </cell>
          <cell r="AJ240" t="str">
            <v>BC-10: ALM2 to be  started.
SPOC:Export stopped by PETCO citing high pour point</v>
          </cell>
        </row>
        <row r="241">
          <cell r="C241">
            <v>45249</v>
          </cell>
          <cell r="D241">
            <v>348312</v>
          </cell>
          <cell r="E241">
            <v>23050</v>
          </cell>
          <cell r="F241">
            <v>24229.5</v>
          </cell>
          <cell r="G241">
            <v>3435</v>
          </cell>
          <cell r="H241">
            <v>2597</v>
          </cell>
          <cell r="I241">
            <v>177600</v>
          </cell>
          <cell r="J241">
            <v>181722</v>
          </cell>
          <cell r="K241">
            <v>49840.016639999994</v>
          </cell>
          <cell r="L241">
            <v>0</v>
          </cell>
          <cell r="M241">
            <v>336587</v>
          </cell>
          <cell r="N241">
            <v>8634</v>
          </cell>
          <cell r="O241">
            <v>4986</v>
          </cell>
          <cell r="P241">
            <v>115.983912</v>
          </cell>
          <cell r="Q241">
            <v>0</v>
          </cell>
          <cell r="R241">
            <v>147232.1941204</v>
          </cell>
          <cell r="S241">
            <v>6.6428427821841867</v>
          </cell>
          <cell r="T241">
            <v>0.233156</v>
          </cell>
          <cell r="U241">
            <v>4.1796475688594265E-3</v>
          </cell>
          <cell r="V241">
            <v>1.2E-2</v>
          </cell>
          <cell r="W241">
            <v>0.31847000000000003</v>
          </cell>
          <cell r="X241">
            <v>11.566000000000001</v>
          </cell>
          <cell r="Y241">
            <v>12.304748</v>
          </cell>
          <cell r="AB241">
            <v>0</v>
          </cell>
          <cell r="AC241">
            <v>0.24040980101770651</v>
          </cell>
          <cell r="AD241">
            <v>5.9521955446315548E-2</v>
          </cell>
          <cell r="AE241">
            <v>1.8538002499999999</v>
          </cell>
          <cell r="AF241">
            <v>14.727747934995907</v>
          </cell>
          <cell r="AG241">
            <v>9.444413143306436</v>
          </cell>
          <cell r="AH241">
            <v>202311</v>
          </cell>
          <cell r="AI241" t="str">
            <v>Prev day data for BC-10</v>
          </cell>
          <cell r="AJ241" t="str">
            <v xml:space="preserve">SPOC:All wells closed due to high stock level(Total current stock 265043 bbl at Tharjath and Heglig) .Export stopped by PETCO citing high pour point of GPOC crude. GPOC to conduct PPD injection optimization in presence of PETCO representative in order to reduce its export crude pour point .
ACG gas:GEC Tr 1 is stopped/isolated for maintenance.
</v>
          </cell>
        </row>
        <row r="242">
          <cell r="C242">
            <v>45250</v>
          </cell>
          <cell r="D242">
            <v>367715</v>
          </cell>
          <cell r="E242">
            <v>27113</v>
          </cell>
          <cell r="F242">
            <v>24224.54</v>
          </cell>
          <cell r="G242">
            <v>3491</v>
          </cell>
          <cell r="H242">
            <v>2569</v>
          </cell>
          <cell r="I242">
            <v>177600</v>
          </cell>
          <cell r="J242">
            <v>182361.84</v>
          </cell>
          <cell r="K242">
            <v>48997.235439999997</v>
          </cell>
          <cell r="L242">
            <v>39695</v>
          </cell>
          <cell r="M242">
            <v>380307</v>
          </cell>
          <cell r="N242">
            <v>8600</v>
          </cell>
          <cell r="O242">
            <v>4731</v>
          </cell>
          <cell r="P242">
            <v>168.00055799999998</v>
          </cell>
          <cell r="Q242">
            <v>0</v>
          </cell>
          <cell r="R242">
            <v>159972.49076109999</v>
          </cell>
          <cell r="S242">
            <v>6.9642386881383684</v>
          </cell>
          <cell r="T242">
            <v>0.26003100000000001</v>
          </cell>
          <cell r="U242">
            <v>4.1457806522496301E-3</v>
          </cell>
          <cell r="V242">
            <v>1.2E-2</v>
          </cell>
          <cell r="W242">
            <v>0.31604000000000004</v>
          </cell>
          <cell r="X242">
            <v>11.566000000000001</v>
          </cell>
          <cell r="Y242">
            <v>12.403184</v>
          </cell>
          <cell r="AB242">
            <v>0</v>
          </cell>
          <cell r="AC242">
            <v>0.2395602964204708</v>
          </cell>
          <cell r="AD242">
            <v>6.1249281460694832E-2</v>
          </cell>
          <cell r="AE242">
            <v>1.8646002500000001</v>
          </cell>
          <cell r="AF242">
            <v>14.72732318269729</v>
          </cell>
          <cell r="AG242">
            <v>9.4876185689016399</v>
          </cell>
          <cell r="AH242">
            <v>202311</v>
          </cell>
          <cell r="AI242" t="str">
            <v xml:space="preserve"> </v>
          </cell>
          <cell r="AJ242" t="str">
            <v>SPOC:Export from WHCC to PS-1 restarted on 20/11/23 at 05.10 hrs, rate @ 355 m3/hr, reduced to 245 m3/hr at 23.05 hrs .Pumping ratio SPOC: 2BOPCO : GPOC (51.5:23.1:25.4)
BC-10:Offloading commneced in the evening. All 3 ALMs online.Production ramp up ongoing.</v>
          </cell>
        </row>
        <row r="243">
          <cell r="C243">
            <v>45251</v>
          </cell>
          <cell r="D243">
            <v>345378</v>
          </cell>
          <cell r="E243">
            <v>30226</v>
          </cell>
          <cell r="F243">
            <v>24210.14</v>
          </cell>
          <cell r="G243">
            <v>3533</v>
          </cell>
          <cell r="H243">
            <v>2555</v>
          </cell>
          <cell r="I243">
            <v>177600</v>
          </cell>
          <cell r="J243">
            <v>182681.76</v>
          </cell>
          <cell r="K243">
            <v>49730.521440000004</v>
          </cell>
          <cell r="L243">
            <v>16533</v>
          </cell>
          <cell r="M243">
            <v>378540</v>
          </cell>
          <cell r="N243">
            <v>7412</v>
          </cell>
          <cell r="O243">
            <v>428</v>
          </cell>
          <cell r="P243">
            <v>112.52452199999999</v>
          </cell>
          <cell r="Q243">
            <v>0</v>
          </cell>
          <cell r="R243">
            <v>153025.08004490004</v>
          </cell>
          <cell r="S243">
            <v>8.5870756370576586</v>
          </cell>
          <cell r="T243">
            <v>0.31503799999999998</v>
          </cell>
          <cell r="U243">
            <v>4.1888788521493884E-3</v>
          </cell>
          <cell r="V243">
            <v>1.2E-2</v>
          </cell>
          <cell r="W243">
            <v>0.31429000000000001</v>
          </cell>
          <cell r="X243">
            <v>11.566000000000001</v>
          </cell>
          <cell r="Y243">
            <v>12.342274</v>
          </cell>
          <cell r="AA243">
            <v>0</v>
          </cell>
          <cell r="AB243">
            <v>0</v>
          </cell>
          <cell r="AC243">
            <v>0.24154247381402075</v>
          </cell>
          <cell r="AD243">
            <v>6.3118191574613403E-2</v>
          </cell>
          <cell r="AE243">
            <v>1.8606002500000001</v>
          </cell>
          <cell r="AF243">
            <v>14.726728529479226</v>
          </cell>
          <cell r="AG243">
            <v>9.5214660736733947</v>
          </cell>
          <cell r="AH243">
            <v>202311</v>
          </cell>
          <cell r="AI243" t="str">
            <v>Prev day data for ACG</v>
          </cell>
          <cell r="AJ243" t="str">
            <v xml:space="preserve">
SPOC:Export stopped in the morning(10:50 am)
PCB:Prod'n deferment due to start-up of Dehydrator V-1103 after repairing electrostatic cells and sediment cleaning. </v>
          </cell>
        </row>
        <row r="244">
          <cell r="C244">
            <v>45252</v>
          </cell>
          <cell r="D244">
            <v>349008</v>
          </cell>
          <cell r="E244">
            <v>29358</v>
          </cell>
          <cell r="F244">
            <v>24160.95</v>
          </cell>
          <cell r="G244">
            <v>3501</v>
          </cell>
          <cell r="H244">
            <v>2496</v>
          </cell>
          <cell r="I244">
            <v>177600</v>
          </cell>
          <cell r="J244">
            <v>183016.56</v>
          </cell>
          <cell r="K244">
            <v>50377.14718</v>
          </cell>
          <cell r="L244">
            <v>0</v>
          </cell>
          <cell r="M244">
            <v>405576</v>
          </cell>
          <cell r="N244">
            <v>8608</v>
          </cell>
          <cell r="O244">
            <v>7717</v>
          </cell>
          <cell r="P244">
            <v>176.17729800000001</v>
          </cell>
          <cell r="Q244">
            <v>0</v>
          </cell>
          <cell r="R244">
            <v>153182.50197909999</v>
          </cell>
          <cell r="S244">
            <v>10.942468716993204</v>
          </cell>
          <cell r="T244">
            <v>0.31541999999999998</v>
          </cell>
          <cell r="U244">
            <v>4.2436152650312756E-3</v>
          </cell>
          <cell r="V244">
            <v>1.2E-2</v>
          </cell>
          <cell r="W244">
            <v>0.27868999999999999</v>
          </cell>
          <cell r="X244">
            <v>11.566000000000001</v>
          </cell>
          <cell r="Y244">
            <v>12.166958000000001</v>
          </cell>
          <cell r="AB244">
            <v>0</v>
          </cell>
          <cell r="AC244">
            <v>0.2375781190269208</v>
          </cell>
          <cell r="AD244">
            <v>6.4788883949176965E-2</v>
          </cell>
          <cell r="AE244">
            <v>1.8565002500000001</v>
          </cell>
          <cell r="AF244">
            <v>14.726332094000515</v>
          </cell>
          <cell r="AG244">
            <v>9.4931547532007858</v>
          </cell>
          <cell r="AH244">
            <v>202311</v>
          </cell>
          <cell r="AI244" t="str">
            <v>Prev day data for ACG</v>
          </cell>
          <cell r="AJ244" t="str">
            <v>SPOC:As per PETCO on 22/11/23 ,next export from SPOC will be determined on basis of crude column parameters pumped on 20/11/23 to
21/11/23 as it reaches PS-2 /PS-3._x000D_
SCB:Intermittent pumping. Field prod'n 3.6k bopd</v>
          </cell>
        </row>
        <row r="245">
          <cell r="C245">
            <v>45253</v>
          </cell>
          <cell r="D245">
            <v>351706</v>
          </cell>
          <cell r="E245">
            <v>29899</v>
          </cell>
          <cell r="F245">
            <v>24145.42</v>
          </cell>
          <cell r="G245">
            <v>3550</v>
          </cell>
          <cell r="H245">
            <v>2528</v>
          </cell>
          <cell r="I245">
            <v>177600</v>
          </cell>
          <cell r="J245">
            <v>183351.36000000002</v>
          </cell>
          <cell r="K245">
            <v>48801.530939999997</v>
          </cell>
          <cell r="L245">
            <v>0</v>
          </cell>
          <cell r="M245">
            <v>411440</v>
          </cell>
          <cell r="N245">
            <v>8711</v>
          </cell>
          <cell r="O245">
            <v>3188</v>
          </cell>
          <cell r="P245">
            <v>100.88839199999998</v>
          </cell>
          <cell r="Q245">
            <v>0</v>
          </cell>
          <cell r="R245">
            <v>151530.07871140001</v>
          </cell>
          <cell r="S245">
            <v>8.6992102438927663</v>
          </cell>
          <cell r="T245">
            <v>0.32925599999999999</v>
          </cell>
          <cell r="U245">
            <v>4.1915123164008184E-3</v>
          </cell>
          <cell r="V245">
            <v>1.2E-2</v>
          </cell>
          <cell r="W245">
            <v>0.32586999999999999</v>
          </cell>
          <cell r="X245">
            <v>11.566000000000001</v>
          </cell>
          <cell r="Y245">
            <v>12.366323</v>
          </cell>
          <cell r="AB245">
            <v>0</v>
          </cell>
          <cell r="AC245">
            <v>0.24862167879098501</v>
          </cell>
          <cell r="AD245">
            <v>6.6657794063095535E-2</v>
          </cell>
          <cell r="AE245">
            <v>1.8520002499999999</v>
          </cell>
          <cell r="AF245">
            <v>14.664856277980556</v>
          </cell>
          <cell r="AG245">
            <v>9.5335360973043457</v>
          </cell>
          <cell r="AH245">
            <v>202311</v>
          </cell>
        </row>
        <row r="246">
          <cell r="C246">
            <v>45254</v>
          </cell>
          <cell r="D246">
            <v>349095</v>
          </cell>
          <cell r="E246">
            <v>29509</v>
          </cell>
          <cell r="F246">
            <v>24093.09</v>
          </cell>
          <cell r="G246">
            <v>3541</v>
          </cell>
          <cell r="H246">
            <v>2540</v>
          </cell>
          <cell r="I246">
            <v>177600</v>
          </cell>
          <cell r="J246">
            <v>182763.6</v>
          </cell>
          <cell r="K246">
            <v>49471.917509999999</v>
          </cell>
          <cell r="L246">
            <v>0</v>
          </cell>
          <cell r="M246">
            <v>416284</v>
          </cell>
          <cell r="N246">
            <v>8603</v>
          </cell>
          <cell r="O246">
            <v>1178</v>
          </cell>
          <cell r="P246">
            <v>141.45760199999998</v>
          </cell>
          <cell r="Q246">
            <v>0</v>
          </cell>
          <cell r="R246">
            <v>150746.24879839996</v>
          </cell>
          <cell r="S246">
            <v>8.2608658717191421</v>
          </cell>
          <cell r="T246">
            <v>0.33073900000000001</v>
          </cell>
          <cell r="U246">
            <v>4.0860321622440514E-3</v>
          </cell>
          <cell r="V246">
            <v>1.2E-2</v>
          </cell>
          <cell r="W246">
            <v>0.32318999999999998</v>
          </cell>
          <cell r="X246">
            <v>11.566000000000001</v>
          </cell>
          <cell r="Y246">
            <v>12.301176999999999</v>
          </cell>
          <cell r="AB246">
            <v>0</v>
          </cell>
          <cell r="AC246">
            <v>0.25060385618453501</v>
          </cell>
          <cell r="AD246">
            <v>6.6572843603371956E-2</v>
          </cell>
          <cell r="AE246">
            <v>1.84900025</v>
          </cell>
          <cell r="AF246">
            <v>14.866103917065695</v>
          </cell>
          <cell r="AG246">
            <v>9.5371651141730993</v>
          </cell>
          <cell r="AH246">
            <v>202311</v>
          </cell>
        </row>
        <row r="247">
          <cell r="C247">
            <v>45255</v>
          </cell>
          <cell r="D247">
            <v>348685</v>
          </cell>
          <cell r="E247">
            <v>34063</v>
          </cell>
          <cell r="F247">
            <v>24081.67</v>
          </cell>
          <cell r="G247">
            <v>3510</v>
          </cell>
          <cell r="H247">
            <v>2515</v>
          </cell>
          <cell r="I247">
            <v>177600</v>
          </cell>
          <cell r="J247">
            <v>184125.12</v>
          </cell>
          <cell r="K247">
            <v>48030.019130000001</v>
          </cell>
          <cell r="L247">
            <v>0</v>
          </cell>
          <cell r="M247">
            <v>405074</v>
          </cell>
          <cell r="N247">
            <v>8637</v>
          </cell>
          <cell r="O247">
            <v>4205</v>
          </cell>
          <cell r="P247">
            <v>123.84616200000001</v>
          </cell>
          <cell r="Q247">
            <v>0</v>
          </cell>
          <cell r="R247">
            <v>152669.59925539998</v>
          </cell>
          <cell r="S247">
            <v>8.5270439788529959</v>
          </cell>
          <cell r="T247">
            <v>0.31162600000000001</v>
          </cell>
          <cell r="U247">
            <v>4.0736010783045023E-3</v>
          </cell>
          <cell r="V247">
            <v>1.2E-2</v>
          </cell>
          <cell r="W247">
            <v>0.31507000000000002</v>
          </cell>
          <cell r="X247">
            <v>11.566000000000001</v>
          </cell>
          <cell r="Y247">
            <v>12.286322999999999</v>
          </cell>
          <cell r="AB247">
            <v>0</v>
          </cell>
          <cell r="AC247">
            <v>0.23672861442968507</v>
          </cell>
          <cell r="AD247">
            <v>6.6884328622358394E-2</v>
          </cell>
          <cell r="AE247">
            <v>1.85140025</v>
          </cell>
          <cell r="AF247">
            <v>15.010293164036504</v>
          </cell>
          <cell r="AG247">
            <v>9.5503530660887321</v>
          </cell>
          <cell r="AH247">
            <v>202311</v>
          </cell>
        </row>
        <row r="248">
          <cell r="C248">
            <v>45256</v>
          </cell>
          <cell r="D248">
            <v>340547</v>
          </cell>
          <cell r="E248">
            <v>36937</v>
          </cell>
          <cell r="F248">
            <v>24027.38</v>
          </cell>
          <cell r="G248">
            <v>3556</v>
          </cell>
          <cell r="H248">
            <v>2623</v>
          </cell>
          <cell r="I248">
            <v>177600</v>
          </cell>
          <cell r="J248">
            <v>183656.40000000002</v>
          </cell>
          <cell r="K248">
            <v>50052.447379999998</v>
          </cell>
          <cell r="L248">
            <v>0</v>
          </cell>
          <cell r="M248">
            <v>412433</v>
          </cell>
          <cell r="N248">
            <v>8762</v>
          </cell>
          <cell r="O248">
            <v>706</v>
          </cell>
          <cell r="P248">
            <v>125.48150999999999</v>
          </cell>
          <cell r="Q248">
            <v>0</v>
          </cell>
          <cell r="R248">
            <v>152643.57422450001</v>
          </cell>
          <cell r="S248">
            <v>11.151163679714115</v>
          </cell>
          <cell r="T248">
            <v>0.32916200000000001</v>
          </cell>
          <cell r="U248">
            <v>4.2196026017494136E-3</v>
          </cell>
          <cell r="V248">
            <v>1.2E-2</v>
          </cell>
          <cell r="W248">
            <v>0.31520999999999999</v>
          </cell>
          <cell r="X248">
            <v>11.566000000000001</v>
          </cell>
          <cell r="Y248">
            <v>12.282325</v>
          </cell>
          <cell r="AB248">
            <v>0</v>
          </cell>
          <cell r="AC248">
            <v>0.23644544623060648</v>
          </cell>
          <cell r="AD248">
            <v>6.8356803257566962E-2</v>
          </cell>
          <cell r="AE248">
            <v>1.83330025</v>
          </cell>
          <cell r="AF248">
            <v>15.015135340240748</v>
          </cell>
          <cell r="AG248">
            <v>9.6081436835519423</v>
          </cell>
          <cell r="AH248">
            <v>202311</v>
          </cell>
          <cell r="AI248" t="str">
            <v>Prev day data for ACG,BC-10,MECL,Vankor,Myanmar</v>
          </cell>
          <cell r="AJ248" t="str">
            <v>SPOC:Export shut by PETCO( As per PETCO  ,next export from SPOC will be determined on basis of crude column parameters pumped on 20/11/23 to 21/11/23 as it reaches PS-2 /PS-3 ). All wells remain shutin  as no clearence from PETCO to start TJ to WHCC export. Stock level 97.9 % at Tj and 41.3% at Heglig.
SCB:Intermittent pumping. Field prod 3.55kbopd</v>
          </cell>
        </row>
        <row r="249">
          <cell r="C249">
            <v>45257</v>
          </cell>
          <cell r="D249">
            <v>348432</v>
          </cell>
          <cell r="E249">
            <v>36113</v>
          </cell>
          <cell r="F249">
            <v>24029.66</v>
          </cell>
          <cell r="G249">
            <v>3570</v>
          </cell>
          <cell r="H249">
            <v>2556</v>
          </cell>
          <cell r="I249">
            <v>170200</v>
          </cell>
          <cell r="J249">
            <v>184407.84</v>
          </cell>
          <cell r="K249">
            <v>49211.64</v>
          </cell>
          <cell r="L249">
            <v>0</v>
          </cell>
          <cell r="M249">
            <v>412529</v>
          </cell>
          <cell r="N249">
            <v>8721</v>
          </cell>
          <cell r="O249">
            <v>6479</v>
          </cell>
          <cell r="P249">
            <v>176.93207399999997</v>
          </cell>
          <cell r="Q249">
            <v>0</v>
          </cell>
          <cell r="R249">
            <v>153381.6890333</v>
          </cell>
          <cell r="S249">
            <v>8.7677369480697873</v>
          </cell>
          <cell r="T249">
            <v>0.36935699999999999</v>
          </cell>
          <cell r="U249">
            <v>4.3449611634814962E-3</v>
          </cell>
          <cell r="V249">
            <v>1.2E-2</v>
          </cell>
          <cell r="W249">
            <v>0.31555</v>
          </cell>
          <cell r="X249">
            <v>11.566000000000001</v>
          </cell>
          <cell r="Y249">
            <v>12.270421000000001</v>
          </cell>
          <cell r="AB249">
            <v>0</v>
          </cell>
          <cell r="AC249">
            <v>0.23531277343429224</v>
          </cell>
          <cell r="AD249">
            <v>6.8611654636737671E-2</v>
          </cell>
          <cell r="AE249">
            <v>1.8476002499999999</v>
          </cell>
          <cell r="AF249">
            <v>15.015305241160195</v>
          </cell>
          <cell r="AG249">
            <v>9.5677131167445495</v>
          </cell>
          <cell r="AH249">
            <v>202311</v>
          </cell>
          <cell r="AI249" t="str">
            <v>Prev day data for ACG,IEC</v>
          </cell>
          <cell r="AJ249" t="str">
            <v>SCB:Intermittent pumping. Field prod'n 3600 bopd</v>
          </cell>
        </row>
        <row r="250">
          <cell r="C250">
            <v>45258</v>
          </cell>
          <cell r="D250">
            <v>358106</v>
          </cell>
          <cell r="E250">
            <v>36226</v>
          </cell>
          <cell r="F250">
            <v>22870.98</v>
          </cell>
          <cell r="G250">
            <v>3567</v>
          </cell>
          <cell r="H250">
            <v>2562</v>
          </cell>
          <cell r="I250">
            <v>170200</v>
          </cell>
          <cell r="J250">
            <v>184140</v>
          </cell>
          <cell r="K250">
            <v>45830.766030000006</v>
          </cell>
          <cell r="L250">
            <v>0</v>
          </cell>
          <cell r="M250">
            <v>424260</v>
          </cell>
          <cell r="N250">
            <v>8735</v>
          </cell>
          <cell r="O250">
            <v>924</v>
          </cell>
          <cell r="P250">
            <v>112.33582799999999</v>
          </cell>
          <cell r="Q250">
            <v>0</v>
          </cell>
          <cell r="R250">
            <v>150133.94723010002</v>
          </cell>
          <cell r="S250">
            <v>8.9189487663777403</v>
          </cell>
          <cell r="T250">
            <v>0.28956399999999999</v>
          </cell>
          <cell r="U250">
            <v>4.1268933333710889E-3</v>
          </cell>
          <cell r="V250">
            <v>1.2E-2</v>
          </cell>
          <cell r="W250">
            <v>0.32038</v>
          </cell>
          <cell r="X250">
            <v>11.566000000000001</v>
          </cell>
          <cell r="Y250">
            <v>12.246547</v>
          </cell>
          <cell r="AB250">
            <v>0</v>
          </cell>
          <cell r="AC250">
            <v>0.23927712822139219</v>
          </cell>
          <cell r="AD250">
            <v>7.0367297471024812E-2</v>
          </cell>
          <cell r="AE250">
            <v>1.84740025</v>
          </cell>
          <cell r="AF250">
            <v>15.015843260738444</v>
          </cell>
          <cell r="AG250">
            <v>9.5492719117549854</v>
          </cell>
          <cell r="AH250">
            <v>202311</v>
          </cell>
          <cell r="AI250" t="str">
            <v>Prev day data for ACG</v>
          </cell>
          <cell r="AJ250" t="str">
            <v>GPOC:West feeder trip in Unity due to overcurrent
SPOC:Pumping from Tharjath to Heglig resumed on 28/11/23 @1325 hrs after getting PETCO approval_x000D_
SCB:Intermittent pumping.Field prod'n 3k bopd. Deferment due to electrical circuit issue.</v>
          </cell>
        </row>
        <row r="251">
          <cell r="C251">
            <v>45259</v>
          </cell>
          <cell r="D251">
            <v>351163</v>
          </cell>
          <cell r="E251">
            <v>36170</v>
          </cell>
          <cell r="F251">
            <v>24023.09</v>
          </cell>
          <cell r="G251">
            <v>3604</v>
          </cell>
          <cell r="H251">
            <v>2579</v>
          </cell>
          <cell r="I251">
            <v>170200</v>
          </cell>
          <cell r="J251">
            <v>184259.04</v>
          </cell>
          <cell r="K251">
            <v>47024.816649999993</v>
          </cell>
          <cell r="L251">
            <v>0</v>
          </cell>
          <cell r="M251">
            <v>419059</v>
          </cell>
          <cell r="N251">
            <v>8714</v>
          </cell>
          <cell r="O251">
            <v>5886</v>
          </cell>
          <cell r="P251">
            <v>178.75611599999999</v>
          </cell>
          <cell r="Q251">
            <v>0</v>
          </cell>
          <cell r="R251">
            <v>152934.2231147</v>
          </cell>
          <cell r="S251">
            <v>9.0848853310377802</v>
          </cell>
          <cell r="T251">
            <v>0.35222599999999998</v>
          </cell>
          <cell r="U251">
            <v>4.3766193681384806E-3</v>
          </cell>
          <cell r="V251">
            <v>1.2E-2</v>
          </cell>
          <cell r="W251">
            <v>0.32099</v>
          </cell>
          <cell r="X251">
            <v>11.566000000000001</v>
          </cell>
          <cell r="Y251">
            <v>12.311584999999999</v>
          </cell>
          <cell r="AB251">
            <v>0</v>
          </cell>
          <cell r="AC251">
            <v>0.24012663281862792</v>
          </cell>
          <cell r="AD251">
            <v>7.1669871186786235E-2</v>
          </cell>
          <cell r="AE251">
            <v>1.84300025</v>
          </cell>
          <cell r="AF251">
            <v>15.109260449614464</v>
          </cell>
          <cell r="AG251">
            <v>9.6022338717238931</v>
          </cell>
          <cell r="AH251">
            <v>202311</v>
          </cell>
          <cell r="AI251" t="str">
            <v>Prev day data for ACG,SCB.</v>
          </cell>
          <cell r="AJ251" t="str">
            <v>SPOC:Pumping from Tharjath to Heglig ongoing. MALA (5 wells) opened.</v>
          </cell>
        </row>
        <row r="252">
          <cell r="C252">
            <v>45260</v>
          </cell>
          <cell r="D252">
            <v>352650</v>
          </cell>
          <cell r="E252">
            <v>36013</v>
          </cell>
          <cell r="F252">
            <v>23993.7</v>
          </cell>
          <cell r="G252">
            <v>3554</v>
          </cell>
          <cell r="H252">
            <v>2603</v>
          </cell>
          <cell r="I252">
            <v>170200</v>
          </cell>
          <cell r="J252">
            <v>184831.30992000003</v>
          </cell>
          <cell r="K252">
            <v>48699.6662</v>
          </cell>
          <cell r="L252">
            <v>0</v>
          </cell>
          <cell r="M252">
            <v>407976</v>
          </cell>
          <cell r="N252">
            <v>8874</v>
          </cell>
          <cell r="O252">
            <v>7185</v>
          </cell>
          <cell r="P252">
            <v>96.611327999999986</v>
          </cell>
          <cell r="Q252">
            <v>0</v>
          </cell>
          <cell r="R252">
            <v>153529.02722680001</v>
          </cell>
          <cell r="S252">
            <v>8.9509467728736229</v>
          </cell>
          <cell r="T252">
            <v>0.33636500000000003</v>
          </cell>
          <cell r="U252">
            <v>4.4276745944323466E-3</v>
          </cell>
          <cell r="V252">
            <v>1.2E-2</v>
          </cell>
          <cell r="W252">
            <v>0.32163999999999998</v>
          </cell>
          <cell r="X252">
            <v>11.566000000000001</v>
          </cell>
          <cell r="Y252">
            <v>12.176573000000001</v>
          </cell>
          <cell r="AB252">
            <v>0</v>
          </cell>
          <cell r="AC252">
            <v>0.23502960523521368</v>
          </cell>
          <cell r="AD252">
            <v>7.1924722565956944E-2</v>
          </cell>
          <cell r="AE252">
            <v>1.8364002500000001</v>
          </cell>
          <cell r="AF252">
            <v>15.187018437081443</v>
          </cell>
          <cell r="AG252">
            <v>9.5702301650755857</v>
          </cell>
          <cell r="AH252">
            <v>202311</v>
          </cell>
          <cell r="AI252" t="str">
            <v>Prev day data for Vankor,GPOC.</v>
          </cell>
          <cell r="AJ252" t="str">
            <v>S-1 gas updated based on Oct'23 report
SPOC:Pumping from Tharjath to Heglig ongoing. MALA (5 wells) flowing</v>
          </cell>
        </row>
        <row r="253">
          <cell r="C253">
            <v>45261</v>
          </cell>
          <cell r="D253">
            <v>372166</v>
          </cell>
          <cell r="E253">
            <v>35736</v>
          </cell>
          <cell r="F253">
            <v>24000.11</v>
          </cell>
          <cell r="G253">
            <v>3563</v>
          </cell>
          <cell r="H253">
            <v>2631</v>
          </cell>
          <cell r="I253">
            <v>170200</v>
          </cell>
          <cell r="J253">
            <v>184251.6</v>
          </cell>
          <cell r="K253">
            <v>47622.029349999997</v>
          </cell>
          <cell r="L253">
            <v>0</v>
          </cell>
          <cell r="M253">
            <v>390607</v>
          </cell>
          <cell r="N253">
            <v>9055</v>
          </cell>
          <cell r="O253">
            <v>6444</v>
          </cell>
          <cell r="P253">
            <v>164.28957599999998</v>
          </cell>
          <cell r="Q253">
            <v>0</v>
          </cell>
          <cell r="R253">
            <v>152581.11524669998</v>
          </cell>
          <cell r="S253">
            <v>10.12128093966535</v>
          </cell>
          <cell r="T253">
            <v>0.33911999999999998</v>
          </cell>
          <cell r="U253">
            <v>4.504413176382639E-3</v>
          </cell>
          <cell r="V253">
            <v>1.2E-2</v>
          </cell>
          <cell r="W253">
            <v>0.31994</v>
          </cell>
          <cell r="X253">
            <v>13.071</v>
          </cell>
          <cell r="Y253">
            <v>12.274564</v>
          </cell>
          <cell r="AB253">
            <v>0</v>
          </cell>
          <cell r="AC253">
            <v>0.24550682860112077</v>
          </cell>
          <cell r="AD253">
            <v>6.1249281460694832E-2</v>
          </cell>
          <cell r="AE253">
            <v>1.8360002499999999</v>
          </cell>
          <cell r="AF253">
            <v>15.103851937012067</v>
          </cell>
          <cell r="AG253">
            <v>9.9054041244521898</v>
          </cell>
          <cell r="AH253">
            <v>202312</v>
          </cell>
        </row>
        <row r="254">
          <cell r="C254">
            <v>45262</v>
          </cell>
          <cell r="D254">
            <v>344994</v>
          </cell>
          <cell r="E254">
            <v>36176</v>
          </cell>
          <cell r="F254">
            <v>22967.93</v>
          </cell>
          <cell r="G254">
            <v>3556</v>
          </cell>
          <cell r="H254">
            <v>2600</v>
          </cell>
          <cell r="I254">
            <v>170200</v>
          </cell>
          <cell r="J254">
            <v>184489.68000000002</v>
          </cell>
          <cell r="K254">
            <v>45866.405830000003</v>
          </cell>
          <cell r="L254">
            <v>460</v>
          </cell>
          <cell r="M254">
            <v>400701</v>
          </cell>
          <cell r="N254">
            <v>9053</v>
          </cell>
          <cell r="O254">
            <v>715</v>
          </cell>
          <cell r="P254">
            <v>139.759356</v>
          </cell>
          <cell r="Q254">
            <v>0</v>
          </cell>
          <cell r="R254">
            <v>149150.08736769998</v>
          </cell>
          <cell r="S254">
            <v>10.538104528709006</v>
          </cell>
          <cell r="T254">
            <v>0.33941900000000003</v>
          </cell>
          <cell r="U254">
            <v>4.1885673671304014E-3</v>
          </cell>
          <cell r="V254">
            <v>1.2E-2</v>
          </cell>
          <cell r="W254">
            <v>0.32194</v>
          </cell>
          <cell r="X254">
            <v>13.071</v>
          </cell>
          <cell r="Y254">
            <v>12.22105</v>
          </cell>
          <cell r="AB254">
            <v>0</v>
          </cell>
          <cell r="AC254">
            <v>0.24295831480941363</v>
          </cell>
          <cell r="AD254">
            <v>6.3118191574613403E-2</v>
          </cell>
          <cell r="AE254">
            <v>1.8357002499999999</v>
          </cell>
          <cell r="AF254">
            <v>15.093884416404498</v>
          </cell>
          <cell r="AG254">
            <v>9.9016164963178159</v>
          </cell>
          <cell r="AH254">
            <v>202312</v>
          </cell>
          <cell r="AJ254" t="str">
            <v>GPOC:Deferment due to transmission line problem in El nar and El toor.
CPO-5:Well indico-2 closed from 14:10 - 18:20 hrs due to transition from hammer union to welded flowlines;</v>
          </cell>
        </row>
        <row r="255">
          <cell r="C255">
            <v>45263</v>
          </cell>
          <cell r="D255">
            <v>321535</v>
          </cell>
          <cell r="E255">
            <v>35969</v>
          </cell>
          <cell r="F255">
            <v>23960.82</v>
          </cell>
          <cell r="G255">
            <v>3531</v>
          </cell>
          <cell r="H255">
            <v>2618</v>
          </cell>
          <cell r="I255">
            <v>170200</v>
          </cell>
          <cell r="J255">
            <v>184162.32</v>
          </cell>
          <cell r="K255">
            <v>46653.421659999993</v>
          </cell>
          <cell r="L255">
            <v>46342</v>
          </cell>
          <cell r="M255">
            <v>399176</v>
          </cell>
          <cell r="N255">
            <v>9053</v>
          </cell>
          <cell r="O255">
            <v>4860</v>
          </cell>
          <cell r="P255">
            <v>114.97754399999999</v>
          </cell>
          <cell r="Q255">
            <v>0</v>
          </cell>
          <cell r="R255">
            <v>162019.33850980003</v>
          </cell>
          <cell r="S255">
            <v>13.173267789334183</v>
          </cell>
          <cell r="T255">
            <v>0.34039000000000003</v>
          </cell>
          <cell r="U255">
            <v>4.2569808040277841E-3</v>
          </cell>
          <cell r="V255">
            <v>1.2E-2</v>
          </cell>
          <cell r="W255">
            <v>0.32393</v>
          </cell>
          <cell r="X255">
            <v>13.071</v>
          </cell>
          <cell r="Y255">
            <v>12.224316999999999</v>
          </cell>
          <cell r="AB255">
            <v>0</v>
          </cell>
          <cell r="AC255">
            <v>0.24692266959651363</v>
          </cell>
          <cell r="AD255">
            <v>6.459066620982197E-2</v>
          </cell>
          <cell r="AE255">
            <v>1.83330025</v>
          </cell>
          <cell r="AF255">
            <v>15.08544600407196</v>
          </cell>
          <cell r="AG255">
            <v>9.9641487858282183</v>
          </cell>
          <cell r="AH255">
            <v>202312</v>
          </cell>
          <cell r="AI255" t="str">
            <v>Prev day data for ACG,GPOC,LZC</v>
          </cell>
          <cell r="AJ255" t="str">
            <v>SPOC:Export from WHCC to PS-1 restarted on 02/12/23 at 23.42 hrs, rate 358 m3/hr .Pumping ratio SPOC: 2BOPCO : GPOC (51.5 23.1:25.4)
GPOC:Deferment due to transmission line problem in El nar and El toor.</v>
          </cell>
        </row>
        <row r="256">
          <cell r="C256">
            <v>45264</v>
          </cell>
          <cell r="D256">
            <v>352049</v>
          </cell>
          <cell r="E256">
            <v>35270</v>
          </cell>
          <cell r="F256">
            <v>23928.45</v>
          </cell>
          <cell r="G256">
            <v>3530</v>
          </cell>
          <cell r="H256">
            <v>2582</v>
          </cell>
          <cell r="I256">
            <v>170200</v>
          </cell>
          <cell r="J256">
            <v>182718.96000000002</v>
          </cell>
          <cell r="K256">
            <v>47375.924100000004</v>
          </cell>
          <cell r="L256">
            <v>52749</v>
          </cell>
          <cell r="M256">
            <v>403823</v>
          </cell>
          <cell r="N256">
            <v>9023</v>
          </cell>
          <cell r="O256">
            <v>640</v>
          </cell>
          <cell r="P256">
            <v>168.88112999999998</v>
          </cell>
          <cell r="Q256">
            <v>0</v>
          </cell>
          <cell r="R256">
            <v>162346.20028350002</v>
          </cell>
          <cell r="S256">
            <v>13.711287367583472</v>
          </cell>
          <cell r="T256">
            <v>0.34177000000000002</v>
          </cell>
          <cell r="U256">
            <v>4.2323451707079488E-3</v>
          </cell>
          <cell r="V256">
            <v>1.2E-2</v>
          </cell>
          <cell r="W256">
            <v>0.32788</v>
          </cell>
          <cell r="X256">
            <v>13.071</v>
          </cell>
          <cell r="Y256">
            <v>12.443789000000001</v>
          </cell>
          <cell r="AB256">
            <v>0</v>
          </cell>
          <cell r="AC256">
            <v>0.25003751978637789</v>
          </cell>
          <cell r="AD256">
            <v>6.4845517588992679E-2</v>
          </cell>
          <cell r="AE256">
            <v>1.83490025</v>
          </cell>
          <cell r="AF256">
            <v>15.016551181236141</v>
          </cell>
          <cell r="AG256">
            <v>10.027397567332917</v>
          </cell>
          <cell r="AH256">
            <v>202312</v>
          </cell>
          <cell r="AI256" t="str">
            <v>Prev day data for ACG,BC-10</v>
          </cell>
          <cell r="AJ256" t="str">
            <v>LZC:Quota for the month is 388k bopd</v>
          </cell>
        </row>
        <row r="257">
          <cell r="C257">
            <v>45265</v>
          </cell>
          <cell r="D257">
            <v>349864</v>
          </cell>
          <cell r="E257">
            <v>35950</v>
          </cell>
          <cell r="F257">
            <v>23924.63</v>
          </cell>
          <cell r="G257">
            <v>3510</v>
          </cell>
          <cell r="H257">
            <v>2552</v>
          </cell>
          <cell r="I257">
            <v>170200</v>
          </cell>
          <cell r="J257">
            <v>183410.88</v>
          </cell>
          <cell r="K257">
            <v>49193.390659999997</v>
          </cell>
          <cell r="L257">
            <v>3155</v>
          </cell>
          <cell r="M257">
            <v>406352</v>
          </cell>
          <cell r="N257">
            <v>8711</v>
          </cell>
          <cell r="O257">
            <v>3860</v>
          </cell>
          <cell r="P257">
            <v>120.13518000000001</v>
          </cell>
          <cell r="Q257">
            <v>0</v>
          </cell>
          <cell r="R257">
            <v>152439.27044599998</v>
          </cell>
          <cell r="S257">
            <v>13.291348928349947</v>
          </cell>
          <cell r="T257">
            <v>0.34019899999999997</v>
          </cell>
          <cell r="U257">
            <v>4.2805403981911209E-3</v>
          </cell>
          <cell r="V257">
            <v>1.2E-2</v>
          </cell>
          <cell r="W257">
            <v>0.31560000000000005</v>
          </cell>
          <cell r="X257">
            <v>13.071</v>
          </cell>
          <cell r="Y257">
            <v>12.38781</v>
          </cell>
          <cell r="AB257">
            <v>0</v>
          </cell>
          <cell r="AC257">
            <v>0.24239197841125651</v>
          </cell>
          <cell r="AD257">
            <v>6.0881162801892694E-2</v>
          </cell>
          <cell r="AE257">
            <v>1.8445002500000001</v>
          </cell>
          <cell r="AF257">
            <v>15.015220290700473</v>
          </cell>
          <cell r="AG257">
            <v>9.9921390131886945</v>
          </cell>
          <cell r="AH257">
            <v>202312</v>
          </cell>
          <cell r="AI257" t="str">
            <v>Prev day data for ACG,GPOC,SPOC</v>
          </cell>
          <cell r="AJ257" t="str">
            <v>LZC:Quota for the month is 388k bopd</v>
          </cell>
        </row>
        <row r="258">
          <cell r="C258">
            <v>45266</v>
          </cell>
          <cell r="D258">
            <v>337986</v>
          </cell>
          <cell r="E258">
            <v>35277</v>
          </cell>
          <cell r="F258">
            <v>23897.84</v>
          </cell>
          <cell r="G258">
            <v>3474</v>
          </cell>
          <cell r="H258">
            <v>2559</v>
          </cell>
          <cell r="I258">
            <v>170200</v>
          </cell>
          <cell r="J258">
            <v>183425.76</v>
          </cell>
          <cell r="K258">
            <v>47674.922760000001</v>
          </cell>
          <cell r="L258">
            <v>0</v>
          </cell>
          <cell r="M258">
            <v>402079</v>
          </cell>
          <cell r="N258">
            <v>8916</v>
          </cell>
          <cell r="O258">
            <v>240</v>
          </cell>
          <cell r="P258">
            <v>147.81029999999998</v>
          </cell>
          <cell r="Q258">
            <v>0</v>
          </cell>
          <cell r="R258">
            <v>149232.61752500001</v>
          </cell>
          <cell r="S258">
            <v>15.10617391624451</v>
          </cell>
          <cell r="T258">
            <v>0.34002599999999999</v>
          </cell>
          <cell r="U258">
            <v>4.2050760731366828E-3</v>
          </cell>
          <cell r="V258">
            <v>1.2E-2</v>
          </cell>
          <cell r="W258">
            <v>0.312</v>
          </cell>
          <cell r="X258">
            <v>13.071</v>
          </cell>
          <cell r="Y258">
            <v>12.155243</v>
          </cell>
          <cell r="AB258">
            <v>0</v>
          </cell>
          <cell r="AC258">
            <v>0.24409098760572789</v>
          </cell>
          <cell r="AD258">
            <v>5.6633639815714135E-2</v>
          </cell>
          <cell r="AE258">
            <v>1.8395002499999999</v>
          </cell>
          <cell r="AF258">
            <v>15.015645042999092</v>
          </cell>
          <cell r="AG258">
            <v>9.9662046050892066</v>
          </cell>
          <cell r="AH258">
            <v>202312</v>
          </cell>
          <cell r="AI258" t="str">
            <v>Prev day data for ACG,SCB,Myanamr</v>
          </cell>
          <cell r="AJ258" t="str">
            <v xml:space="preserve">GPOC:Deferment due to power trip in Toma south
SPOC:Export stopped on 05-Dec (0120 hrs).Stock level 36%. </v>
          </cell>
        </row>
        <row r="259">
          <cell r="C259">
            <v>45267</v>
          </cell>
          <cell r="D259">
            <v>337105</v>
          </cell>
          <cell r="E259">
            <v>35736</v>
          </cell>
          <cell r="F259">
            <v>23902.05</v>
          </cell>
          <cell r="G259">
            <v>3523</v>
          </cell>
          <cell r="H259">
            <v>2569</v>
          </cell>
          <cell r="I259">
            <v>170200</v>
          </cell>
          <cell r="J259">
            <v>182957</v>
          </cell>
          <cell r="K259">
            <v>32702.35842</v>
          </cell>
          <cell r="L259">
            <v>0</v>
          </cell>
          <cell r="M259">
            <v>398514</v>
          </cell>
          <cell r="N259">
            <v>8931</v>
          </cell>
          <cell r="O259">
            <v>6180</v>
          </cell>
          <cell r="P259">
            <v>92.208467999999996</v>
          </cell>
          <cell r="Q259">
            <v>0</v>
          </cell>
          <cell r="R259">
            <v>147718.65391560001</v>
          </cell>
          <cell r="S259">
            <v>14.369087094042991</v>
          </cell>
          <cell r="T259">
            <v>0.33961599999999997</v>
          </cell>
          <cell r="U259">
            <v>4.1522368871886204E-3</v>
          </cell>
          <cell r="V259">
            <v>1.2E-2</v>
          </cell>
          <cell r="W259">
            <v>0.30407000000000001</v>
          </cell>
          <cell r="X259">
            <v>13.071</v>
          </cell>
          <cell r="Y259">
            <v>12.16</v>
          </cell>
          <cell r="AB259">
            <v>0</v>
          </cell>
          <cell r="AC259">
            <v>0.24012663281862792</v>
          </cell>
          <cell r="AD259">
            <v>5.8615817209264121E-2</v>
          </cell>
          <cell r="AE259">
            <v>1.8364002500000001</v>
          </cell>
          <cell r="AF259">
            <v>15.073581256530565</v>
          </cell>
          <cell r="AG259">
            <v>9.9511479802973763</v>
          </cell>
          <cell r="AH259">
            <v>202312</v>
          </cell>
          <cell r="AI259" t="str">
            <v>Prev day data for ACG,MECL,GPOC</v>
          </cell>
          <cell r="AJ259" t="str">
            <v>ACG gas:Central Azeri GIC maintenance activities ongoing
LZC:Quota for the month is 388k bopd
GPOC: Flow diverted to cost(about 13000) due to pipeline rupture.Also deferment due to power outage in Toma south</v>
          </cell>
        </row>
        <row r="260">
          <cell r="C260">
            <v>45268</v>
          </cell>
          <cell r="D260">
            <v>342138</v>
          </cell>
          <cell r="E260">
            <v>35201</v>
          </cell>
          <cell r="F260">
            <v>23887.47</v>
          </cell>
          <cell r="G260">
            <v>3519</v>
          </cell>
          <cell r="H260">
            <v>2581</v>
          </cell>
          <cell r="I260">
            <v>170200</v>
          </cell>
          <cell r="J260">
            <v>182592.48</v>
          </cell>
          <cell r="K260">
            <v>42598.365210000004</v>
          </cell>
          <cell r="L260">
            <v>0</v>
          </cell>
          <cell r="M260">
            <v>394190</v>
          </cell>
          <cell r="N260">
            <v>8784</v>
          </cell>
          <cell r="O260">
            <v>730</v>
          </cell>
          <cell r="P260">
            <v>175.54831799999999</v>
          </cell>
          <cell r="Q260">
            <v>0</v>
          </cell>
          <cell r="R260">
            <v>147737.85964559999</v>
          </cell>
          <cell r="S260">
            <v>14.337655423945266</v>
          </cell>
          <cell r="T260">
            <v>0.33366299999999999</v>
          </cell>
          <cell r="U260">
            <v>4.0888638442348364E-3</v>
          </cell>
          <cell r="V260">
            <v>1.2E-2</v>
          </cell>
          <cell r="W260">
            <v>0.31211</v>
          </cell>
          <cell r="X260">
            <v>13.071</v>
          </cell>
          <cell r="Y260">
            <v>12.078303999999999</v>
          </cell>
          <cell r="AB260">
            <v>0</v>
          </cell>
          <cell r="AC260">
            <v>0.23871079182323507</v>
          </cell>
          <cell r="AD260">
            <v>5.8332649010185561E-2</v>
          </cell>
          <cell r="AE260">
            <v>1.84070025</v>
          </cell>
          <cell r="AF260">
            <v>15.073241454691672</v>
          </cell>
          <cell r="AG260">
            <v>9.9371775014863157</v>
          </cell>
          <cell r="AH260">
            <v>202312</v>
          </cell>
        </row>
        <row r="261">
          <cell r="C261">
            <v>45269</v>
          </cell>
          <cell r="D261">
            <v>345961</v>
          </cell>
          <cell r="E261">
            <v>35874</v>
          </cell>
          <cell r="F261">
            <v>23877.97</v>
          </cell>
          <cell r="G261">
            <v>3529</v>
          </cell>
          <cell r="H261">
            <v>2607</v>
          </cell>
          <cell r="I261">
            <v>170200</v>
          </cell>
          <cell r="J261">
            <v>182510.64</v>
          </cell>
          <cell r="K261">
            <v>49232.342400000001</v>
          </cell>
          <cell r="L261">
            <v>0</v>
          </cell>
          <cell r="M261">
            <v>396793</v>
          </cell>
          <cell r="N261">
            <v>8994</v>
          </cell>
          <cell r="O261">
            <v>5500</v>
          </cell>
          <cell r="P261">
            <v>124.34934599999998</v>
          </cell>
          <cell r="Q261">
            <v>0</v>
          </cell>
          <cell r="R261">
            <v>151681.62730570001</v>
          </cell>
          <cell r="S261">
            <v>14.645176088144598</v>
          </cell>
          <cell r="T261">
            <v>0.33661999999999997</v>
          </cell>
          <cell r="U261">
            <v>4.0396208944150731E-3</v>
          </cell>
          <cell r="V261">
            <v>1.2E-2</v>
          </cell>
          <cell r="W261">
            <v>0.31739999999999996</v>
          </cell>
          <cell r="X261">
            <v>13.071</v>
          </cell>
          <cell r="Y261">
            <v>12.124177</v>
          </cell>
          <cell r="AB261">
            <v>0</v>
          </cell>
          <cell r="AC261">
            <v>0.24380781940664933</v>
          </cell>
          <cell r="AD261">
            <v>6.342967659359984E-2</v>
          </cell>
          <cell r="AE261">
            <v>1.82700025</v>
          </cell>
          <cell r="AF261">
            <v>15.072391950094437</v>
          </cell>
          <cell r="AG261">
            <v>9.9585521970504569</v>
          </cell>
          <cell r="AH261">
            <v>202312</v>
          </cell>
        </row>
        <row r="262">
          <cell r="C262">
            <v>45270</v>
          </cell>
          <cell r="D262">
            <v>346245</v>
          </cell>
          <cell r="E262">
            <v>35346</v>
          </cell>
          <cell r="F262">
            <v>23845.01</v>
          </cell>
          <cell r="G262">
            <v>3540</v>
          </cell>
          <cell r="H262">
            <v>2630</v>
          </cell>
          <cell r="I262">
            <v>170200</v>
          </cell>
          <cell r="J262">
            <v>182562.72</v>
          </cell>
          <cell r="K262">
            <v>50516.381389999995</v>
          </cell>
          <cell r="L262">
            <v>0</v>
          </cell>
          <cell r="M262">
            <v>403639</v>
          </cell>
          <cell r="N262">
            <v>8994</v>
          </cell>
          <cell r="O262">
            <v>870</v>
          </cell>
          <cell r="P262">
            <v>136.362864</v>
          </cell>
          <cell r="Q262">
            <v>0</v>
          </cell>
          <cell r="R262">
            <v>150312.85233629998</v>
          </cell>
          <cell r="S262">
            <v>14.328310873375676</v>
          </cell>
          <cell r="T262">
            <v>0.33599499999999999</v>
          </cell>
          <cell r="U262">
            <v>4.0681076152423775E-3</v>
          </cell>
          <cell r="V262">
            <v>1.2E-2</v>
          </cell>
          <cell r="W262">
            <v>0.31738</v>
          </cell>
          <cell r="X262">
            <v>13.071</v>
          </cell>
          <cell r="Y262">
            <v>12.156967</v>
          </cell>
          <cell r="AB262">
            <v>0</v>
          </cell>
          <cell r="AC262">
            <v>0.23927712822139219</v>
          </cell>
          <cell r="AD262">
            <v>6.258017199636412E-2</v>
          </cell>
          <cell r="AE262">
            <v>1.8198002499999999</v>
          </cell>
          <cell r="AF262">
            <v>15.077375710398218</v>
          </cell>
          <cell r="AG262">
            <v>9.956358262676245</v>
          </cell>
          <cell r="AH262">
            <v>202312</v>
          </cell>
          <cell r="AI262" t="str">
            <v>Prev day data for ACG,GPOC</v>
          </cell>
          <cell r="AJ262" t="str">
            <v>ACG gas:Central Azeri GIC maintenance activities ongoing
LZC:Quota for the month is 388k bopd
SPOC:Export stopped by Petco. 15 wells flowing.(field prod approx 7k bopd).Tharjath wells gradually opened to build up COST tank level and optimize viscosities.</v>
          </cell>
        </row>
        <row r="263">
          <cell r="C263">
            <v>45271</v>
          </cell>
          <cell r="D263">
            <v>356443</v>
          </cell>
          <cell r="E263">
            <v>35541</v>
          </cell>
          <cell r="F263">
            <v>8369.6200000000008</v>
          </cell>
          <cell r="G263">
            <v>3515</v>
          </cell>
          <cell r="H263">
            <v>2530</v>
          </cell>
          <cell r="I263">
            <v>170200</v>
          </cell>
          <cell r="J263">
            <v>182614.80000000002</v>
          </cell>
          <cell r="K263">
            <v>51402.578070000003</v>
          </cell>
          <cell r="L263">
            <v>0</v>
          </cell>
          <cell r="M263">
            <v>402328</v>
          </cell>
          <cell r="N263">
            <v>8998</v>
          </cell>
          <cell r="O263">
            <v>3580</v>
          </cell>
          <cell r="P263">
            <v>160.13830799999999</v>
          </cell>
          <cell r="Q263">
            <v>0</v>
          </cell>
          <cell r="R263">
            <v>140933.59205609999</v>
          </cell>
          <cell r="S263">
            <v>13.606231965725321</v>
          </cell>
          <cell r="T263">
            <v>0.33933600000000003</v>
          </cell>
          <cell r="U263">
            <v>2.4713787742781331E-3</v>
          </cell>
          <cell r="V263">
            <v>1.2E-2</v>
          </cell>
          <cell r="W263">
            <v>0.31695999999999996</v>
          </cell>
          <cell r="X263">
            <v>13.071</v>
          </cell>
          <cell r="Y263">
            <v>12.273916999999999</v>
          </cell>
          <cell r="AB263">
            <v>0</v>
          </cell>
          <cell r="AC263">
            <v>0.24692266959651363</v>
          </cell>
          <cell r="AD263">
            <v>6.3146508394521253E-2</v>
          </cell>
          <cell r="AE263">
            <v>1.8275002499999999</v>
          </cell>
          <cell r="AF263">
            <v>14.872276983805611</v>
          </cell>
          <cell r="AG263">
            <v>9.9391153603106268</v>
          </cell>
          <cell r="AH263">
            <v>202312</v>
          </cell>
          <cell r="AI263" t="str">
            <v>Prev day data for ACG,GPOC,SPOC</v>
          </cell>
          <cell r="AJ263" t="str">
            <v>CPO-5:Indico wells closed since 8AM yesterday(11 Dec) due to community blockade.
ACG gas:Gas injection low due to Central Azeri GIC compressor issue.
LZC:Quota for the month is 388k bopd</v>
          </cell>
        </row>
        <row r="264">
          <cell r="C264">
            <v>45272</v>
          </cell>
          <cell r="D264">
            <v>353055</v>
          </cell>
          <cell r="E264">
            <v>36113</v>
          </cell>
          <cell r="F264">
            <v>20011.32</v>
          </cell>
          <cell r="G264">
            <v>3533</v>
          </cell>
          <cell r="H264">
            <v>2566</v>
          </cell>
          <cell r="I264">
            <v>170200</v>
          </cell>
          <cell r="J264">
            <v>182771.04</v>
          </cell>
          <cell r="K264">
            <v>51000.221679999995</v>
          </cell>
          <cell r="L264">
            <v>0</v>
          </cell>
          <cell r="M264">
            <v>401505</v>
          </cell>
          <cell r="N264">
            <v>9009</v>
          </cell>
          <cell r="O264">
            <v>6474</v>
          </cell>
          <cell r="P264">
            <v>116.29840199999998</v>
          </cell>
          <cell r="Q264">
            <v>0</v>
          </cell>
          <cell r="R264">
            <v>150250.15460089999</v>
          </cell>
          <cell r="S264">
            <v>9.9578928887970175</v>
          </cell>
          <cell r="T264">
            <v>0.35508600000000001</v>
          </cell>
          <cell r="U264">
            <v>3.3127564442002903E-3</v>
          </cell>
          <cell r="V264">
            <v>1.2E-2</v>
          </cell>
          <cell r="W264">
            <v>0.32563999999999999</v>
          </cell>
          <cell r="X264">
            <v>13.071</v>
          </cell>
          <cell r="Y264">
            <v>12.078863</v>
          </cell>
          <cell r="AB264">
            <v>0</v>
          </cell>
          <cell r="AC264">
            <v>0.24578999680019933</v>
          </cell>
          <cell r="AD264">
            <v>6.4279181190835546E-2</v>
          </cell>
          <cell r="AE264">
            <v>1.8324002500000001</v>
          </cell>
          <cell r="AF264">
            <v>14.832718386394333</v>
          </cell>
          <cell r="AG264">
            <v>9.8134546655535448</v>
          </cell>
          <cell r="AH264">
            <v>202312</v>
          </cell>
        </row>
        <row r="265">
          <cell r="C265">
            <v>45273</v>
          </cell>
          <cell r="D265">
            <v>354439</v>
          </cell>
          <cell r="E265">
            <v>35421</v>
          </cell>
          <cell r="F265">
            <v>23919.63</v>
          </cell>
          <cell r="G265">
            <v>3539</v>
          </cell>
          <cell r="H265">
            <v>2536</v>
          </cell>
          <cell r="I265">
            <v>170200</v>
          </cell>
          <cell r="J265">
            <v>182294.88</v>
          </cell>
          <cell r="K265">
            <v>49425.125030000003</v>
          </cell>
          <cell r="L265">
            <v>0</v>
          </cell>
          <cell r="M265">
            <v>401953</v>
          </cell>
          <cell r="N265">
            <v>8987</v>
          </cell>
          <cell r="O265">
            <v>362</v>
          </cell>
          <cell r="P265">
            <v>137.93531399999998</v>
          </cell>
          <cell r="Q265">
            <v>0</v>
          </cell>
          <cell r="R265">
            <v>149866.9628488</v>
          </cell>
          <cell r="S265">
            <v>9.0412774283796811</v>
          </cell>
          <cell r="T265">
            <v>0.36597400000000002</v>
          </cell>
          <cell r="U265">
            <v>4.0037718004117262E-3</v>
          </cell>
          <cell r="V265">
            <v>1.2E-2</v>
          </cell>
          <cell r="W265">
            <v>0.32014999999999999</v>
          </cell>
          <cell r="X265">
            <v>13.071</v>
          </cell>
          <cell r="Y265">
            <v>12.183176</v>
          </cell>
          <cell r="AB265">
            <v>0</v>
          </cell>
          <cell r="AC265">
            <v>0.24380781940664933</v>
          </cell>
          <cell r="AD265">
            <v>6.4562349389914106E-2</v>
          </cell>
          <cell r="AE265">
            <v>1.8324002500000001</v>
          </cell>
          <cell r="AF265">
            <v>11.687399298309202</v>
          </cell>
          <cell r="AG265">
            <v>9.282526681959121</v>
          </cell>
          <cell r="AH265">
            <v>202312</v>
          </cell>
          <cell r="AI265" t="str">
            <v>Prev day data for ACG</v>
          </cell>
          <cell r="AJ265" t="str">
            <v xml:space="preserve">
A1-A3:Productiuon deferment due to phase-3 project bridge installation job
LZC:Quota for the month is 388k bopd</v>
          </cell>
        </row>
        <row r="266">
          <cell r="C266">
            <v>45274</v>
          </cell>
          <cell r="D266">
            <v>351570</v>
          </cell>
          <cell r="E266">
            <v>35786</v>
          </cell>
          <cell r="F266">
            <v>23949.81</v>
          </cell>
          <cell r="G266">
            <v>3545</v>
          </cell>
          <cell r="H266">
            <v>2521</v>
          </cell>
          <cell r="I266">
            <v>170200</v>
          </cell>
          <cell r="J266">
            <v>179795.04</v>
          </cell>
          <cell r="K266">
            <v>49415.197639999999</v>
          </cell>
          <cell r="L266">
            <v>0</v>
          </cell>
          <cell r="M266">
            <v>397125</v>
          </cell>
          <cell r="N266">
            <v>8968</v>
          </cell>
          <cell r="O266">
            <v>1360</v>
          </cell>
          <cell r="P266">
            <v>157.245</v>
          </cell>
          <cell r="Q266">
            <v>0</v>
          </cell>
          <cell r="R266">
            <v>149468.60406000001</v>
          </cell>
          <cell r="S266">
            <v>9.6826533992926436</v>
          </cell>
          <cell r="T266">
            <v>0.36246400000000001</v>
          </cell>
          <cell r="U266">
            <v>4.1217396721478583E-3</v>
          </cell>
          <cell r="V266">
            <v>1.2E-2</v>
          </cell>
          <cell r="W266">
            <v>0.31325999999999998</v>
          </cell>
          <cell r="X266">
            <v>13.071</v>
          </cell>
          <cell r="Y266">
            <v>12.130795000000001</v>
          </cell>
          <cell r="AB266">
            <v>0</v>
          </cell>
          <cell r="AC266">
            <v>0.24465732400388507</v>
          </cell>
          <cell r="AD266">
            <v>6.5411853987149826E-2</v>
          </cell>
          <cell r="AE266">
            <v>1.8282002500000001</v>
          </cell>
          <cell r="AF266">
            <v>14.782937416996319</v>
          </cell>
          <cell r="AG266">
            <v>9.8007530119188253</v>
          </cell>
          <cell r="AH266">
            <v>202312</v>
          </cell>
          <cell r="AI266" t="str">
            <v>Prev day data for ACG,MECL</v>
          </cell>
          <cell r="AJ266" t="str">
            <v>SPOC: Export currently stopped.28 wells flowing. Total stock at Tharjath and Heglig 165k bbl(out of 300k capacity)</v>
          </cell>
        </row>
        <row r="267">
          <cell r="C267">
            <v>45275</v>
          </cell>
          <cell r="D267">
            <v>346725</v>
          </cell>
          <cell r="E267">
            <v>35113</v>
          </cell>
          <cell r="F267">
            <v>23904.87</v>
          </cell>
          <cell r="G267">
            <v>3558</v>
          </cell>
          <cell r="H267">
            <v>2526</v>
          </cell>
          <cell r="I267">
            <v>170200</v>
          </cell>
          <cell r="J267">
            <v>177496.08000000002</v>
          </cell>
          <cell r="K267">
            <v>49411.499929999998</v>
          </cell>
          <cell r="L267">
            <v>0</v>
          </cell>
          <cell r="M267">
            <v>404916</v>
          </cell>
          <cell r="N267">
            <v>8909</v>
          </cell>
          <cell r="O267">
            <v>5677</v>
          </cell>
          <cell r="P267">
            <v>160.13830799999999</v>
          </cell>
          <cell r="Q267">
            <v>0</v>
          </cell>
          <cell r="R267">
            <v>150589.61452109998</v>
          </cell>
          <cell r="S267">
            <v>10.194338335027622</v>
          </cell>
          <cell r="T267">
            <v>0.35615000000000002</v>
          </cell>
          <cell r="U267">
            <v>4.0601222720283619E-3</v>
          </cell>
          <cell r="V267">
            <v>1.2E-2</v>
          </cell>
          <cell r="W267">
            <v>0.31133999999999995</v>
          </cell>
          <cell r="X267">
            <v>13.071</v>
          </cell>
          <cell r="Y267">
            <v>12.03415</v>
          </cell>
          <cell r="AB267">
            <v>0</v>
          </cell>
          <cell r="AC267">
            <v>0.24295831480941363</v>
          </cell>
          <cell r="AD267">
            <v>6.572333900613625E-2</v>
          </cell>
          <cell r="AE267">
            <v>1.8296002499999999</v>
          </cell>
          <cell r="AF267">
            <v>14.753629508391688</v>
          </cell>
          <cell r="AG267">
            <v>9.7793626802876368</v>
          </cell>
          <cell r="AH267">
            <v>202312</v>
          </cell>
        </row>
        <row r="268">
          <cell r="C268">
            <v>45276</v>
          </cell>
          <cell r="D268">
            <v>355263</v>
          </cell>
          <cell r="E268">
            <v>34811</v>
          </cell>
          <cell r="F268">
            <v>23889.55</v>
          </cell>
          <cell r="G268">
            <v>3556</v>
          </cell>
          <cell r="H268">
            <v>2527</v>
          </cell>
          <cell r="I268">
            <v>170200</v>
          </cell>
          <cell r="J268">
            <v>178284.72</v>
          </cell>
          <cell r="K268">
            <v>50332.342649999999</v>
          </cell>
          <cell r="L268">
            <v>0</v>
          </cell>
          <cell r="M268">
            <v>400595</v>
          </cell>
          <cell r="N268">
            <v>8927</v>
          </cell>
          <cell r="O268">
            <v>6221</v>
          </cell>
          <cell r="P268">
            <v>49.752317999999995</v>
          </cell>
          <cell r="Q268">
            <v>0</v>
          </cell>
          <cell r="R268">
            <v>151126.9017056</v>
          </cell>
          <cell r="S268">
            <v>11.079522125347237</v>
          </cell>
          <cell r="T268">
            <v>0.36440600000000001</v>
          </cell>
          <cell r="U268">
            <v>3.9402854901783111E-3</v>
          </cell>
          <cell r="V268">
            <v>1.2E-2</v>
          </cell>
          <cell r="W268">
            <v>0.31083999999999995</v>
          </cell>
          <cell r="X268">
            <v>13.071</v>
          </cell>
          <cell r="Y268">
            <v>12.075788000000001</v>
          </cell>
          <cell r="AB268">
            <v>0</v>
          </cell>
          <cell r="AC268">
            <v>0.24550682860112077</v>
          </cell>
          <cell r="AD268">
            <v>6.5638388546412685E-2</v>
          </cell>
          <cell r="AE268">
            <v>1.82510025</v>
          </cell>
          <cell r="AF268">
            <v>14.662704199667559</v>
          </cell>
          <cell r="AG268">
            <v>9.7950455939468188</v>
          </cell>
          <cell r="AH268">
            <v>202312</v>
          </cell>
        </row>
        <row r="269">
          <cell r="C269">
            <v>45277</v>
          </cell>
          <cell r="D269">
            <v>356878</v>
          </cell>
          <cell r="E269">
            <v>35434</v>
          </cell>
          <cell r="F269">
            <v>23924.01</v>
          </cell>
          <cell r="G269">
            <v>3570</v>
          </cell>
          <cell r="H269">
            <v>2534</v>
          </cell>
          <cell r="I269">
            <v>170200</v>
          </cell>
          <cell r="J269">
            <v>178061.52000000002</v>
          </cell>
          <cell r="K269">
            <v>49012.085070000001</v>
          </cell>
          <cell r="L269">
            <v>0</v>
          </cell>
          <cell r="M269">
            <v>401331</v>
          </cell>
          <cell r="N269">
            <v>9146</v>
          </cell>
          <cell r="O269">
            <v>4086.0000000000005</v>
          </cell>
          <cell r="P269">
            <v>161.710758</v>
          </cell>
          <cell r="Q269">
            <v>0</v>
          </cell>
          <cell r="R269">
            <v>150232.35510859999</v>
          </cell>
          <cell r="S269">
            <v>10.153278946161228</v>
          </cell>
          <cell r="T269">
            <v>0.35994799999999999</v>
          </cell>
          <cell r="U269">
            <v>3.8938742223493328E-3</v>
          </cell>
          <cell r="V269">
            <v>1.2E-2</v>
          </cell>
          <cell r="W269">
            <v>0.32161000000000001</v>
          </cell>
          <cell r="X269">
            <v>13.071</v>
          </cell>
          <cell r="Y269">
            <v>11.986495000000001</v>
          </cell>
          <cell r="AB269">
            <v>0</v>
          </cell>
          <cell r="AC269">
            <v>0.24635633319835645</v>
          </cell>
          <cell r="AD269">
            <v>6.6572843603371956E-2</v>
          </cell>
          <cell r="AE269">
            <v>1.83100025</v>
          </cell>
          <cell r="AF269">
            <v>14.662477665108298</v>
          </cell>
          <cell r="AG269">
            <v>9.7630507652735492</v>
          </cell>
          <cell r="AH269">
            <v>202312</v>
          </cell>
          <cell r="AI269" t="str">
            <v>Prev day data for ACG</v>
          </cell>
          <cell r="AJ269" t="str">
            <v>SPOC:Export stopped currently.28 wells flowing.Stock level at Tharjath and Heglig about 193k bbl(out of 300k)
LZC:Quota for the month is 388k bopd</v>
          </cell>
        </row>
        <row r="270">
          <cell r="C270">
            <v>45278</v>
          </cell>
          <cell r="D270">
            <v>349584</v>
          </cell>
          <cell r="E270">
            <v>35340</v>
          </cell>
          <cell r="F270">
            <v>23878.1</v>
          </cell>
          <cell r="G270">
            <v>3564</v>
          </cell>
          <cell r="H270">
            <v>2505</v>
          </cell>
          <cell r="I270">
            <v>170200</v>
          </cell>
          <cell r="J270">
            <v>175918.80000000002</v>
          </cell>
          <cell r="K270">
            <v>49213.735940000006</v>
          </cell>
          <cell r="L270">
            <v>0</v>
          </cell>
          <cell r="M270">
            <v>378950</v>
          </cell>
          <cell r="N270">
            <v>9062</v>
          </cell>
          <cell r="O270">
            <v>3146</v>
          </cell>
          <cell r="P270">
            <v>164.541168</v>
          </cell>
          <cell r="Q270">
            <v>0</v>
          </cell>
          <cell r="R270">
            <v>148188.44591059998</v>
          </cell>
          <cell r="S270">
            <v>10.683369814836313</v>
          </cell>
          <cell r="T270">
            <v>0.36112100000000003</v>
          </cell>
          <cell r="U270">
            <v>3.9815714136039668E-3</v>
          </cell>
          <cell r="V270">
            <v>1.2E-2</v>
          </cell>
          <cell r="W270">
            <v>0.31735000000000002</v>
          </cell>
          <cell r="X270">
            <v>13.071</v>
          </cell>
          <cell r="Y270">
            <v>11.975638</v>
          </cell>
          <cell r="AB270">
            <v>0</v>
          </cell>
          <cell r="AC270">
            <v>0.24833851059190645</v>
          </cell>
          <cell r="AD270">
            <v>6.8356803257566962E-2</v>
          </cell>
          <cell r="AE270">
            <v>1.83070025</v>
          </cell>
          <cell r="AF270">
            <v>14.66295905104673</v>
          </cell>
          <cell r="AG270">
            <v>9.769469601358324</v>
          </cell>
          <cell r="AH270">
            <v>202312</v>
          </cell>
          <cell r="AI270" t="str">
            <v>Prev day data for ACG,BC-10,SCB,PCB</v>
          </cell>
          <cell r="AJ270" t="str">
            <v>Vankor: Reasons for production deferment sought from the operator.
LZC:Quota for the month is 388k bopd.
SPOC:Export stopped currently.28 wells flowing.Stock level at Tharjath and Heglig about 204k bbl(out of 300k)</v>
          </cell>
        </row>
        <row r="271">
          <cell r="C271">
            <v>45279</v>
          </cell>
          <cell r="D271">
            <v>319051</v>
          </cell>
          <cell r="E271">
            <v>34585</v>
          </cell>
          <cell r="F271">
            <v>23831.29</v>
          </cell>
          <cell r="G271">
            <v>3526</v>
          </cell>
          <cell r="H271">
            <v>2519</v>
          </cell>
          <cell r="I271">
            <v>170200</v>
          </cell>
          <cell r="J271">
            <v>168300.24000000002</v>
          </cell>
          <cell r="K271">
            <v>50337.073770000003</v>
          </cell>
          <cell r="L271">
            <v>0</v>
          </cell>
          <cell r="M271">
            <v>358544</v>
          </cell>
          <cell r="N271">
            <v>8914</v>
          </cell>
          <cell r="O271">
            <v>3495</v>
          </cell>
          <cell r="P271">
            <v>105.920232</v>
          </cell>
          <cell r="Q271">
            <v>0</v>
          </cell>
          <cell r="R271">
            <v>144822.22604690003</v>
          </cell>
          <cell r="S271">
            <v>10.136005686017437</v>
          </cell>
          <cell r="T271">
            <v>0.357574</v>
          </cell>
          <cell r="U271">
            <v>3.8992827349517336E-3</v>
          </cell>
          <cell r="V271">
            <v>1.2E-2</v>
          </cell>
          <cell r="W271">
            <v>0.31043999999999999</v>
          </cell>
          <cell r="X271">
            <v>13.071</v>
          </cell>
          <cell r="Y271">
            <v>11.833767999999999</v>
          </cell>
          <cell r="AB271">
            <v>0</v>
          </cell>
          <cell r="AC271">
            <v>0.24975435158729933</v>
          </cell>
          <cell r="AD271">
            <v>6.9347891954341948E-2</v>
          </cell>
          <cell r="AE271">
            <v>1.8284002500000001</v>
          </cell>
          <cell r="AF271">
            <v>14.663638654724519</v>
          </cell>
          <cell r="AG271">
            <v>9.7116467085209788</v>
          </cell>
          <cell r="AH271">
            <v>202312</v>
          </cell>
          <cell r="AI271" t="str">
            <v>Prev day data for ACG,GPOC</v>
          </cell>
          <cell r="AJ271" t="str">
            <v>Vankor: Reasons for production deferment still awaited from operator.
LZC:Quota for the month is 388k bopd.
SPOC:Export stopped currently.27 wells flowing.Stock level at Tharjath and Heglig about 213.7k bbl(out of 300k)</v>
          </cell>
        </row>
        <row r="272">
          <cell r="C272">
            <v>45280</v>
          </cell>
          <cell r="D272">
            <v>368617</v>
          </cell>
          <cell r="E272">
            <v>34981</v>
          </cell>
          <cell r="F272">
            <v>23759.5</v>
          </cell>
          <cell r="G272">
            <v>3543</v>
          </cell>
          <cell r="H272">
            <v>2534</v>
          </cell>
          <cell r="I272">
            <v>170200</v>
          </cell>
          <cell r="J272">
            <v>172385</v>
          </cell>
          <cell r="K272">
            <v>49520.885829999999</v>
          </cell>
          <cell r="L272">
            <v>0</v>
          </cell>
          <cell r="M272">
            <v>369335</v>
          </cell>
          <cell r="N272">
            <v>9056</v>
          </cell>
          <cell r="O272">
            <v>4119</v>
          </cell>
          <cell r="P272">
            <v>198.191598</v>
          </cell>
          <cell r="Q272">
            <v>0</v>
          </cell>
          <cell r="R272">
            <v>147643.74037660001</v>
          </cell>
          <cell r="S272">
            <v>10.746799491429909</v>
          </cell>
          <cell r="T272">
            <v>0.35511399999999999</v>
          </cell>
          <cell r="U272">
            <v>3.9415314302542566E-3</v>
          </cell>
          <cell r="V272">
            <v>1.2E-2</v>
          </cell>
          <cell r="W272">
            <v>0.31098000000000003</v>
          </cell>
          <cell r="X272">
            <v>13.071</v>
          </cell>
          <cell r="Y272">
            <v>11.72</v>
          </cell>
          <cell r="AB272">
            <v>0</v>
          </cell>
          <cell r="AC272">
            <v>0.24210881021217795</v>
          </cell>
          <cell r="AD272">
            <v>6.8894822835816244E-2</v>
          </cell>
          <cell r="AE272">
            <v>1.8257002499999999</v>
          </cell>
          <cell r="AF272">
            <v>14.663751922004151</v>
          </cell>
          <cell r="AG272">
            <v>9.6938637577515827</v>
          </cell>
          <cell r="AH272">
            <v>202312</v>
          </cell>
          <cell r="AI272" t="str">
            <v>Prev day data for ACG,GPOC</v>
          </cell>
          <cell r="AJ272" t="str">
            <v>SPOC:Export stopped currently.24 wells flowing.Stock level at Tharjath and Heglig about 223.5k bbl(out of 300k)
LZC:Quota for the month is 388k bopd
Vankor: Reason for deferment: Shutdown  of 7 wells due to safety reasons to avoid  possible consequences related to drilling and collision of wellbores. 2. Shutdown of  5 wells of base well stock;</v>
          </cell>
        </row>
        <row r="273">
          <cell r="C273">
            <v>45281</v>
          </cell>
          <cell r="D273">
            <v>372201</v>
          </cell>
          <cell r="E273">
            <v>34704</v>
          </cell>
          <cell r="F273">
            <v>23731.73</v>
          </cell>
          <cell r="G273">
            <v>3541</v>
          </cell>
          <cell r="H273">
            <v>2503</v>
          </cell>
          <cell r="I273">
            <v>170200</v>
          </cell>
          <cell r="J273">
            <v>178582</v>
          </cell>
          <cell r="K273">
            <v>45541.085939999997</v>
          </cell>
          <cell r="L273">
            <v>0</v>
          </cell>
          <cell r="M273">
            <v>369960</v>
          </cell>
          <cell r="N273">
            <v>9061</v>
          </cell>
          <cell r="O273">
            <v>3053</v>
          </cell>
          <cell r="P273">
            <v>76.924254000000005</v>
          </cell>
          <cell r="Q273">
            <v>0</v>
          </cell>
          <cell r="R273">
            <v>147761.1514993</v>
          </cell>
          <cell r="S273">
            <v>10.865446966843836</v>
          </cell>
          <cell r="T273">
            <v>0.36004999999999998</v>
          </cell>
          <cell r="U273">
            <v>3.8629522550099535E-3</v>
          </cell>
          <cell r="V273">
            <v>1.2E-2</v>
          </cell>
          <cell r="W273">
            <v>0.30331000000000002</v>
          </cell>
          <cell r="X273">
            <v>13.071</v>
          </cell>
          <cell r="Y273">
            <v>11.84</v>
          </cell>
          <cell r="AB273">
            <v>0</v>
          </cell>
          <cell r="AC273">
            <v>0.24522366040204219</v>
          </cell>
          <cell r="AD273">
            <v>6.9914228352499094E-2</v>
          </cell>
          <cell r="AE273">
            <v>1.82730025</v>
          </cell>
          <cell r="AF273">
            <v>14.66335548652544</v>
          </cell>
          <cell r="AG273">
            <v>9.72281523070715</v>
          </cell>
          <cell r="AH273">
            <v>202312</v>
          </cell>
          <cell r="AI273" t="str">
            <v>Prev day data for ACG,GPOC,SPOC,PCB</v>
          </cell>
          <cell r="AJ273" t="str">
            <v>Vankor:Reason for deferment in previous days: Shutdown  of 7 wells due to safety reasons to avoid  possible consequences related to drilling and collision of wellbores and Shutdown of  5 wells of base well stock;
SCB:Intermittent pumping. Field prod'n 3.32k bopd.</v>
          </cell>
        </row>
        <row r="274">
          <cell r="C274">
            <v>45282</v>
          </cell>
          <cell r="D274">
            <v>348860</v>
          </cell>
          <cell r="E274">
            <v>34704</v>
          </cell>
          <cell r="F274">
            <v>23706.47</v>
          </cell>
          <cell r="G274">
            <v>3558</v>
          </cell>
          <cell r="H274">
            <v>2505</v>
          </cell>
          <cell r="I274">
            <v>170200</v>
          </cell>
          <cell r="J274">
            <v>176997.6</v>
          </cell>
          <cell r="K274">
            <v>44446.409999999996</v>
          </cell>
          <cell r="L274">
            <v>0</v>
          </cell>
          <cell r="M274">
            <v>386163</v>
          </cell>
          <cell r="N274">
            <v>9069</v>
          </cell>
          <cell r="O274">
            <v>2629</v>
          </cell>
          <cell r="P274">
            <v>150.57781199999999</v>
          </cell>
          <cell r="Q274">
            <v>0</v>
          </cell>
          <cell r="R274">
            <v>147041.72351539999</v>
          </cell>
          <cell r="S274">
            <v>10.865446966843836</v>
          </cell>
          <cell r="T274">
            <v>0.34793600000000002</v>
          </cell>
          <cell r="U274">
            <v>3.8807918515519034E-3</v>
          </cell>
          <cell r="V274">
            <v>1.2E-2</v>
          </cell>
          <cell r="W274">
            <v>0.31508999999999998</v>
          </cell>
          <cell r="X274">
            <v>13.071</v>
          </cell>
          <cell r="Y274">
            <v>11.988605999999999</v>
          </cell>
          <cell r="AB274">
            <v>0</v>
          </cell>
          <cell r="AC274">
            <v>0.23927712822139219</v>
          </cell>
          <cell r="AD274">
            <v>7.0933633869181945E-2</v>
          </cell>
          <cell r="AE274">
            <v>1.82110025</v>
          </cell>
          <cell r="AF274">
            <v>14.663327169705534</v>
          </cell>
          <cell r="AG274">
            <v>9.7669333282321453</v>
          </cell>
          <cell r="AH274">
            <v>202312</v>
          </cell>
        </row>
        <row r="275">
          <cell r="C275">
            <v>45283</v>
          </cell>
          <cell r="D275">
            <v>357208</v>
          </cell>
          <cell r="E275">
            <v>34818</v>
          </cell>
          <cell r="F275">
            <v>23686.94</v>
          </cell>
          <cell r="G275">
            <v>3551</v>
          </cell>
          <cell r="H275">
            <v>2526</v>
          </cell>
          <cell r="I275">
            <v>170200</v>
          </cell>
          <cell r="J275">
            <v>176744.64</v>
          </cell>
          <cell r="K275">
            <v>49159.517100000005</v>
          </cell>
          <cell r="L275">
            <v>0</v>
          </cell>
          <cell r="M275">
            <v>410915</v>
          </cell>
          <cell r="N275">
            <v>6060</v>
          </cell>
          <cell r="O275">
            <v>1026</v>
          </cell>
          <cell r="P275">
            <v>112.650318</v>
          </cell>
          <cell r="Q275">
            <v>0</v>
          </cell>
          <cell r="R275">
            <v>148382.50111809999</v>
          </cell>
          <cell r="S275">
            <v>10.865446966843836</v>
          </cell>
          <cell r="T275">
            <v>0.34571499999999999</v>
          </cell>
          <cell r="U275">
            <v>3.8945255092072135E-3</v>
          </cell>
          <cell r="V275">
            <v>1.2E-2</v>
          </cell>
          <cell r="W275">
            <v>0.30598999999999998</v>
          </cell>
          <cell r="X275">
            <v>13.071</v>
          </cell>
          <cell r="Y275">
            <v>11.837647</v>
          </cell>
          <cell r="AB275">
            <v>0</v>
          </cell>
          <cell r="AC275">
            <v>0.18632467499369951</v>
          </cell>
          <cell r="AD275">
            <v>7.0367297471024812E-2</v>
          </cell>
          <cell r="AE275">
            <v>1.8244002500000001</v>
          </cell>
          <cell r="AF275">
            <v>14.662930734226823</v>
          </cell>
          <cell r="AG275">
            <v>9.7133602333468154</v>
          </cell>
          <cell r="AH275">
            <v>202312</v>
          </cell>
        </row>
        <row r="276">
          <cell r="C276">
            <v>45284</v>
          </cell>
          <cell r="D276">
            <v>357117</v>
          </cell>
          <cell r="E276">
            <v>34541</v>
          </cell>
          <cell r="F276">
            <v>23683.85</v>
          </cell>
          <cell r="G276">
            <v>3556</v>
          </cell>
          <cell r="H276">
            <v>2539</v>
          </cell>
          <cell r="I276">
            <v>170200</v>
          </cell>
          <cell r="J276">
            <v>177101.76</v>
          </cell>
          <cell r="K276">
            <v>48733.169550000006</v>
          </cell>
          <cell r="L276">
            <v>0</v>
          </cell>
          <cell r="M276">
            <v>407728</v>
          </cell>
          <cell r="N276">
            <v>6078</v>
          </cell>
          <cell r="O276">
            <v>4542</v>
          </cell>
          <cell r="P276">
            <v>175.98860399999998</v>
          </cell>
          <cell r="Q276">
            <v>0</v>
          </cell>
          <cell r="R276">
            <v>149614.61255929995</v>
          </cell>
          <cell r="S276">
            <v>9.932407750879948</v>
          </cell>
          <cell r="T276">
            <v>0.35045100000000001</v>
          </cell>
          <cell r="U276">
            <v>3.8784132386796431E-3</v>
          </cell>
          <cell r="V276">
            <v>1.2E-2</v>
          </cell>
          <cell r="W276">
            <v>0.31505</v>
          </cell>
          <cell r="X276">
            <v>13.071</v>
          </cell>
          <cell r="Y276">
            <v>12.064456</v>
          </cell>
          <cell r="AB276">
            <v>0</v>
          </cell>
          <cell r="AC276">
            <v>0.21011080371629942</v>
          </cell>
          <cell r="AD276">
            <v>7.0650465670103385E-2</v>
          </cell>
          <cell r="AE276">
            <v>1.8184002500000001</v>
          </cell>
          <cell r="AF276">
            <v>14.662817466947191</v>
          </cell>
          <cell r="AG276">
            <v>9.76111529487026</v>
          </cell>
          <cell r="AH276">
            <v>202312</v>
          </cell>
        </row>
        <row r="277">
          <cell r="C277">
            <v>45285</v>
          </cell>
          <cell r="D277">
            <v>342701</v>
          </cell>
          <cell r="E277">
            <v>34208</v>
          </cell>
          <cell r="F277">
            <v>23673.66</v>
          </cell>
          <cell r="G277">
            <v>3511</v>
          </cell>
          <cell r="H277">
            <v>2464</v>
          </cell>
          <cell r="I277">
            <v>170200</v>
          </cell>
          <cell r="J277">
            <v>177458.88</v>
          </cell>
          <cell r="K277">
            <v>49246.227610000002</v>
          </cell>
          <cell r="L277">
            <v>0</v>
          </cell>
          <cell r="M277">
            <v>386843</v>
          </cell>
          <cell r="N277">
            <v>8101.0000000000009</v>
          </cell>
          <cell r="O277">
            <v>0</v>
          </cell>
          <cell r="P277">
            <v>76.106579999999994</v>
          </cell>
          <cell r="Q277">
            <v>0</v>
          </cell>
          <cell r="R277">
            <v>146833.55876349998</v>
          </cell>
          <cell r="S277">
            <v>13.492681517894811</v>
          </cell>
          <cell r="T277">
            <v>0.34925099999999998</v>
          </cell>
          <cell r="U277">
            <v>3.7490903221604598E-3</v>
          </cell>
          <cell r="V277">
            <v>1.2E-2</v>
          </cell>
          <cell r="W277">
            <v>0.31795999999999996</v>
          </cell>
          <cell r="X277">
            <v>13.071</v>
          </cell>
          <cell r="Y277">
            <v>12.038981</v>
          </cell>
          <cell r="AB277">
            <v>0</v>
          </cell>
          <cell r="AC277">
            <v>0.24040980101770651</v>
          </cell>
          <cell r="AD277">
            <v>6.6771061342726964E-2</v>
          </cell>
          <cell r="AE277">
            <v>1.81880025</v>
          </cell>
          <cell r="AF277">
            <v>14.662222813729127</v>
          </cell>
          <cell r="AG277">
            <v>9.841089629771874</v>
          </cell>
          <cell r="AH277">
            <v>202312</v>
          </cell>
          <cell r="AJ277" t="str">
            <v>SPOC:Export stopped by petco.All wells closed since 22nd Dec. Stock level at Tj and Heglig 223.7k out of 300k.
PCB:Macollas 1 &amp; 3 shutdown due to high level in tanks T-1201 caused by cavitation in feed pumps and exporting pumps P-1202 and  P-1203.</v>
          </cell>
        </row>
        <row r="278">
          <cell r="C278">
            <v>45286</v>
          </cell>
          <cell r="D278">
            <v>345679</v>
          </cell>
          <cell r="E278">
            <v>34742</v>
          </cell>
          <cell r="F278">
            <v>23667.18</v>
          </cell>
          <cell r="G278">
            <v>3500</v>
          </cell>
          <cell r="H278">
            <v>2459</v>
          </cell>
          <cell r="I278">
            <v>170200</v>
          </cell>
          <cell r="J278">
            <v>176573.52000000002</v>
          </cell>
          <cell r="K278">
            <v>46205.942499999997</v>
          </cell>
          <cell r="L278">
            <v>0</v>
          </cell>
          <cell r="M278">
            <v>372468</v>
          </cell>
          <cell r="N278">
            <v>8080</v>
          </cell>
          <cell r="O278">
            <v>5211</v>
          </cell>
          <cell r="P278">
            <v>146.300748</v>
          </cell>
          <cell r="Q278">
            <v>0</v>
          </cell>
          <cell r="R278">
            <v>147579.90706159998</v>
          </cell>
          <cell r="S278">
            <v>14.270261392564567</v>
          </cell>
          <cell r="T278">
            <v>0.351518</v>
          </cell>
          <cell r="U278">
            <v>3.8337859305048608E-3</v>
          </cell>
          <cell r="V278">
            <v>1.2E-2</v>
          </cell>
          <cell r="W278">
            <v>0.31801999999999997</v>
          </cell>
          <cell r="X278">
            <v>13.071</v>
          </cell>
          <cell r="Y278">
            <v>11.974067</v>
          </cell>
          <cell r="AB278">
            <v>0</v>
          </cell>
          <cell r="AC278">
            <v>0.23616227803152792</v>
          </cell>
          <cell r="AD278">
            <v>6.8809872376092679E-2</v>
          </cell>
          <cell r="AE278">
            <v>1.81320025</v>
          </cell>
          <cell r="AF278">
            <v>14.664204991122675</v>
          </cell>
          <cell r="AG278">
            <v>9.841070728844354</v>
          </cell>
          <cell r="AH278">
            <v>202312</v>
          </cell>
          <cell r="AJ278" t="str">
            <v>Sakh-1 gas figure updated based on Nov report by operator</v>
          </cell>
        </row>
        <row r="279">
          <cell r="C279">
            <v>45287</v>
          </cell>
          <cell r="D279">
            <v>343528</v>
          </cell>
          <cell r="E279">
            <v>34780</v>
          </cell>
          <cell r="F279">
            <v>23661.279999999999</v>
          </cell>
          <cell r="G279">
            <v>3502</v>
          </cell>
          <cell r="H279">
            <v>2466</v>
          </cell>
          <cell r="I279">
            <v>170200</v>
          </cell>
          <cell r="J279">
            <v>175636.08000000002</v>
          </cell>
          <cell r="K279">
            <v>48295.281329999998</v>
          </cell>
          <cell r="L279">
            <v>0</v>
          </cell>
          <cell r="M279">
            <v>348723</v>
          </cell>
          <cell r="N279">
            <v>4000</v>
          </cell>
          <cell r="O279">
            <v>4321</v>
          </cell>
          <cell r="P279">
            <v>114.28566600000001</v>
          </cell>
          <cell r="Q279">
            <v>0</v>
          </cell>
          <cell r="R279">
            <v>146053.94248220001</v>
          </cell>
          <cell r="S279">
            <v>9.1228298697143106</v>
          </cell>
          <cell r="T279">
            <v>0.35439799999999999</v>
          </cell>
          <cell r="U279">
            <v>3.7880542663536712E-3</v>
          </cell>
          <cell r="V279">
            <v>1.2E-2</v>
          </cell>
          <cell r="W279">
            <v>0.31617000000000001</v>
          </cell>
          <cell r="X279">
            <v>13.071</v>
          </cell>
          <cell r="Y279">
            <v>12.121036999999999</v>
          </cell>
          <cell r="AB279">
            <v>0</v>
          </cell>
          <cell r="AC279">
            <v>3.4829688486664193E-2</v>
          </cell>
          <cell r="AD279">
            <v>6.9093040575171238E-2</v>
          </cell>
          <cell r="AE279">
            <v>1.8199002500000001</v>
          </cell>
          <cell r="AF279">
            <v>14.661741427790693</v>
          </cell>
          <cell r="AG279">
            <v>9.739835725164868</v>
          </cell>
          <cell r="AH279">
            <v>202312</v>
          </cell>
          <cell r="AJ279" t="str">
            <v>PCB:Full plant  and wells s/d due to high level in COMOR tank T-55001 and T-1201.(due to hgi WC in T 55001)</v>
          </cell>
        </row>
        <row r="280">
          <cell r="C280">
            <v>45288</v>
          </cell>
          <cell r="D280">
            <v>349355</v>
          </cell>
          <cell r="E280">
            <v>34409</v>
          </cell>
          <cell r="F280">
            <v>23672.26</v>
          </cell>
          <cell r="G280">
            <v>3416</v>
          </cell>
          <cell r="H280">
            <v>2443</v>
          </cell>
          <cell r="I280">
            <v>170200</v>
          </cell>
          <cell r="J280">
            <v>174884.64</v>
          </cell>
          <cell r="K280">
            <v>48589.544050000004</v>
          </cell>
          <cell r="L280">
            <v>0</v>
          </cell>
          <cell r="M280">
            <v>343132</v>
          </cell>
          <cell r="N280">
            <v>4002</v>
          </cell>
          <cell r="O280">
            <v>4009.0000000000005</v>
          </cell>
          <cell r="P280">
            <v>106.23472199999999</v>
          </cell>
          <cell r="Q280">
            <v>0</v>
          </cell>
          <cell r="R280">
            <v>145556.41053740002</v>
          </cell>
          <cell r="S280">
            <v>9.0962120590009263</v>
          </cell>
          <cell r="T280">
            <v>0.35270600000000002</v>
          </cell>
          <cell r="U280">
            <v>3.7080309332940672E-3</v>
          </cell>
          <cell r="V280">
            <v>1.2E-2</v>
          </cell>
          <cell r="W280">
            <v>0.31380999999999998</v>
          </cell>
          <cell r="X280">
            <v>13.071</v>
          </cell>
          <cell r="Y280">
            <v>12.040246999999999</v>
          </cell>
          <cell r="AA280">
            <v>0</v>
          </cell>
          <cell r="AB280">
            <v>0</v>
          </cell>
          <cell r="AC280">
            <v>1.3875241754849962E-2</v>
          </cell>
          <cell r="AD280">
            <v>6.7054229541805524E-2</v>
          </cell>
          <cell r="AE280">
            <v>1.81520025</v>
          </cell>
          <cell r="AF280">
            <v>14.617737089653883</v>
          </cell>
          <cell r="AG280">
            <v>9.7026263463671434</v>
          </cell>
          <cell r="AH280">
            <v>202312</v>
          </cell>
        </row>
        <row r="281">
          <cell r="C281">
            <v>45289</v>
          </cell>
          <cell r="D281">
            <v>348004</v>
          </cell>
          <cell r="E281">
            <v>34340</v>
          </cell>
          <cell r="F281">
            <v>7313.94</v>
          </cell>
          <cell r="G281">
            <v>3466</v>
          </cell>
          <cell r="H281">
            <v>2462</v>
          </cell>
          <cell r="I281">
            <v>170200</v>
          </cell>
          <cell r="J281">
            <v>175048.32000000001</v>
          </cell>
          <cell r="K281">
            <v>47456.258779999996</v>
          </cell>
          <cell r="L281">
            <v>0</v>
          </cell>
          <cell r="M281">
            <v>337197</v>
          </cell>
          <cell r="N281">
            <v>6010</v>
          </cell>
          <cell r="O281">
            <v>3411</v>
          </cell>
          <cell r="P281">
            <v>165.17014800000001</v>
          </cell>
          <cell r="Q281">
            <v>0</v>
          </cell>
          <cell r="R281">
            <v>133629.7848616</v>
          </cell>
          <cell r="S281">
            <v>9.2100456750305071</v>
          </cell>
          <cell r="T281">
            <v>0.34124700000000002</v>
          </cell>
          <cell r="U281">
            <v>2.2292699640659554E-3</v>
          </cell>
          <cell r="V281">
            <v>1.2E-2</v>
          </cell>
          <cell r="W281">
            <v>0.31501000000000001</v>
          </cell>
          <cell r="X281">
            <v>13.071</v>
          </cell>
          <cell r="Y281">
            <v>11.989656</v>
          </cell>
          <cell r="AB281">
            <v>0</v>
          </cell>
          <cell r="AC281">
            <v>0.16480389186372812</v>
          </cell>
          <cell r="AD281">
            <v>6.4392448470466976E-2</v>
          </cell>
          <cell r="AE281">
            <v>1.82080025</v>
          </cell>
          <cell r="AF281">
            <v>14.603861847899033</v>
          </cell>
          <cell r="AG281">
            <v>9.7048718282040838</v>
          </cell>
          <cell r="AH281">
            <v>202312</v>
          </cell>
          <cell r="AJ281" t="str">
            <v xml:space="preserve">
CPO-5:Blockade by local community</v>
          </cell>
        </row>
        <row r="282">
          <cell r="C282">
            <v>45290</v>
          </cell>
          <cell r="D282">
            <v>344722</v>
          </cell>
          <cell r="E282">
            <v>33874</v>
          </cell>
          <cell r="F282">
            <v>19953.05</v>
          </cell>
          <cell r="G282">
            <v>3492</v>
          </cell>
          <cell r="H282">
            <v>2458</v>
          </cell>
          <cell r="I282">
            <v>170200</v>
          </cell>
          <cell r="J282">
            <v>174446.60256</v>
          </cell>
          <cell r="K282">
            <v>47658</v>
          </cell>
          <cell r="L282">
            <v>0</v>
          </cell>
          <cell r="M282">
            <v>346853</v>
          </cell>
          <cell r="N282">
            <v>8050.0000000000009</v>
          </cell>
          <cell r="O282">
            <v>3999</v>
          </cell>
          <cell r="P282">
            <v>67.80404399999999</v>
          </cell>
          <cell r="Q282">
            <v>0</v>
          </cell>
          <cell r="R282">
            <v>142980.54168540001</v>
          </cell>
          <cell r="S282">
            <v>9.2199565619982575</v>
          </cell>
          <cell r="T282">
            <v>0.33818799999999999</v>
          </cell>
          <cell r="U282">
            <v>3.1439315639096464E-3</v>
          </cell>
          <cell r="V282">
            <v>1.2E-2</v>
          </cell>
          <cell r="W282">
            <v>0.31487999999999999</v>
          </cell>
          <cell r="X282">
            <v>13.071</v>
          </cell>
          <cell r="Y282">
            <v>11.960633</v>
          </cell>
          <cell r="AB282">
            <v>0</v>
          </cell>
          <cell r="AC282">
            <v>0.26278008874491354</v>
          </cell>
          <cell r="AD282">
            <v>6.7054229541805524E-2</v>
          </cell>
          <cell r="AE282">
            <v>1.82460025</v>
          </cell>
          <cell r="AF282">
            <v>13.576159502983176</v>
          </cell>
          <cell r="AG282">
            <v>9.5360818182626996</v>
          </cell>
          <cell r="AH282">
            <v>202312</v>
          </cell>
          <cell r="AJ282" t="str">
            <v>SPOC:Export stopped by petco. 5 wells flowing.Stock level 224k out of 300k.</v>
          </cell>
        </row>
        <row r="283">
          <cell r="C283">
            <v>45291</v>
          </cell>
          <cell r="D283">
            <v>347520</v>
          </cell>
          <cell r="E283">
            <v>14138</v>
          </cell>
          <cell r="F283">
            <v>21705.87</v>
          </cell>
          <cell r="G283">
            <v>3512</v>
          </cell>
          <cell r="H283">
            <v>2489</v>
          </cell>
          <cell r="I283">
            <v>170200</v>
          </cell>
          <cell r="J283">
            <v>175933.68000000002</v>
          </cell>
          <cell r="K283">
            <v>48283</v>
          </cell>
          <cell r="L283">
            <v>0</v>
          </cell>
          <cell r="M283">
            <v>389010</v>
          </cell>
          <cell r="N283">
            <v>9001</v>
          </cell>
          <cell r="O283">
            <v>3214</v>
          </cell>
          <cell r="P283">
            <v>148.18768799999998</v>
          </cell>
          <cell r="Q283">
            <v>0</v>
          </cell>
          <cell r="R283">
            <v>141040.38225959998</v>
          </cell>
          <cell r="S283">
            <v>9.1687031179650393</v>
          </cell>
          <cell r="T283">
            <v>0.17085900000000001</v>
          </cell>
          <cell r="U283">
            <v>3.3688803812576633E-3</v>
          </cell>
          <cell r="V283">
            <v>1.2E-2</v>
          </cell>
          <cell r="W283">
            <v>0.31480000000000002</v>
          </cell>
          <cell r="X283">
            <v>13.071</v>
          </cell>
          <cell r="Y283">
            <v>11.977748</v>
          </cell>
          <cell r="AB283">
            <v>0</v>
          </cell>
          <cell r="AC283">
            <v>0.25824939755965642</v>
          </cell>
          <cell r="AD283">
            <v>6.4222547551019818E-2</v>
          </cell>
          <cell r="AE283">
            <v>1.81700025</v>
          </cell>
          <cell r="AF283">
            <v>13.602522462317392</v>
          </cell>
          <cell r="AG283">
            <v>9.4936770521378016</v>
          </cell>
          <cell r="AH283">
            <v>202312</v>
          </cell>
          <cell r="AJ283" t="str">
            <v>SPOC:Export stopped by petco. 5 wells flowing.Stock level 224k out of 300k.
CPO-5: Ramp up ongoing after deferment due to Blockade by local community.
BC-10:Deferment due to Emergency shutdown (due to false alarm) in  the morning(31st Dec). Restart and rampup in progress.</v>
          </cell>
        </row>
        <row r="284">
          <cell r="C284">
            <v>45292</v>
          </cell>
          <cell r="D284">
            <v>345438</v>
          </cell>
          <cell r="E284">
            <v>20937</v>
          </cell>
          <cell r="F284">
            <v>10225.82</v>
          </cell>
          <cell r="G284">
            <v>3507</v>
          </cell>
          <cell r="H284">
            <v>2467</v>
          </cell>
          <cell r="I284">
            <v>170160</v>
          </cell>
          <cell r="J284">
            <v>175658.40000000002</v>
          </cell>
          <cell r="K284">
            <v>49962.68041999999</v>
          </cell>
          <cell r="L284">
            <v>0</v>
          </cell>
          <cell r="M284">
            <v>381176</v>
          </cell>
          <cell r="N284">
            <v>8505</v>
          </cell>
          <cell r="O284">
            <v>3767</v>
          </cell>
          <cell r="P284">
            <v>100.63679999999999</v>
          </cell>
          <cell r="Q284">
            <v>0</v>
          </cell>
          <cell r="R284">
            <v>134939.71246499999</v>
          </cell>
          <cell r="S284">
            <v>9.0582675203243941</v>
          </cell>
          <cell r="T284">
            <v>0.21333299999999999</v>
          </cell>
          <cell r="U284">
            <v>1.5825137973705002E-3</v>
          </cell>
          <cell r="V284">
            <v>1.7000000000000001E-2</v>
          </cell>
          <cell r="W284">
            <v>0.31347000000000003</v>
          </cell>
          <cell r="X284">
            <v>13.494999999999999</v>
          </cell>
          <cell r="Y284">
            <v>12.076468999999999</v>
          </cell>
          <cell r="AB284">
            <v>0</v>
          </cell>
          <cell r="AC284">
            <v>0.2568335565642636</v>
          </cell>
          <cell r="AD284">
            <v>6.7139180001529103E-2</v>
          </cell>
          <cell r="AE284">
            <v>1.8102002500000001</v>
          </cell>
          <cell r="AF284">
            <v>14.481901304555892</v>
          </cell>
          <cell r="AG284">
            <v>9.7604262868748357</v>
          </cell>
          <cell r="AH284">
            <v>202401</v>
          </cell>
          <cell r="AJ284" t="str">
            <v>BC-10:Ramp up ongoing after ESD.
CPO-5:Production curtailment due to shortage of tankers due to holiday. Expected to be normalised today.</v>
          </cell>
        </row>
        <row r="285">
          <cell r="C285">
            <v>45293</v>
          </cell>
          <cell r="D285">
            <v>336954</v>
          </cell>
          <cell r="E285">
            <v>26025</v>
          </cell>
          <cell r="F285">
            <v>19890.259999999998</v>
          </cell>
          <cell r="G285">
            <v>3426</v>
          </cell>
          <cell r="H285">
            <v>2466</v>
          </cell>
          <cell r="I285">
            <v>170160</v>
          </cell>
          <cell r="J285">
            <v>175100.40000000002</v>
          </cell>
          <cell r="K285">
            <v>49993.581639999997</v>
          </cell>
          <cell r="L285">
            <v>0</v>
          </cell>
          <cell r="M285">
            <v>388052</v>
          </cell>
          <cell r="N285">
            <v>6001</v>
          </cell>
          <cell r="O285">
            <v>2948</v>
          </cell>
          <cell r="P285">
            <v>180.95754599999998</v>
          </cell>
          <cell r="Q285">
            <v>0</v>
          </cell>
          <cell r="R285">
            <v>142411.88970570001</v>
          </cell>
          <cell r="S285">
            <v>9.2627149600591281</v>
          </cell>
          <cell r="T285">
            <v>0.30387399999999998</v>
          </cell>
          <cell r="U285">
            <v>2.9186995783625513E-3</v>
          </cell>
          <cell r="V285">
            <v>1.7000000000000001E-2</v>
          </cell>
          <cell r="W285">
            <v>0.31219999999999998</v>
          </cell>
          <cell r="X285">
            <v>13.494999999999999</v>
          </cell>
          <cell r="Y285">
            <v>12.042598</v>
          </cell>
          <cell r="AB285">
            <v>0</v>
          </cell>
          <cell r="AC285">
            <v>0.22143753167944227</v>
          </cell>
          <cell r="AD285">
            <v>6.357126069313912E-2</v>
          </cell>
          <cell r="AE285">
            <v>1.81880025</v>
          </cell>
          <cell r="AF285">
            <v>14.567418100677619</v>
          </cell>
          <cell r="AG285">
            <v>9.7935410876594098</v>
          </cell>
          <cell r="AH285">
            <v>202401</v>
          </cell>
        </row>
        <row r="286">
          <cell r="C286">
            <v>45294</v>
          </cell>
          <cell r="D286">
            <v>325021</v>
          </cell>
          <cell r="E286">
            <v>26516</v>
          </cell>
          <cell r="F286">
            <v>23717.14</v>
          </cell>
          <cell r="G286">
            <v>3371</v>
          </cell>
          <cell r="H286">
            <v>2479</v>
          </cell>
          <cell r="I286">
            <v>170160</v>
          </cell>
          <cell r="J286">
            <v>175598.88</v>
          </cell>
          <cell r="K286">
            <v>47898.514990000003</v>
          </cell>
          <cell r="L286">
            <v>0</v>
          </cell>
          <cell r="M286">
            <v>395102</v>
          </cell>
          <cell r="N286">
            <v>7456</v>
          </cell>
          <cell r="O286">
            <v>3661</v>
          </cell>
          <cell r="P286">
            <v>79.188581999999997</v>
          </cell>
          <cell r="Q286">
            <v>0</v>
          </cell>
          <cell r="R286">
            <v>145220.41550940002</v>
          </cell>
          <cell r="S286">
            <v>9.1443506528442846</v>
          </cell>
          <cell r="T286">
            <v>0.31048500000000001</v>
          </cell>
          <cell r="U286">
            <v>3.6474329386912527E-3</v>
          </cell>
          <cell r="V286">
            <v>1.7000000000000001E-2</v>
          </cell>
          <cell r="W286">
            <v>0.31118000000000001</v>
          </cell>
          <cell r="X286">
            <v>13.494999999999999</v>
          </cell>
          <cell r="Y286">
            <v>11.995471999999999</v>
          </cell>
          <cell r="AA286">
            <v>0</v>
          </cell>
          <cell r="AB286">
            <v>0</v>
          </cell>
          <cell r="AC286">
            <v>0.23984346461954936</v>
          </cell>
          <cell r="AD286">
            <v>6.4505715750098391E-2</v>
          </cell>
          <cell r="AE286">
            <v>1.9837002500000001</v>
          </cell>
          <cell r="AF286">
            <v>14.563708597269692</v>
          </cell>
          <cell r="AG286">
            <v>9.8558020145818244</v>
          </cell>
          <cell r="AH286">
            <v>202401</v>
          </cell>
          <cell r="AI286" t="str">
            <v>SPOC:No export. 5 wells flowing. Stock 243k bbl out of 300k.</v>
          </cell>
          <cell r="AJ286" t="str">
            <v>GPOC:Transmission line problem in El nar and El toor. Deferment about 3k.
LZC:Quota for the month is 399k bopd.
SCB:Intermittent pumping. Field prod'n 3.4k bopd
BC-10:Ramp up ongoing.
MECL:Deferment due to electrical circuit issues.
PCB:Speed reduction to Macolla 1, 2 &amp; 3 wells due to high level in Comor Tank T-55001 caused by high water content_x000D_
SPOC:No export. 5 wells flowing. Stock 243k bbl out of 300k.</v>
          </cell>
        </row>
        <row r="287">
          <cell r="C287">
            <v>45295</v>
          </cell>
          <cell r="D287">
            <v>331170</v>
          </cell>
          <cell r="E287">
            <v>30679</v>
          </cell>
          <cell r="F287">
            <v>23714.47</v>
          </cell>
          <cell r="G287">
            <v>3136</v>
          </cell>
          <cell r="H287">
            <v>2513</v>
          </cell>
          <cell r="I287">
            <v>170160</v>
          </cell>
          <cell r="J287">
            <v>175643.52000000002</v>
          </cell>
          <cell r="K287">
            <v>49455.231500000002</v>
          </cell>
          <cell r="L287">
            <v>0</v>
          </cell>
          <cell r="M287">
            <v>385456</v>
          </cell>
          <cell r="N287">
            <v>9048</v>
          </cell>
          <cell r="O287">
            <v>2799</v>
          </cell>
          <cell r="P287">
            <v>187.75053</v>
          </cell>
          <cell r="Q287">
            <v>0</v>
          </cell>
          <cell r="R287">
            <v>146295.21681350001</v>
          </cell>
          <cell r="S287">
            <v>8.7521626971204629</v>
          </cell>
          <cell r="T287">
            <v>0.29604399999999997</v>
          </cell>
          <cell r="U287">
            <v>3.7454091355724386E-3</v>
          </cell>
          <cell r="V287">
            <v>1.7000000000000001E-2</v>
          </cell>
          <cell r="W287">
            <v>0.30951999999999996</v>
          </cell>
          <cell r="X287">
            <v>13.494999999999999</v>
          </cell>
          <cell r="Y287">
            <v>11.727790000000001</v>
          </cell>
          <cell r="AB287">
            <v>0</v>
          </cell>
          <cell r="AC287">
            <v>0.23701178262876363</v>
          </cell>
          <cell r="AD287">
            <v>6.4788883949176965E-2</v>
          </cell>
          <cell r="AE287">
            <v>2.1111002499999998</v>
          </cell>
          <cell r="AF287">
            <v>14.556940877311712</v>
          </cell>
          <cell r="AG287">
            <v>9.8276359360102088</v>
          </cell>
          <cell r="AH287">
            <v>202401</v>
          </cell>
          <cell r="AJ287" t="str">
            <v xml:space="preserve">MECL:Deferment due to electrical tripping, further leading to elastomer damage in some wells.WS rig job needed.
B-06.1:Choke increase in LD-p1 leading to prod'n increase.
SCB:Intermittent pumping. Field prod'n 3.4k bopd
SPOC:No export. Stock 244k out of 300k.
LZC:Quota for the month is 399k bopd.
</v>
          </cell>
        </row>
        <row r="288">
          <cell r="C288">
            <v>45296</v>
          </cell>
          <cell r="D288">
            <v>350475</v>
          </cell>
          <cell r="E288">
            <v>29321</v>
          </cell>
          <cell r="F288">
            <v>22346.32</v>
          </cell>
          <cell r="G288">
            <v>3177</v>
          </cell>
          <cell r="H288">
            <v>2508</v>
          </cell>
          <cell r="I288">
            <v>170160</v>
          </cell>
          <cell r="J288">
            <v>176878.56</v>
          </cell>
          <cell r="K288">
            <v>48888.2091</v>
          </cell>
          <cell r="L288">
            <v>0</v>
          </cell>
          <cell r="M288">
            <v>402679</v>
          </cell>
          <cell r="N288">
            <v>8908</v>
          </cell>
          <cell r="O288">
            <v>4321</v>
          </cell>
          <cell r="P288">
            <v>104.72516999999999</v>
          </cell>
          <cell r="Q288">
            <v>0</v>
          </cell>
          <cell r="R288">
            <v>146856.6107015</v>
          </cell>
          <cell r="S288">
            <v>8.6992102438927699</v>
          </cell>
          <cell r="T288">
            <v>0.324986</v>
          </cell>
          <cell r="U288">
            <v>3.6304711635664465E-3</v>
          </cell>
          <cell r="V288">
            <v>1.7000000000000001E-2</v>
          </cell>
          <cell r="W288">
            <v>0.31301999999999996</v>
          </cell>
          <cell r="X288">
            <v>13.494999999999999</v>
          </cell>
          <cell r="Y288">
            <v>11.496791</v>
          </cell>
          <cell r="AB288">
            <v>0</v>
          </cell>
          <cell r="AC288">
            <v>0.23871079182323507</v>
          </cell>
          <cell r="AD288">
            <v>6.572333900613625E-2</v>
          </cell>
          <cell r="AE288">
            <v>2.1157002500000002</v>
          </cell>
          <cell r="AF288">
            <v>14.546916723064333</v>
          </cell>
          <cell r="AG288">
            <v>9.7785134445723667</v>
          </cell>
          <cell r="AH288">
            <v>202401</v>
          </cell>
        </row>
        <row r="289">
          <cell r="C289">
            <v>45297</v>
          </cell>
          <cell r="D289">
            <v>348118</v>
          </cell>
          <cell r="E289">
            <v>28396</v>
          </cell>
          <cell r="F289">
            <v>17224.55</v>
          </cell>
          <cell r="G289">
            <v>3191</v>
          </cell>
          <cell r="H289">
            <v>2532</v>
          </cell>
          <cell r="I289">
            <v>170160</v>
          </cell>
          <cell r="J289">
            <v>176350.32</v>
          </cell>
          <cell r="K289">
            <v>48558.862200000003</v>
          </cell>
          <cell r="L289">
            <v>0</v>
          </cell>
          <cell r="M289">
            <v>401319</v>
          </cell>
          <cell r="N289">
            <v>8937</v>
          </cell>
          <cell r="O289">
            <v>3303</v>
          </cell>
          <cell r="P289">
            <v>162.08814599999999</v>
          </cell>
          <cell r="Q289">
            <v>0</v>
          </cell>
          <cell r="R289">
            <v>142345.89921570002</v>
          </cell>
          <cell r="S289">
            <v>8.7909567403942273</v>
          </cell>
          <cell r="T289">
            <v>0.336783</v>
          </cell>
          <cell r="U289">
            <v>2.7143937227273626E-3</v>
          </cell>
          <cell r="V289">
            <v>1.7000000000000001E-2</v>
          </cell>
          <cell r="W289">
            <v>0.31351999999999997</v>
          </cell>
          <cell r="X289">
            <v>13.494999999999999</v>
          </cell>
          <cell r="Y289">
            <v>11.372481000000001</v>
          </cell>
          <cell r="AB289">
            <v>0</v>
          </cell>
          <cell r="AC289">
            <v>0.24409098760572789</v>
          </cell>
          <cell r="AD289">
            <v>6.6657794063095535E-2</v>
          </cell>
          <cell r="AE289">
            <v>2.1059002499999999</v>
          </cell>
          <cell r="AF289">
            <v>14.530266432958511</v>
          </cell>
          <cell r="AG289">
            <v>9.7450811786738303</v>
          </cell>
          <cell r="AH289">
            <v>202401</v>
          </cell>
          <cell r="AJ289" t="str">
            <v xml:space="preserve">
CPO-5:Wells flowing with reduced chokes due to non availibility of sufficient no. of tankers.</v>
          </cell>
        </row>
        <row r="290">
          <cell r="C290">
            <v>45298</v>
          </cell>
          <cell r="D290">
            <v>335426</v>
          </cell>
          <cell r="E290">
            <v>28610</v>
          </cell>
          <cell r="F290">
            <v>16825</v>
          </cell>
          <cell r="G290">
            <v>3231</v>
          </cell>
          <cell r="H290">
            <v>2556</v>
          </cell>
          <cell r="I290">
            <v>170160</v>
          </cell>
          <cell r="J290">
            <v>175182.24000000002</v>
          </cell>
          <cell r="K290">
            <v>49229.306529999994</v>
          </cell>
          <cell r="L290">
            <v>0</v>
          </cell>
          <cell r="M290">
            <v>394409</v>
          </cell>
          <cell r="N290">
            <v>8227</v>
          </cell>
          <cell r="O290">
            <v>3752</v>
          </cell>
          <cell r="P290">
            <v>113.40509400000001</v>
          </cell>
          <cell r="Q290">
            <v>0</v>
          </cell>
          <cell r="R290">
            <v>141541.91192479999</v>
          </cell>
          <cell r="S290">
            <v>8.829750783667988</v>
          </cell>
          <cell r="T290">
            <v>0.32356099999999999</v>
          </cell>
          <cell r="U290">
            <v>3.0363559650796973E-3</v>
          </cell>
          <cell r="V290">
            <v>1.7000000000000001E-2</v>
          </cell>
          <cell r="W290">
            <v>0.31236999999999998</v>
          </cell>
          <cell r="X290">
            <v>13.494999999999999</v>
          </cell>
          <cell r="Y290">
            <v>11.371836999999999</v>
          </cell>
          <cell r="AB290">
            <v>0</v>
          </cell>
          <cell r="AC290">
            <v>0.23296247738194009</v>
          </cell>
          <cell r="AD290">
            <v>6.6119774484846253E-2</v>
          </cell>
          <cell r="AE290">
            <v>2.1025002499999998</v>
          </cell>
          <cell r="AF290">
            <v>14.51353119239297</v>
          </cell>
          <cell r="AG290">
            <v>9.7355009797910412</v>
          </cell>
          <cell r="AH290">
            <v>202401</v>
          </cell>
          <cell r="AJ290" t="str">
            <v>CPO-5:Wells(Indico-2&amp;6) flowing with reduced chokes due to non availibility of sufficient no. of tankers due to community bloackade at Cusiana
SPOC:SPOC:No export. 5 wells flowing. Stock 250k out of 300k.
BC-10: MOBO -6 not yet ramped up, as low insulation resistance reported.Being investigated.</v>
          </cell>
        </row>
        <row r="291">
          <cell r="C291">
            <v>45299</v>
          </cell>
          <cell r="D291">
            <v>338935</v>
          </cell>
          <cell r="E291">
            <v>27679</v>
          </cell>
          <cell r="F291">
            <v>14957</v>
          </cell>
          <cell r="G291">
            <v>3241</v>
          </cell>
          <cell r="H291">
            <v>2506</v>
          </cell>
          <cell r="I291">
            <v>177600</v>
          </cell>
          <cell r="J291">
            <v>174222.48</v>
          </cell>
          <cell r="K291">
            <v>49641.41</v>
          </cell>
          <cell r="L291">
            <v>0</v>
          </cell>
          <cell r="M291">
            <v>419233</v>
          </cell>
          <cell r="N291">
            <v>8444</v>
          </cell>
          <cell r="O291">
            <v>3010</v>
          </cell>
          <cell r="P291">
            <v>155.60965199999998</v>
          </cell>
          <cell r="Q291">
            <v>0</v>
          </cell>
          <cell r="R291">
            <v>142099.51014340002</v>
          </cell>
          <cell r="S291">
            <v>8.8473072120108593</v>
          </cell>
          <cell r="T291">
            <v>0.31684499999999999</v>
          </cell>
          <cell r="U291">
            <v>2.8750067252447278E-3</v>
          </cell>
          <cell r="V291">
            <v>1.7000000000000001E-2</v>
          </cell>
          <cell r="W291">
            <v>0.31289</v>
          </cell>
          <cell r="X291">
            <v>13.494999999999999</v>
          </cell>
          <cell r="Y291">
            <v>11.416906000000001</v>
          </cell>
          <cell r="AA291">
            <v>0</v>
          </cell>
          <cell r="AB291">
            <v>0</v>
          </cell>
          <cell r="AC291">
            <v>0.23899396002231363</v>
          </cell>
          <cell r="AD291">
            <v>6.6402942683924826E-2</v>
          </cell>
          <cell r="AE291">
            <v>2.10280025</v>
          </cell>
          <cell r="AF291">
            <v>14.520468813270393</v>
          </cell>
          <cell r="AG291">
            <v>9.7483093347371135</v>
          </cell>
          <cell r="AH291">
            <v>202401</v>
          </cell>
          <cell r="AJ291" t="str">
            <v xml:space="preserve">
SPOC:No export. 5 wells flowing. Stock around 252k out of 300k.
CPO-5:Wells(Indico-2&amp;6) flowing with reduced chokes due to non availibility of sufficient no. of tankers due to community bloackade at Cusiana</v>
          </cell>
        </row>
        <row r="292">
          <cell r="C292">
            <v>45300</v>
          </cell>
          <cell r="D292">
            <v>333903</v>
          </cell>
          <cell r="E292">
            <v>30591</v>
          </cell>
          <cell r="F292">
            <v>14937</v>
          </cell>
          <cell r="G292">
            <v>3238</v>
          </cell>
          <cell r="H292">
            <v>2501</v>
          </cell>
          <cell r="I292">
            <v>177600</v>
          </cell>
          <cell r="J292">
            <v>176298</v>
          </cell>
          <cell r="K292">
            <v>49133.714000000007</v>
          </cell>
          <cell r="L292">
            <v>0</v>
          </cell>
          <cell r="M292">
            <v>420158</v>
          </cell>
          <cell r="N292">
            <v>8522</v>
          </cell>
          <cell r="O292">
            <v>3644</v>
          </cell>
          <cell r="P292">
            <v>187.37314199999997</v>
          </cell>
          <cell r="Q292">
            <v>0</v>
          </cell>
          <cell r="R292">
            <v>143475.19571390006</v>
          </cell>
          <cell r="S292">
            <v>8.6938300481102768</v>
          </cell>
          <cell r="T292">
            <v>0.30504599999999998</v>
          </cell>
          <cell r="U292">
            <v>2.8980849334696314E-3</v>
          </cell>
          <cell r="V292">
            <v>1.7000000000000001E-2</v>
          </cell>
          <cell r="W292">
            <v>0.31230999999999998</v>
          </cell>
          <cell r="X292">
            <v>13.494999999999999</v>
          </cell>
          <cell r="Y292">
            <v>11.48</v>
          </cell>
          <cell r="AA292">
            <v>0</v>
          </cell>
          <cell r="AB292">
            <v>0</v>
          </cell>
          <cell r="AC292">
            <v>0.22766723205917078</v>
          </cell>
          <cell r="AD292">
            <v>6.6657794063095535E-2</v>
          </cell>
          <cell r="AE292">
            <v>2.1037002500000002</v>
          </cell>
          <cell r="AF292">
            <v>14.476294574214137</v>
          </cell>
          <cell r="AG292">
            <v>9.7491702568329259</v>
          </cell>
          <cell r="AH292">
            <v>202401</v>
          </cell>
          <cell r="AJ292" t="str">
            <v xml:space="preserve">
SPOC:No export. 5 wells flowing. Stock around 255k out of 300k.
CPO-5:Wells(Indico-2,5&amp;6) flowing with reduced chokes due to non availibility of sufficient no. of tankers due to community bloackade at Cusiana
BC-10:Megger test planned for MOBO-6 (to verify the condition of electrical insulation)</v>
          </cell>
        </row>
        <row r="293">
          <cell r="C293">
            <v>45301</v>
          </cell>
          <cell r="D293">
            <v>343855</v>
          </cell>
          <cell r="E293">
            <v>26654</v>
          </cell>
          <cell r="F293">
            <v>20338</v>
          </cell>
          <cell r="G293">
            <v>3308</v>
          </cell>
          <cell r="H293">
            <v>2449</v>
          </cell>
          <cell r="I293">
            <v>177600</v>
          </cell>
          <cell r="J293">
            <v>175197</v>
          </cell>
          <cell r="K293">
            <v>49722.620350000005</v>
          </cell>
          <cell r="L293">
            <v>0</v>
          </cell>
          <cell r="M293">
            <v>417762</v>
          </cell>
          <cell r="N293">
            <v>8510</v>
          </cell>
          <cell r="O293">
            <v>3626</v>
          </cell>
          <cell r="P293">
            <v>76.04368199999999</v>
          </cell>
          <cell r="Q293">
            <v>0</v>
          </cell>
          <cell r="R293">
            <v>146112.30524440002</v>
          </cell>
          <cell r="S293">
            <v>7.9765649998442587</v>
          </cell>
          <cell r="T293">
            <v>0.30980400000000002</v>
          </cell>
          <cell r="U293">
            <v>3.3113689200248053E-3</v>
          </cell>
          <cell r="V293">
            <v>1.7000000000000001E-2</v>
          </cell>
          <cell r="W293">
            <v>0.31319999999999998</v>
          </cell>
          <cell r="X293">
            <v>13.494999999999999</v>
          </cell>
          <cell r="Y293">
            <v>11.57</v>
          </cell>
          <cell r="AB293">
            <v>0</v>
          </cell>
          <cell r="AC293">
            <v>0.22596822286469939</v>
          </cell>
          <cell r="AD293">
            <v>6.6940962262174108E-2</v>
          </cell>
          <cell r="AE293">
            <v>2.0923002500000001</v>
          </cell>
          <cell r="AF293">
            <v>14.46476962851164</v>
          </cell>
          <cell r="AG293">
            <v>9.7513025285073844</v>
          </cell>
          <cell r="AH293">
            <v>202401</v>
          </cell>
          <cell r="AJ293" t="str">
            <v xml:space="preserve">
SPOC:No export. 5 wells flowing. Stock around 254k out of 300k.
CPO-5:Perico-1x production started. </v>
          </cell>
        </row>
        <row r="294">
          <cell r="C294">
            <v>45302</v>
          </cell>
          <cell r="D294">
            <v>344051</v>
          </cell>
          <cell r="E294">
            <v>25208</v>
          </cell>
          <cell r="F294">
            <v>6624</v>
          </cell>
          <cell r="G294">
            <v>3301</v>
          </cell>
          <cell r="H294">
            <v>2488</v>
          </cell>
          <cell r="I294">
            <v>177600</v>
          </cell>
          <cell r="J294">
            <v>173739</v>
          </cell>
          <cell r="K294">
            <v>49235.946229999994</v>
          </cell>
          <cell r="L294">
            <v>0</v>
          </cell>
          <cell r="M294">
            <v>421847</v>
          </cell>
          <cell r="N294">
            <v>8531</v>
          </cell>
          <cell r="O294">
            <v>3314</v>
          </cell>
          <cell r="P294">
            <v>181.712322</v>
          </cell>
          <cell r="Q294">
            <v>0</v>
          </cell>
          <cell r="R294">
            <v>135749.82520240001</v>
          </cell>
          <cell r="S294">
            <v>8.1623233384397995</v>
          </cell>
          <cell r="T294">
            <v>0.323604</v>
          </cell>
          <cell r="U294">
            <v>2.1875592883416821E-3</v>
          </cell>
          <cell r="V294">
            <v>1.7000000000000001E-2</v>
          </cell>
          <cell r="W294">
            <v>0.31480999999999998</v>
          </cell>
          <cell r="X294">
            <v>13.494999999999999</v>
          </cell>
          <cell r="Y294">
            <v>11.51</v>
          </cell>
          <cell r="AB294">
            <v>0</v>
          </cell>
          <cell r="AC294">
            <v>0.23502960523521368</v>
          </cell>
          <cell r="AD294">
            <v>6.6657794063095535E-2</v>
          </cell>
          <cell r="AE294">
            <v>2.0985002499999998</v>
          </cell>
          <cell r="AF294">
            <v>14.453442900548495</v>
          </cell>
          <cell r="AG294">
            <v>9.7462908204141545</v>
          </cell>
          <cell r="AH294">
            <v>202401</v>
          </cell>
          <cell r="AJ294" t="str">
            <v>CPO-5:Indico Wells closed since 7 am due to community  strike.Perico-1X rate about 308 bopd, WC 39%. Under stabilization.
SPOC:No export. 5 wells flowing. Stock around 254.7k out of 300k.</v>
          </cell>
        </row>
        <row r="295">
          <cell r="C295">
            <v>45303</v>
          </cell>
          <cell r="D295">
            <v>338026</v>
          </cell>
          <cell r="E295">
            <v>25648</v>
          </cell>
          <cell r="F295">
            <v>1005</v>
          </cell>
          <cell r="G295">
            <v>3255</v>
          </cell>
          <cell r="H295">
            <v>2551</v>
          </cell>
          <cell r="I295">
            <v>177600</v>
          </cell>
          <cell r="J295">
            <v>174870</v>
          </cell>
          <cell r="K295">
            <v>50244.995999999999</v>
          </cell>
          <cell r="L295">
            <v>0</v>
          </cell>
          <cell r="M295">
            <v>430437</v>
          </cell>
          <cell r="N295">
            <v>8500</v>
          </cell>
          <cell r="O295">
            <v>6203</v>
          </cell>
          <cell r="P295">
            <v>88.182995999999989</v>
          </cell>
          <cell r="Q295">
            <v>0</v>
          </cell>
          <cell r="R295">
            <v>133836.1719482</v>
          </cell>
          <cell r="S295">
            <v>7.89841057689857</v>
          </cell>
          <cell r="T295">
            <v>0.325988</v>
          </cell>
          <cell r="U295">
            <v>1.6858135563943626E-3</v>
          </cell>
          <cell r="V295">
            <v>1.7000000000000001E-2</v>
          </cell>
          <cell r="W295">
            <v>0.31120999999999999</v>
          </cell>
          <cell r="X295">
            <v>13.494999999999999</v>
          </cell>
          <cell r="Y295">
            <v>11.56</v>
          </cell>
          <cell r="Z295">
            <v>0</v>
          </cell>
          <cell r="AB295">
            <v>0</v>
          </cell>
          <cell r="AC295">
            <v>0.22993257765179936</v>
          </cell>
          <cell r="AD295">
            <v>6.6402942683924826E-2</v>
          </cell>
          <cell r="AE295">
            <v>2.1043002500000001</v>
          </cell>
          <cell r="AF295">
            <v>14.056922471378773</v>
          </cell>
          <cell r="AG295">
            <v>9.6844258070654927</v>
          </cell>
          <cell r="AH295">
            <v>202401</v>
          </cell>
        </row>
        <row r="296">
          <cell r="C296">
            <v>45304</v>
          </cell>
          <cell r="D296">
            <v>321678</v>
          </cell>
          <cell r="E296">
            <v>25088</v>
          </cell>
          <cell r="F296">
            <v>1078</v>
          </cell>
          <cell r="G296">
            <v>3346</v>
          </cell>
          <cell r="H296">
            <v>2494</v>
          </cell>
          <cell r="I296">
            <v>177600</v>
          </cell>
          <cell r="J296">
            <v>174141</v>
          </cell>
          <cell r="K296">
            <v>51665.34</v>
          </cell>
          <cell r="L296">
            <v>0</v>
          </cell>
          <cell r="M296">
            <v>424706</v>
          </cell>
          <cell r="N296">
            <v>8201</v>
          </cell>
          <cell r="O296">
            <v>4112</v>
          </cell>
          <cell r="P296">
            <v>188.56820399999998</v>
          </cell>
          <cell r="Q296">
            <v>0</v>
          </cell>
          <cell r="R296">
            <v>132459.12249179999</v>
          </cell>
          <cell r="S296">
            <v>7.2584504469809996</v>
          </cell>
          <cell r="T296">
            <v>0.32662000000000002</v>
          </cell>
          <cell r="U296">
            <v>1.7178115628902412E-3</v>
          </cell>
          <cell r="V296">
            <v>1.7000000000000001E-2</v>
          </cell>
          <cell r="W296">
            <v>0.31322000000000005</v>
          </cell>
          <cell r="X296">
            <v>13.494999999999999</v>
          </cell>
          <cell r="Y296">
            <v>11.59</v>
          </cell>
          <cell r="Z296">
            <v>0</v>
          </cell>
          <cell r="AB296">
            <v>0</v>
          </cell>
          <cell r="AC296">
            <v>0.24862167879098501</v>
          </cell>
          <cell r="AD296">
            <v>7.0367297471024812E-2</v>
          </cell>
          <cell r="AE296">
            <v>2.0847000000000002</v>
          </cell>
          <cell r="AF296">
            <v>14.436566075883412</v>
          </cell>
          <cell r="AG296">
            <v>9.7390066099748829</v>
          </cell>
          <cell r="AH296">
            <v>202401</v>
          </cell>
          <cell r="AJ296" t="str">
            <v>ACG:s/d in west chirag</v>
          </cell>
        </row>
        <row r="297">
          <cell r="C297">
            <v>45305</v>
          </cell>
          <cell r="D297">
            <v>298838</v>
          </cell>
          <cell r="E297">
            <v>32101</v>
          </cell>
          <cell r="F297">
            <v>1225</v>
          </cell>
          <cell r="G297">
            <v>3405</v>
          </cell>
          <cell r="H297">
            <v>2536</v>
          </cell>
          <cell r="I297">
            <v>177600</v>
          </cell>
          <cell r="J297">
            <v>174126</v>
          </cell>
          <cell r="K297">
            <v>51218.429110000005</v>
          </cell>
          <cell r="L297">
            <v>0</v>
          </cell>
          <cell r="M297">
            <v>429232</v>
          </cell>
          <cell r="N297">
            <v>8302</v>
          </cell>
          <cell r="O297">
            <v>4410</v>
          </cell>
          <cell r="P297">
            <v>197.625516</v>
          </cell>
          <cell r="Q297">
            <v>0</v>
          </cell>
          <cell r="R297">
            <v>134199.22655970001</v>
          </cell>
          <cell r="S297">
            <v>7.4003177147193631</v>
          </cell>
          <cell r="T297">
            <v>0.32575999999999999</v>
          </cell>
          <cell r="U297">
            <v>1.7167921573735582E-3</v>
          </cell>
          <cell r="V297">
            <v>1.7000000000000001E-2</v>
          </cell>
          <cell r="W297">
            <v>0.31313000000000002</v>
          </cell>
          <cell r="X297">
            <v>13.494999999999999</v>
          </cell>
          <cell r="Y297">
            <v>12.08</v>
          </cell>
          <cell r="AB297">
            <v>0</v>
          </cell>
          <cell r="AC297">
            <v>0.25853256575873501</v>
          </cell>
          <cell r="AD297">
            <v>6.9631060153420535E-2</v>
          </cell>
          <cell r="AE297">
            <v>2.1039002500000001</v>
          </cell>
          <cell r="AF297">
            <v>14.437387263660741</v>
          </cell>
          <cell r="AG297">
            <v>9.8789362473373341</v>
          </cell>
          <cell r="AH297">
            <v>202401</v>
          </cell>
          <cell r="AJ297" t="str">
            <v>ACG:s/d in west chirag
CPO-5:The blockade at Indico pad was lifted at 14:30 hrs on 14.01.2024.Wells opening on 15th. Perico well flowing @ about 600 bopd,9% WC)
SPOC:No export.5 MALA wells flowing. Stock 260k out 300k bbl.</v>
          </cell>
        </row>
        <row r="298">
          <cell r="C298">
            <v>45306</v>
          </cell>
          <cell r="D298">
            <v>344449</v>
          </cell>
          <cell r="E298">
            <v>31742</v>
          </cell>
          <cell r="F298">
            <v>18384</v>
          </cell>
          <cell r="G298">
            <v>3438</v>
          </cell>
          <cell r="H298">
            <v>2507</v>
          </cell>
          <cell r="I298">
            <v>185000</v>
          </cell>
          <cell r="J298">
            <v>173486</v>
          </cell>
          <cell r="K298">
            <v>50447.00619</v>
          </cell>
          <cell r="L298">
            <v>0</v>
          </cell>
          <cell r="M298">
            <v>429477</v>
          </cell>
          <cell r="N298">
            <v>8191.0000000000009</v>
          </cell>
          <cell r="O298">
            <v>2410</v>
          </cell>
          <cell r="P298">
            <v>117.30476999999999</v>
          </cell>
          <cell r="Q298">
            <v>0</v>
          </cell>
          <cell r="R298">
            <v>147436.90059400001</v>
          </cell>
          <cell r="S298">
            <v>7.7058562015251431</v>
          </cell>
          <cell r="T298">
            <v>0.32505000000000001</v>
          </cell>
          <cell r="U298">
            <v>2.9638649061155837E-3</v>
          </cell>
          <cell r="V298">
            <v>1.7000000000000001E-2</v>
          </cell>
          <cell r="W298">
            <v>0.31308999999999998</v>
          </cell>
          <cell r="X298">
            <v>13.494999999999999</v>
          </cell>
          <cell r="Y298">
            <v>12.08</v>
          </cell>
          <cell r="AB298">
            <v>0</v>
          </cell>
          <cell r="AC298">
            <v>0.25003751978637789</v>
          </cell>
          <cell r="AD298">
            <v>6.9461159233973377E-2</v>
          </cell>
          <cell r="AE298">
            <v>2.1145002499999999</v>
          </cell>
          <cell r="AF298">
            <v>14.43302647339493</v>
          </cell>
          <cell r="AG298">
            <v>9.8896616875367407</v>
          </cell>
          <cell r="AH298">
            <v>202401</v>
          </cell>
          <cell r="AJ298" t="str">
            <v>SPOC:No export. All wells closed to avoid tank top. Stock around 261k out of 300k.
CPO-5:Indico wells progressively opened. Multi rate test going on in perico-1x.
S-1 gas updated based on Dec-23 report.</v>
          </cell>
        </row>
        <row r="299">
          <cell r="C299">
            <v>45307</v>
          </cell>
          <cell r="D299">
            <v>352303</v>
          </cell>
          <cell r="E299">
            <v>31333</v>
          </cell>
          <cell r="F299">
            <v>25098</v>
          </cell>
          <cell r="G299">
            <v>3433</v>
          </cell>
          <cell r="H299">
            <v>2532</v>
          </cell>
          <cell r="I299">
            <v>185000</v>
          </cell>
          <cell r="J299">
            <v>173947</v>
          </cell>
          <cell r="K299">
            <v>50748.663999999997</v>
          </cell>
          <cell r="L299">
            <v>0</v>
          </cell>
          <cell r="M299">
            <v>418491</v>
          </cell>
          <cell r="N299">
            <v>8037.0000000000009</v>
          </cell>
          <cell r="O299">
            <v>3603</v>
          </cell>
          <cell r="P299">
            <v>165.92492399999998</v>
          </cell>
          <cell r="Q299">
            <v>0</v>
          </cell>
          <cell r="R299">
            <v>152468.17151580003</v>
          </cell>
          <cell r="S299">
            <v>7.4730919418825579</v>
          </cell>
          <cell r="T299">
            <v>0.32052000000000003</v>
          </cell>
          <cell r="U299">
            <v>3.7002154909994986E-3</v>
          </cell>
          <cell r="V299">
            <v>1.7000000000000001E-2</v>
          </cell>
          <cell r="W299">
            <v>0.31772</v>
          </cell>
          <cell r="X299">
            <v>13.494999999999999</v>
          </cell>
          <cell r="Y299">
            <v>12.05</v>
          </cell>
          <cell r="Z299">
            <v>0</v>
          </cell>
          <cell r="AB299">
            <v>0</v>
          </cell>
          <cell r="AC299">
            <v>0.25315236997624219</v>
          </cell>
          <cell r="AD299">
            <v>6.9772644252959815E-2</v>
          </cell>
          <cell r="AE299">
            <v>2.1176002500000002</v>
          </cell>
          <cell r="AF299">
            <v>14.430562910062948</v>
          </cell>
          <cell r="AG299">
            <v>9.8818506003104591</v>
          </cell>
          <cell r="AH299">
            <v>202401</v>
          </cell>
        </row>
        <row r="300">
          <cell r="C300">
            <v>45308</v>
          </cell>
          <cell r="D300">
            <v>342310</v>
          </cell>
          <cell r="E300">
            <v>31629</v>
          </cell>
          <cell r="F300">
            <v>7818</v>
          </cell>
          <cell r="G300">
            <v>3413</v>
          </cell>
          <cell r="H300">
            <v>2529</v>
          </cell>
          <cell r="I300">
            <v>185000</v>
          </cell>
          <cell r="J300">
            <v>175562</v>
          </cell>
          <cell r="K300">
            <v>51169.843000000001</v>
          </cell>
          <cell r="L300">
            <v>0</v>
          </cell>
          <cell r="M300">
            <v>389778</v>
          </cell>
          <cell r="N300">
            <v>8128</v>
          </cell>
          <cell r="O300">
            <v>4628</v>
          </cell>
          <cell r="P300">
            <v>98.372472000000002</v>
          </cell>
          <cell r="Q300">
            <v>0</v>
          </cell>
          <cell r="R300">
            <v>139974.53936239998</v>
          </cell>
          <cell r="S300">
            <v>8.1453332464950883</v>
          </cell>
          <cell r="T300">
            <v>0.31958300000000001</v>
          </cell>
          <cell r="U300">
            <v>2.2743786581791718E-3</v>
          </cell>
          <cell r="V300">
            <v>1.7000000000000001E-2</v>
          </cell>
          <cell r="W300">
            <v>0.31206</v>
          </cell>
          <cell r="X300">
            <v>13.494999999999999</v>
          </cell>
          <cell r="Y300">
            <v>11.96</v>
          </cell>
          <cell r="Z300">
            <v>0</v>
          </cell>
          <cell r="AB300">
            <v>0</v>
          </cell>
          <cell r="AC300">
            <v>0.26419592974030642</v>
          </cell>
          <cell r="AD300">
            <v>7.0792049769642665E-2</v>
          </cell>
          <cell r="AE300">
            <v>2.1120002499999999</v>
          </cell>
          <cell r="AF300">
            <v>14.43965260925337</v>
          </cell>
          <cell r="AG300">
            <v>9.867716101307126</v>
          </cell>
          <cell r="AH300">
            <v>202401</v>
          </cell>
          <cell r="AI300" t="str">
            <v>Provisional figure for CPO-5 (Assumed mariposa prod as 600 bopd as report not recvd)</v>
          </cell>
          <cell r="AJ300" t="str">
            <v xml:space="preserve">
CPO-5:Blockade at Indico wells. All wells closed at 7 am morning
SPOC:No export. All wells closed to avoid tank top. Stock around 261k out of 300k.</v>
          </cell>
        </row>
        <row r="301">
          <cell r="C301">
            <v>45309</v>
          </cell>
          <cell r="D301">
            <v>331467</v>
          </cell>
          <cell r="E301">
            <v>31553</v>
          </cell>
          <cell r="F301">
            <v>600</v>
          </cell>
          <cell r="G301">
            <v>3346</v>
          </cell>
          <cell r="H301">
            <v>2523</v>
          </cell>
          <cell r="I301">
            <v>185000</v>
          </cell>
          <cell r="J301">
            <v>174081</v>
          </cell>
          <cell r="K301">
            <v>51816.05</v>
          </cell>
          <cell r="L301">
            <v>0</v>
          </cell>
          <cell r="M301">
            <v>410865</v>
          </cell>
          <cell r="N301">
            <v>8226</v>
          </cell>
          <cell r="O301">
            <v>2881</v>
          </cell>
          <cell r="P301">
            <v>181.901016</v>
          </cell>
          <cell r="Q301">
            <v>0</v>
          </cell>
          <cell r="R301">
            <v>134580.98565719998</v>
          </cell>
          <cell r="S301">
            <v>7.7749492421003197</v>
          </cell>
          <cell r="T301">
            <v>0.31884800000000002</v>
          </cell>
          <cell r="U301">
            <v>1.7043044397941933E-3</v>
          </cell>
          <cell r="V301">
            <v>1.7000000000000001E-2</v>
          </cell>
          <cell r="W301">
            <v>0.30991000000000002</v>
          </cell>
          <cell r="X301">
            <v>13.494999999999999</v>
          </cell>
          <cell r="Y301">
            <v>11.83</v>
          </cell>
          <cell r="Z301">
            <v>0</v>
          </cell>
          <cell r="AB301">
            <v>0</v>
          </cell>
          <cell r="AC301">
            <v>0.2256850546656208</v>
          </cell>
          <cell r="AD301">
            <v>7.1783138466417665E-2</v>
          </cell>
          <cell r="AE301">
            <v>2.1126002499999998</v>
          </cell>
          <cell r="AF301">
            <v>12.331408733473596</v>
          </cell>
          <cell r="AG301">
            <v>9.460641509190669</v>
          </cell>
          <cell r="AH301">
            <v>202401</v>
          </cell>
          <cell r="AJ301" t="str">
            <v xml:space="preserve">
CPO-5:Blockade at Indico wells lifted on 18th evening.Wells to be opened.Perico well closed for PBU
SPOC:No export. All wells closed to avoid tank top. Stock around 262k out of 300k.
A1-A3: Production deferment due to reinstatement trial of well MND-D.Well MND-d closed again due to insufficient flow.</v>
          </cell>
        </row>
        <row r="302">
          <cell r="C302">
            <v>45310</v>
          </cell>
          <cell r="D302">
            <v>343301</v>
          </cell>
          <cell r="E302">
            <v>31333</v>
          </cell>
          <cell r="F302">
            <v>7954</v>
          </cell>
          <cell r="G302">
            <v>3303</v>
          </cell>
          <cell r="H302">
            <v>2520</v>
          </cell>
          <cell r="I302">
            <v>185000</v>
          </cell>
          <cell r="J302">
            <v>173731</v>
          </cell>
          <cell r="K302">
            <v>49982.413</v>
          </cell>
          <cell r="L302">
            <v>0</v>
          </cell>
          <cell r="M302">
            <v>385711</v>
          </cell>
          <cell r="N302">
            <v>8217</v>
          </cell>
          <cell r="O302">
            <v>3478</v>
          </cell>
          <cell r="P302">
            <v>134.098536</v>
          </cell>
          <cell r="Q302">
            <v>0</v>
          </cell>
          <cell r="R302">
            <v>138578.98069119998</v>
          </cell>
          <cell r="S302">
            <v>7.8511214876524464</v>
          </cell>
          <cell r="T302">
            <v>0.31887199999999999</v>
          </cell>
          <cell r="U302">
            <v>2.2750582618569605E-3</v>
          </cell>
          <cell r="V302">
            <v>1.7000000000000001E-2</v>
          </cell>
          <cell r="W302">
            <v>0.30906</v>
          </cell>
          <cell r="X302">
            <v>13.494999999999999</v>
          </cell>
          <cell r="Y302">
            <v>12.01</v>
          </cell>
          <cell r="Z302">
            <v>0</v>
          </cell>
          <cell r="AB302">
            <v>0</v>
          </cell>
          <cell r="AC302">
            <v>0.25598405196702784</v>
          </cell>
          <cell r="AD302">
            <v>7.1188485248352654E-2</v>
          </cell>
          <cell r="AE302">
            <v>2.1120002499999999</v>
          </cell>
          <cell r="AF302">
            <v>14.417961925203951</v>
          </cell>
          <cell r="AG302">
            <v>9.866296166748457</v>
          </cell>
          <cell r="AH302">
            <v>202401</v>
          </cell>
        </row>
        <row r="303">
          <cell r="C303">
            <v>45311</v>
          </cell>
          <cell r="D303">
            <v>329660</v>
          </cell>
          <cell r="E303">
            <v>31365</v>
          </cell>
          <cell r="F303">
            <v>24231</v>
          </cell>
          <cell r="G303">
            <v>3329</v>
          </cell>
          <cell r="H303">
            <v>2499</v>
          </cell>
          <cell r="I303">
            <v>185000</v>
          </cell>
          <cell r="J303">
            <v>173910</v>
          </cell>
          <cell r="K303">
            <v>51384.360999999997</v>
          </cell>
          <cell r="L303">
            <v>0</v>
          </cell>
          <cell r="M303">
            <v>294432</v>
          </cell>
          <cell r="N303">
            <v>8409</v>
          </cell>
          <cell r="O303">
            <v>3757</v>
          </cell>
          <cell r="P303">
            <v>134.35012799999998</v>
          </cell>
          <cell r="Q303">
            <v>0</v>
          </cell>
          <cell r="R303">
            <v>146537.11380759999</v>
          </cell>
          <cell r="S303">
            <v>7.8077967531934265</v>
          </cell>
          <cell r="T303">
            <v>0.31719799999999998</v>
          </cell>
          <cell r="U303">
            <v>3.6344638351734544E-3</v>
          </cell>
          <cell r="V303">
            <v>1.7000000000000001E-2</v>
          </cell>
          <cell r="W303">
            <v>0.30774000000000001</v>
          </cell>
          <cell r="X303">
            <v>13.494999999999999</v>
          </cell>
          <cell r="Y303">
            <v>12.01</v>
          </cell>
          <cell r="Z303">
            <v>0</v>
          </cell>
          <cell r="AB303">
            <v>0</v>
          </cell>
          <cell r="AC303">
            <v>0.24409098760572789</v>
          </cell>
          <cell r="AD303">
            <v>7.1499970267339091E-2</v>
          </cell>
          <cell r="AE303">
            <v>2.1087002500000001</v>
          </cell>
          <cell r="AF303">
            <v>14.486347045281427</v>
          </cell>
          <cell r="AG303">
            <v>9.8734317966247982</v>
          </cell>
          <cell r="AH303">
            <v>202401</v>
          </cell>
        </row>
        <row r="304">
          <cell r="C304">
            <v>45312</v>
          </cell>
          <cell r="D304">
            <v>354212</v>
          </cell>
          <cell r="E304">
            <v>31352</v>
          </cell>
          <cell r="F304">
            <v>24159</v>
          </cell>
          <cell r="G304">
            <v>3444</v>
          </cell>
          <cell r="H304">
            <v>2540</v>
          </cell>
          <cell r="I304">
            <v>185000</v>
          </cell>
          <cell r="J304">
            <v>176016</v>
          </cell>
          <cell r="K304">
            <v>47162.213830000001</v>
          </cell>
          <cell r="L304">
            <v>3757</v>
          </cell>
          <cell r="M304">
            <v>358581</v>
          </cell>
          <cell r="N304">
            <v>8414</v>
          </cell>
          <cell r="O304">
            <v>2512</v>
          </cell>
          <cell r="P304">
            <v>180.26566799999998</v>
          </cell>
          <cell r="Q304">
            <v>0</v>
          </cell>
          <cell r="R304">
            <v>149636.4264581</v>
          </cell>
          <cell r="S304">
            <v>7.7245453026643247</v>
          </cell>
          <cell r="T304">
            <v>0.31837700000000002</v>
          </cell>
          <cell r="U304">
            <v>3.8550518622556605E-3</v>
          </cell>
          <cell r="V304">
            <v>1.7000000000000001E-2</v>
          </cell>
          <cell r="W304">
            <v>0.31386999999999998</v>
          </cell>
          <cell r="X304">
            <v>13.494999999999999</v>
          </cell>
          <cell r="Y304">
            <v>11.99</v>
          </cell>
          <cell r="AA304">
            <v>0</v>
          </cell>
          <cell r="AB304">
            <v>0</v>
          </cell>
          <cell r="AC304">
            <v>0.25230286537900648</v>
          </cell>
          <cell r="AD304">
            <v>7.1783138466417665E-2</v>
          </cell>
          <cell r="AE304">
            <v>2.1022002500000001</v>
          </cell>
          <cell r="AF304">
            <v>14.511322480440155</v>
          </cell>
          <cell r="AG304">
            <v>9.8752488275482087</v>
          </cell>
          <cell r="AH304">
            <v>202401</v>
          </cell>
          <cell r="AJ304" t="str">
            <v>CPO-5:PBU completed at Perico. Well to be opened.
SPOC: Viscocity reducer trial conducted at WHCC(for 8 hrs).Currently all wells closed. Stock level 258.5 kbbl out of 300k.
GPOC: Crude diverted to COST in Eltoor(3k bbl approx) and Toma south(3000 bbl approx) FPF.</v>
          </cell>
        </row>
        <row r="305">
          <cell r="C305">
            <v>45313</v>
          </cell>
          <cell r="D305">
            <v>333684</v>
          </cell>
          <cell r="E305">
            <v>31358</v>
          </cell>
          <cell r="F305">
            <v>23990</v>
          </cell>
          <cell r="G305">
            <v>3505</v>
          </cell>
          <cell r="H305">
            <v>2485</v>
          </cell>
          <cell r="I305">
            <v>177600</v>
          </cell>
          <cell r="J305">
            <v>176536</v>
          </cell>
          <cell r="K305">
            <v>49421.43</v>
          </cell>
          <cell r="L305">
            <v>3213</v>
          </cell>
          <cell r="M305">
            <v>277535</v>
          </cell>
          <cell r="N305">
            <v>8404</v>
          </cell>
          <cell r="O305">
            <v>4165</v>
          </cell>
          <cell r="P305">
            <v>89.252261999999988</v>
          </cell>
          <cell r="Q305">
            <v>0</v>
          </cell>
          <cell r="R305">
            <v>145487.11766789999</v>
          </cell>
          <cell r="S305">
            <v>7.7421017310072031</v>
          </cell>
          <cell r="T305">
            <v>0.317747</v>
          </cell>
          <cell r="U305">
            <v>3.8485956273166698E-3</v>
          </cell>
          <cell r="V305">
            <v>1.7000000000000001E-2</v>
          </cell>
          <cell r="W305">
            <v>0.31054000000000004</v>
          </cell>
          <cell r="X305">
            <v>13.494999999999999</v>
          </cell>
          <cell r="Y305">
            <v>11.88</v>
          </cell>
          <cell r="Z305">
            <v>0</v>
          </cell>
          <cell r="AA305">
            <v>0</v>
          </cell>
          <cell r="AB305">
            <v>0</v>
          </cell>
          <cell r="AC305">
            <v>0.24069296921678507</v>
          </cell>
          <cell r="AD305">
            <v>7.0055812452038388E-2</v>
          </cell>
          <cell r="AE305">
            <v>2.1035002500000002</v>
          </cell>
          <cell r="AF305">
            <v>14.547398109002765</v>
          </cell>
          <cell r="AG305">
            <v>9.8482995995505203</v>
          </cell>
          <cell r="AH305">
            <v>202401</v>
          </cell>
          <cell r="AI305" t="str">
            <v>LZC:Deferment due to ullage issue because of weather</v>
          </cell>
          <cell r="AJ305" t="str">
            <v>CPO-5: Well closed as crude dispatch could not commence owing to BS&amp;W not being within limits(0.5%) .Attempts being made to bring down BS&amp;W to the desired level by blending the crude with well fluid from other wells. Chemical expert team from Baker Hughes is at site to formulate proper dosage of chemical for the crude, once the well starts producing ;Commissioning of boiler also done.
SPOC: Viscocity reducer trial continued (export done for 7 hrs while injecting VR at 30 LPH,400 ppm).Stock 253k bbl out of 300 bbl. All wells closed.
LZC:Deferment due to ullage issue because of weather</v>
          </cell>
        </row>
        <row r="306">
          <cell r="C306">
            <v>45314</v>
          </cell>
          <cell r="D306">
            <v>332094</v>
          </cell>
          <cell r="E306">
            <v>31283</v>
          </cell>
          <cell r="F306">
            <v>23936</v>
          </cell>
          <cell r="G306">
            <v>3401</v>
          </cell>
          <cell r="H306">
            <v>2337</v>
          </cell>
          <cell r="I306">
            <v>177600</v>
          </cell>
          <cell r="J306">
            <v>175941</v>
          </cell>
          <cell r="K306">
            <v>45215.266000000003</v>
          </cell>
          <cell r="L306">
            <v>0</v>
          </cell>
          <cell r="M306">
            <v>338168</v>
          </cell>
          <cell r="N306">
            <v>8404</v>
          </cell>
          <cell r="O306">
            <v>316</v>
          </cell>
          <cell r="P306">
            <v>162.84292199999999</v>
          </cell>
          <cell r="Q306">
            <v>0</v>
          </cell>
          <cell r="R306">
            <v>144129.7972149</v>
          </cell>
          <cell r="S306">
            <v>7.7891076520542413</v>
          </cell>
          <cell r="T306">
            <v>0.31800600000000001</v>
          </cell>
          <cell r="U306">
            <v>3.7954449563496217E-3</v>
          </cell>
          <cell r="V306">
            <v>1.7000000000000001E-2</v>
          </cell>
          <cell r="W306">
            <v>0.30654999999999999</v>
          </cell>
          <cell r="X306">
            <v>13.494999999999999</v>
          </cell>
          <cell r="Y306">
            <v>11.87</v>
          </cell>
          <cell r="Z306">
            <v>0</v>
          </cell>
          <cell r="AA306">
            <v>0</v>
          </cell>
          <cell r="AB306">
            <v>0</v>
          </cell>
          <cell r="AC306">
            <v>0.23672861442968507</v>
          </cell>
          <cell r="AD306">
            <v>6.8470070537198391E-2</v>
          </cell>
          <cell r="AE306">
            <v>2.09920025</v>
          </cell>
          <cell r="AF306">
            <v>14.564699685966465</v>
          </cell>
          <cell r="AG306">
            <v>9.8427640531483416</v>
          </cell>
          <cell r="AH306">
            <v>202401</v>
          </cell>
          <cell r="AJ306" t="str">
            <v>IEC: Production deferment due to pipeline leakage in South Maiskoye. Wells restarted. 
CPO-5:Perico well to be opened on 24th morning(Colombia time)
GPOC: About 4.5k bopd crude transferred to COST in Toma south, El toor and El nar.
SPOC:No export. Tank level 258.5 kbbl out of 300k bbl.
SCB:Field production around 3.5k bopd.</v>
          </cell>
        </row>
        <row r="307">
          <cell r="C307">
            <v>45315</v>
          </cell>
          <cell r="D307">
            <v>350120</v>
          </cell>
          <cell r="E307">
            <v>31472</v>
          </cell>
          <cell r="F307">
            <v>23940.01</v>
          </cell>
          <cell r="G307">
            <v>3424</v>
          </cell>
          <cell r="H307">
            <v>2391</v>
          </cell>
          <cell r="I307">
            <v>177600</v>
          </cell>
          <cell r="J307">
            <v>175502</v>
          </cell>
          <cell r="K307">
            <v>50363.894999999997</v>
          </cell>
          <cell r="L307">
            <v>3216</v>
          </cell>
          <cell r="M307">
            <v>391385</v>
          </cell>
          <cell r="N307">
            <v>8511</v>
          </cell>
          <cell r="O307">
            <v>3815</v>
          </cell>
          <cell r="P307">
            <v>131.268126</v>
          </cell>
          <cell r="Q307">
            <v>0</v>
          </cell>
          <cell r="R307">
            <v>150140.25340669998</v>
          </cell>
          <cell r="S307">
            <v>7.8720759343842648</v>
          </cell>
          <cell r="T307">
            <v>0.32043500000000003</v>
          </cell>
          <cell r="U307">
            <v>3.7422942853825702E-3</v>
          </cell>
          <cell r="V307">
            <v>1.7000000000000001E-2</v>
          </cell>
          <cell r="W307">
            <v>0.30504999999999999</v>
          </cell>
          <cell r="X307">
            <v>13.494999999999999</v>
          </cell>
          <cell r="Y307">
            <v>11.96</v>
          </cell>
          <cell r="Z307">
            <v>0</v>
          </cell>
          <cell r="AA307">
            <v>0</v>
          </cell>
          <cell r="AB307">
            <v>0</v>
          </cell>
          <cell r="AC307">
            <v>0.23927712822139219</v>
          </cell>
          <cell r="AD307">
            <v>6.875323873627695E-2</v>
          </cell>
          <cell r="AE307">
            <v>2.0978002500000001</v>
          </cell>
          <cell r="AF307">
            <v>14.620002435246512</v>
          </cell>
          <cell r="AG307">
            <v>9.8763643161748149</v>
          </cell>
          <cell r="AH307">
            <v>202401</v>
          </cell>
          <cell r="AJ307" t="str">
            <v>SPOC: Exort for about 7 hrs for VR trial</v>
          </cell>
        </row>
        <row r="308">
          <cell r="C308">
            <v>45316</v>
          </cell>
          <cell r="D308">
            <v>328283</v>
          </cell>
          <cell r="E308">
            <v>31434</v>
          </cell>
          <cell r="F308">
            <v>24085</v>
          </cell>
          <cell r="G308">
            <v>3483</v>
          </cell>
          <cell r="H308">
            <v>2454</v>
          </cell>
          <cell r="I308">
            <v>177600</v>
          </cell>
          <cell r="J308">
            <v>176194</v>
          </cell>
          <cell r="K308">
            <v>51657.983999999997</v>
          </cell>
          <cell r="L308">
            <v>0</v>
          </cell>
          <cell r="M308">
            <v>414919</v>
          </cell>
          <cell r="N308">
            <v>8515</v>
          </cell>
          <cell r="O308">
            <v>2514</v>
          </cell>
          <cell r="P308">
            <v>174.982236</v>
          </cell>
          <cell r="Q308">
            <v>0</v>
          </cell>
          <cell r="R308">
            <v>149988.20530619999</v>
          </cell>
          <cell r="S308">
            <v>11.411678422866398</v>
          </cell>
          <cell r="T308">
            <v>0.31962299999999999</v>
          </cell>
          <cell r="U308">
            <v>3.7717720949066538E-3</v>
          </cell>
          <cell r="V308">
            <v>1.7000000000000001E-2</v>
          </cell>
          <cell r="W308">
            <v>0.30645</v>
          </cell>
          <cell r="X308">
            <v>13.494999999999999</v>
          </cell>
          <cell r="Y308">
            <v>11.91</v>
          </cell>
          <cell r="Z308">
            <v>0</v>
          </cell>
          <cell r="AB308">
            <v>0</v>
          </cell>
          <cell r="AC308">
            <v>0.23644544623060648</v>
          </cell>
          <cell r="AD308">
            <v>6.9772644252959815E-2</v>
          </cell>
          <cell r="AE308">
            <v>2.0955002500000002</v>
          </cell>
          <cell r="AF308">
            <v>14.611677290193599</v>
          </cell>
          <cell r="AG308">
            <v>9.9439765306541119</v>
          </cell>
          <cell r="AH308">
            <v>202401</v>
          </cell>
        </row>
        <row r="309">
          <cell r="C309">
            <v>45317</v>
          </cell>
          <cell r="D309">
            <v>331097</v>
          </cell>
          <cell r="E309">
            <v>31440</v>
          </cell>
          <cell r="F309">
            <v>24441</v>
          </cell>
          <cell r="G309">
            <v>3543</v>
          </cell>
          <cell r="H309">
            <v>2454</v>
          </cell>
          <cell r="I309">
            <v>177600</v>
          </cell>
          <cell r="J309">
            <v>176916</v>
          </cell>
          <cell r="K309">
            <v>49742.78</v>
          </cell>
          <cell r="L309">
            <v>0</v>
          </cell>
          <cell r="M309">
            <v>431502</v>
          </cell>
          <cell r="N309">
            <v>8624</v>
          </cell>
          <cell r="O309">
            <v>149</v>
          </cell>
          <cell r="P309">
            <v>76.42107</v>
          </cell>
          <cell r="Q309">
            <v>0</v>
          </cell>
          <cell r="R309">
            <v>149727.90518150001</v>
          </cell>
          <cell r="S309">
            <v>8.2968282330021204</v>
          </cell>
          <cell r="T309">
            <v>0.32214399999999999</v>
          </cell>
          <cell r="U309">
            <v>3.8814431384097837E-3</v>
          </cell>
          <cell r="V309">
            <v>1.7000000000000001E-2</v>
          </cell>
          <cell r="W309">
            <v>0.30497000000000002</v>
          </cell>
          <cell r="X309">
            <v>13.494999999999999</v>
          </cell>
          <cell r="Y309">
            <v>11.88</v>
          </cell>
          <cell r="Z309">
            <v>0</v>
          </cell>
          <cell r="AB309">
            <v>0</v>
          </cell>
          <cell r="AC309">
            <v>0.23418010063797792</v>
          </cell>
          <cell r="AD309">
            <v>7.0792049769642665E-2</v>
          </cell>
          <cell r="AE309">
            <v>2.10150025</v>
          </cell>
          <cell r="AF309">
            <v>14.603748580619401</v>
          </cell>
          <cell r="AG309">
            <v>9.8650116245625696</v>
          </cell>
          <cell r="AH309">
            <v>202401</v>
          </cell>
        </row>
        <row r="310">
          <cell r="C310">
            <v>45318</v>
          </cell>
          <cell r="D310">
            <v>339383</v>
          </cell>
          <cell r="E310">
            <v>31591</v>
          </cell>
          <cell r="F310">
            <v>24935</v>
          </cell>
          <cell r="G310">
            <v>3542</v>
          </cell>
          <cell r="H310">
            <v>2438</v>
          </cell>
          <cell r="I310">
            <v>177600</v>
          </cell>
          <cell r="J310">
            <v>179274</v>
          </cell>
          <cell r="K310">
            <v>52029.906999999999</v>
          </cell>
          <cell r="L310">
            <v>0</v>
          </cell>
          <cell r="M310">
            <v>426605</v>
          </cell>
          <cell r="N310">
            <v>8617</v>
          </cell>
          <cell r="O310">
            <v>4499</v>
          </cell>
          <cell r="P310">
            <v>213.16132199999998</v>
          </cell>
          <cell r="Q310">
            <v>0</v>
          </cell>
          <cell r="R310">
            <v>153079.12664490001</v>
          </cell>
          <cell r="S310">
            <v>8.0702936737392648</v>
          </cell>
          <cell r="T310">
            <v>0.32118000000000002</v>
          </cell>
          <cell r="U310">
            <v>3.8381184039507623E-3</v>
          </cell>
          <cell r="V310">
            <v>1.7000000000000001E-2</v>
          </cell>
          <cell r="W310">
            <v>0.30698999999999999</v>
          </cell>
          <cell r="X310">
            <v>13.494999999999999</v>
          </cell>
          <cell r="Y310">
            <v>11.69</v>
          </cell>
          <cell r="Z310">
            <v>0</v>
          </cell>
          <cell r="AB310">
            <v>0</v>
          </cell>
          <cell r="AC310">
            <v>0.24125930561494219</v>
          </cell>
          <cell r="AD310">
            <v>6.9177991034894817E-2</v>
          </cell>
          <cell r="AE310">
            <v>2.10300025</v>
          </cell>
          <cell r="AF310">
            <v>14.588599081968699</v>
          </cell>
          <cell r="AG310">
            <v>9.8103407432124232</v>
          </cell>
          <cell r="AH310">
            <v>202401</v>
          </cell>
        </row>
        <row r="311">
          <cell r="C311">
            <v>45319</v>
          </cell>
          <cell r="D311">
            <v>330976</v>
          </cell>
          <cell r="E311">
            <v>31390</v>
          </cell>
          <cell r="F311">
            <v>24929</v>
          </cell>
          <cell r="G311">
            <v>3502</v>
          </cell>
          <cell r="H311">
            <v>2483</v>
          </cell>
          <cell r="I311">
            <v>177600</v>
          </cell>
          <cell r="J311">
            <v>180353</v>
          </cell>
          <cell r="K311">
            <v>51947.173999999999</v>
          </cell>
          <cell r="L311">
            <v>0</v>
          </cell>
          <cell r="M311">
            <v>430674</v>
          </cell>
          <cell r="N311">
            <v>8610</v>
          </cell>
          <cell r="O311">
            <v>7364</v>
          </cell>
          <cell r="P311">
            <v>79.503072000000003</v>
          </cell>
          <cell r="Q311">
            <v>0</v>
          </cell>
          <cell r="R311">
            <v>154359.1554824</v>
          </cell>
          <cell r="S311">
            <v>10.477223365907115</v>
          </cell>
          <cell r="T311">
            <v>0.32122899999999999</v>
          </cell>
          <cell r="U311">
            <v>3.8603754243983382E-3</v>
          </cell>
          <cell r="V311">
            <v>1.7000000000000001E-2</v>
          </cell>
          <cell r="W311">
            <v>0.30604000000000003</v>
          </cell>
          <cell r="X311">
            <v>13.494999999999999</v>
          </cell>
          <cell r="Y311">
            <v>11.89</v>
          </cell>
          <cell r="Z311">
            <v>0</v>
          </cell>
          <cell r="AB311">
            <v>0</v>
          </cell>
          <cell r="AC311">
            <v>0.23701178262876363</v>
          </cell>
          <cell r="AD311">
            <v>6.8158585518211953E-2</v>
          </cell>
          <cell r="AE311">
            <v>2.0979002499999999</v>
          </cell>
          <cell r="AF311">
            <v>14.586362053195979</v>
          </cell>
          <cell r="AG311">
            <v>9.9134693443892985</v>
          </cell>
          <cell r="AH311">
            <v>202401</v>
          </cell>
          <cell r="AJ311" t="str">
            <v>CPO-5:Well Perico-1X opened on 27-Jan.
SCB:Field prod'n 3.5k bopd.
SPOC: No export. All wells closed. Stock 248k bbl out of 300k.</v>
          </cell>
        </row>
        <row r="312">
          <cell r="C312">
            <v>45320</v>
          </cell>
          <cell r="D312">
            <v>325743</v>
          </cell>
          <cell r="E312">
            <v>31553</v>
          </cell>
          <cell r="F312">
            <v>24909</v>
          </cell>
          <cell r="G312">
            <v>3472</v>
          </cell>
          <cell r="H312">
            <v>2390</v>
          </cell>
          <cell r="I312">
            <v>179080</v>
          </cell>
          <cell r="J312">
            <v>179750</v>
          </cell>
          <cell r="K312">
            <v>51117.635999999999</v>
          </cell>
          <cell r="L312">
            <v>0</v>
          </cell>
          <cell r="M312">
            <v>422280</v>
          </cell>
          <cell r="N312">
            <v>8673</v>
          </cell>
          <cell r="O312">
            <v>5415</v>
          </cell>
          <cell r="P312">
            <v>203.34923399999997</v>
          </cell>
          <cell r="Q312">
            <v>0</v>
          </cell>
          <cell r="R312">
            <v>153039.4194553</v>
          </cell>
          <cell r="S312">
            <v>10.562173825630685</v>
          </cell>
          <cell r="T312">
            <v>0.32207999999999998</v>
          </cell>
          <cell r="U312">
            <v>3.865670669721107E-3</v>
          </cell>
          <cell r="V312">
            <v>1.7000000000000001E-2</v>
          </cell>
          <cell r="W312">
            <v>0.30323</v>
          </cell>
          <cell r="X312">
            <v>13.494999999999999</v>
          </cell>
          <cell r="Y312">
            <v>11.81</v>
          </cell>
          <cell r="Z312">
            <v>0</v>
          </cell>
          <cell r="AB312">
            <v>0</v>
          </cell>
          <cell r="AC312">
            <v>0.23984346461954936</v>
          </cell>
          <cell r="AD312">
            <v>6.9177991034894817E-2</v>
          </cell>
          <cell r="AE312">
            <v>2.1002002499999999</v>
          </cell>
          <cell r="AF312">
            <v>14.620059068886327</v>
          </cell>
          <cell r="AG312">
            <v>9.8995379165736583</v>
          </cell>
          <cell r="AH312">
            <v>202401</v>
          </cell>
          <cell r="AJ312" t="str">
            <v>SPOC: No export. All wells closed. Stock 248k bbl out of 300k.</v>
          </cell>
        </row>
        <row r="313">
          <cell r="C313">
            <v>45321</v>
          </cell>
          <cell r="D313">
            <v>325078</v>
          </cell>
          <cell r="E313">
            <v>31390</v>
          </cell>
          <cell r="F313">
            <v>24770</v>
          </cell>
          <cell r="G313">
            <v>3473</v>
          </cell>
          <cell r="H313">
            <v>2403</v>
          </cell>
          <cell r="I313">
            <v>179080</v>
          </cell>
          <cell r="J313">
            <v>179855</v>
          </cell>
          <cell r="K313">
            <v>52054.601999999999</v>
          </cell>
          <cell r="L313">
            <v>0</v>
          </cell>
          <cell r="M313">
            <v>419166</v>
          </cell>
          <cell r="N313">
            <v>8746</v>
          </cell>
          <cell r="O313">
            <v>3321</v>
          </cell>
          <cell r="P313">
            <v>87.742709999999988</v>
          </cell>
          <cell r="Q313">
            <v>0</v>
          </cell>
          <cell r="R313">
            <v>152151.6365195</v>
          </cell>
          <cell r="S313">
            <v>10.90197566452497</v>
          </cell>
          <cell r="T313">
            <v>0.32290000000000002</v>
          </cell>
          <cell r="U313">
            <v>3.9872064607656297E-3</v>
          </cell>
          <cell r="V313">
            <v>1.7000000000000001E-2</v>
          </cell>
          <cell r="W313">
            <v>0.30504999999999999</v>
          </cell>
          <cell r="X313">
            <v>13.494999999999999</v>
          </cell>
          <cell r="Y313">
            <v>11.67</v>
          </cell>
          <cell r="Z313">
            <v>0</v>
          </cell>
          <cell r="AB313">
            <v>0</v>
          </cell>
          <cell r="AC313">
            <v>0.24069296921678507</v>
          </cell>
          <cell r="AD313">
            <v>6.9461159233973377E-2</v>
          </cell>
          <cell r="AE313">
            <v>2.1010002499999998</v>
          </cell>
          <cell r="AF313">
            <v>14.607146599008344</v>
          </cell>
          <cell r="AG313">
            <v>9.8714854070119173</v>
          </cell>
          <cell r="AH313">
            <v>202401</v>
          </cell>
          <cell r="AJ313" t="str">
            <v>SPOC: No export. All wells closed. Stock 248k bbl out of 300k.
LZC: Revised Quota for Q1 of CY 2024 received from operator. New Quota is as under: 
          Jan'24-399k(same as earlier) , 
          Feb'24: 397k (earlier 402k), 
          Mar'24: 405k (Earlier 415k). 
          No update received for Apr'24 quota which was 401k.</v>
          </cell>
        </row>
        <row r="314">
          <cell r="C314">
            <v>45322</v>
          </cell>
          <cell r="D314">
            <v>325350</v>
          </cell>
          <cell r="E314">
            <v>31616</v>
          </cell>
          <cell r="F314">
            <v>24697</v>
          </cell>
          <cell r="G314">
            <v>3452</v>
          </cell>
          <cell r="H314">
            <v>2419</v>
          </cell>
          <cell r="I314">
            <v>179080</v>
          </cell>
          <cell r="J314">
            <v>179096</v>
          </cell>
          <cell r="K314">
            <v>52240.856</v>
          </cell>
          <cell r="L314">
            <v>0</v>
          </cell>
          <cell r="M314">
            <v>411862</v>
          </cell>
          <cell r="N314">
            <v>8775</v>
          </cell>
          <cell r="O314">
            <v>4067.9999999999995</v>
          </cell>
          <cell r="P314">
            <v>111.70684800000001</v>
          </cell>
          <cell r="Q314">
            <v>0</v>
          </cell>
          <cell r="R314">
            <v>152043.17708160001</v>
          </cell>
          <cell r="S314">
            <v>11.524945702497826</v>
          </cell>
          <cell r="T314">
            <v>0.324457</v>
          </cell>
          <cell r="U314">
            <v>3.9038983765967146E-3</v>
          </cell>
          <cell r="V314">
            <v>1.7000000000000001E-2</v>
          </cell>
          <cell r="W314">
            <v>0.30742000000000003</v>
          </cell>
          <cell r="X314">
            <v>13.494999999999999</v>
          </cell>
          <cell r="Y314">
            <v>11.68</v>
          </cell>
          <cell r="Z314">
            <v>0</v>
          </cell>
          <cell r="AA314">
            <v>0</v>
          </cell>
          <cell r="AB314">
            <v>0</v>
          </cell>
          <cell r="AC314">
            <v>0.24182564201309933</v>
          </cell>
          <cell r="AD314">
            <v>7.0055812452038388E-2</v>
          </cell>
          <cell r="AE314">
            <v>2.1008002499999998</v>
          </cell>
          <cell r="AF314">
            <v>14.668169345909774</v>
          </cell>
          <cell r="AG314">
            <v>9.9018544114982348</v>
          </cell>
          <cell r="AH314">
            <v>202401</v>
          </cell>
          <cell r="AJ314" t="str">
            <v>_x000D_
SPOC: No export. All wells closed. Stock 248k bbl out of 300k.</v>
          </cell>
        </row>
        <row r="315">
          <cell r="C315">
            <v>45323</v>
          </cell>
          <cell r="D315">
            <v>303951</v>
          </cell>
          <cell r="E315">
            <v>31818</v>
          </cell>
          <cell r="F315">
            <v>24704</v>
          </cell>
          <cell r="G315">
            <v>3474</v>
          </cell>
          <cell r="H315">
            <v>2449</v>
          </cell>
          <cell r="I315">
            <v>179080</v>
          </cell>
          <cell r="J315">
            <v>178545</v>
          </cell>
          <cell r="K315">
            <v>52715.777999999998</v>
          </cell>
          <cell r="L315">
            <v>0</v>
          </cell>
          <cell r="M315">
            <v>393621</v>
          </cell>
          <cell r="N315">
            <v>8823</v>
          </cell>
          <cell r="O315">
            <v>2764</v>
          </cell>
          <cell r="P315">
            <v>206.24254199999999</v>
          </cell>
          <cell r="Q315">
            <v>0</v>
          </cell>
          <cell r="R315">
            <v>150421.35174390001</v>
          </cell>
          <cell r="S315">
            <v>11.524945702497826</v>
          </cell>
          <cell r="T315">
            <v>0.32421100000000003</v>
          </cell>
          <cell r="U315">
            <v>3.8811316533907975E-3</v>
          </cell>
          <cell r="V315">
            <v>1.7000000000000001E-2</v>
          </cell>
          <cell r="W315">
            <v>0.30774000000000001</v>
          </cell>
          <cell r="X315">
            <v>12.584</v>
          </cell>
          <cell r="Y315">
            <v>11.7</v>
          </cell>
          <cell r="Z315">
            <v>0</v>
          </cell>
          <cell r="AB315">
            <v>0</v>
          </cell>
          <cell r="AC315">
            <v>0.2375781190269208</v>
          </cell>
          <cell r="AD315">
            <v>6.7139180001529103E-2</v>
          </cell>
          <cell r="AE315">
            <v>2.1066002500000001</v>
          </cell>
          <cell r="AF315">
            <v>14.604683035676361</v>
          </cell>
          <cell r="AG315">
            <v>9.7152755015436281</v>
          </cell>
          <cell r="AH315">
            <v>202402</v>
          </cell>
        </row>
        <row r="316">
          <cell r="C316">
            <v>45324</v>
          </cell>
          <cell r="D316">
            <v>343005</v>
          </cell>
          <cell r="E316">
            <v>31447</v>
          </cell>
          <cell r="F316">
            <v>24699</v>
          </cell>
          <cell r="G316">
            <v>3332</v>
          </cell>
          <cell r="H316">
            <v>2418</v>
          </cell>
          <cell r="I316">
            <v>179080</v>
          </cell>
          <cell r="J316">
            <v>177823</v>
          </cell>
          <cell r="K316">
            <v>52532.254000000001</v>
          </cell>
          <cell r="L316">
            <v>0</v>
          </cell>
          <cell r="M316">
            <v>332429</v>
          </cell>
          <cell r="N316">
            <v>8814</v>
          </cell>
          <cell r="O316">
            <v>283</v>
          </cell>
          <cell r="P316">
            <v>86.421852000000001</v>
          </cell>
          <cell r="Q316">
            <v>0</v>
          </cell>
          <cell r="R316">
            <v>147389.23883340001</v>
          </cell>
          <cell r="S316">
            <v>8.5799964320806907</v>
          </cell>
          <cell r="T316">
            <v>0.32275300000000001</v>
          </cell>
          <cell r="U316">
            <v>3.7283907268078165E-3</v>
          </cell>
          <cell r="V316">
            <v>1.7000000000000001E-2</v>
          </cell>
          <cell r="W316">
            <v>0.30760999999999999</v>
          </cell>
          <cell r="X316">
            <v>12.584</v>
          </cell>
          <cell r="Y316">
            <v>11.6</v>
          </cell>
          <cell r="Z316">
            <v>0</v>
          </cell>
          <cell r="AB316">
            <v>0</v>
          </cell>
          <cell r="AC316">
            <v>0.24210881021217795</v>
          </cell>
          <cell r="AD316">
            <v>6.8158585518211953E-2</v>
          </cell>
          <cell r="AE316">
            <v>2.11100025</v>
          </cell>
          <cell r="AF316">
            <v>14.589986606144182</v>
          </cell>
          <cell r="AG316">
            <v>9.6210043399649656</v>
          </cell>
          <cell r="AH316">
            <v>202402</v>
          </cell>
        </row>
        <row r="317">
          <cell r="C317">
            <v>45325</v>
          </cell>
          <cell r="D317">
            <v>332205</v>
          </cell>
          <cell r="E317">
            <v>31660</v>
          </cell>
          <cell r="F317">
            <v>24690</v>
          </cell>
          <cell r="G317">
            <v>3378</v>
          </cell>
          <cell r="H317">
            <v>2388</v>
          </cell>
          <cell r="I317">
            <v>179080</v>
          </cell>
          <cell r="J317">
            <v>178210</v>
          </cell>
          <cell r="K317">
            <v>53228.74</v>
          </cell>
          <cell r="L317">
            <v>0</v>
          </cell>
          <cell r="M317">
            <v>298964</v>
          </cell>
          <cell r="N317">
            <v>8807</v>
          </cell>
          <cell r="O317">
            <v>338</v>
          </cell>
          <cell r="P317">
            <v>146.67813599999999</v>
          </cell>
          <cell r="Q317">
            <v>0</v>
          </cell>
          <cell r="R317">
            <v>146168.45566120002</v>
          </cell>
          <cell r="S317">
            <v>8.5516796121728333</v>
          </cell>
          <cell r="T317">
            <v>0.32303799999999999</v>
          </cell>
          <cell r="U317">
            <v>3.7013764806157205E-3</v>
          </cell>
          <cell r="V317">
            <v>1.7000000000000001E-2</v>
          </cell>
          <cell r="W317">
            <v>0.31201999999999996</v>
          </cell>
          <cell r="X317">
            <v>12.584</v>
          </cell>
          <cell r="Y317">
            <v>11.68</v>
          </cell>
          <cell r="Z317">
            <v>0</v>
          </cell>
          <cell r="AB317">
            <v>0</v>
          </cell>
          <cell r="AC317">
            <v>0.24494049220296363</v>
          </cell>
          <cell r="AD317">
            <v>6.8470070537198391E-2</v>
          </cell>
          <cell r="AE317">
            <v>2.1073002500000002</v>
          </cell>
          <cell r="AF317">
            <v>14.563623646809967</v>
          </cell>
          <cell r="AG317">
            <v>9.6399076373925219</v>
          </cell>
          <cell r="AH317">
            <v>202402</v>
          </cell>
        </row>
        <row r="318">
          <cell r="C318">
            <v>45326</v>
          </cell>
          <cell r="D318">
            <v>328988</v>
          </cell>
          <cell r="E318">
            <v>31723</v>
          </cell>
          <cell r="F318">
            <v>24665</v>
          </cell>
          <cell r="G318">
            <v>3423</v>
          </cell>
          <cell r="H318">
            <v>2427</v>
          </cell>
          <cell r="I318">
            <v>179080</v>
          </cell>
          <cell r="J318">
            <v>177846</v>
          </cell>
          <cell r="K318">
            <v>52325.197</v>
          </cell>
          <cell r="L318">
            <v>0</v>
          </cell>
          <cell r="M318">
            <v>244565</v>
          </cell>
          <cell r="N318">
            <v>8810</v>
          </cell>
          <cell r="O318">
            <v>6291</v>
          </cell>
          <cell r="P318">
            <v>157.68528599999999</v>
          </cell>
          <cell r="Q318">
            <v>0</v>
          </cell>
          <cell r="R318">
            <v>146045.1504287</v>
          </cell>
          <cell r="S318">
            <v>8.1835609533706926</v>
          </cell>
          <cell r="T318">
            <v>0.32241700000000001</v>
          </cell>
          <cell r="U318">
            <v>3.8405819672827457E-3</v>
          </cell>
          <cell r="V318">
            <v>1.7000000000000001E-2</v>
          </cell>
          <cell r="W318">
            <v>0.32557999999999998</v>
          </cell>
          <cell r="X318">
            <v>12.584</v>
          </cell>
          <cell r="Y318">
            <v>11.61</v>
          </cell>
          <cell r="Z318">
            <v>0</v>
          </cell>
          <cell r="AB318">
            <v>0</v>
          </cell>
          <cell r="AC318">
            <v>0.23418010063797792</v>
          </cell>
          <cell r="AD318">
            <v>6.9461159233973377E-2</v>
          </cell>
          <cell r="AE318">
            <v>2.1084002499999999</v>
          </cell>
          <cell r="AF318">
            <v>14.547766227661567</v>
          </cell>
          <cell r="AG318">
            <v>9.6237059013661952</v>
          </cell>
          <cell r="AH318">
            <v>202402</v>
          </cell>
          <cell r="AJ318" t="str">
            <v>LZC: Production deferment due to Ullage issue due to weather
SPOC: No export. All wells closed. Stock around 248k out of 300k</v>
          </cell>
        </row>
        <row r="319">
          <cell r="C319">
            <v>45327</v>
          </cell>
          <cell r="D319">
            <v>338873</v>
          </cell>
          <cell r="E319">
            <v>31535</v>
          </cell>
          <cell r="F319">
            <v>24609</v>
          </cell>
          <cell r="G319">
            <v>3357</v>
          </cell>
          <cell r="H319">
            <v>2453</v>
          </cell>
          <cell r="I319">
            <v>170200</v>
          </cell>
          <cell r="J319">
            <v>177690</v>
          </cell>
          <cell r="K319">
            <v>52071.099000000002</v>
          </cell>
          <cell r="L319">
            <v>0</v>
          </cell>
          <cell r="M319">
            <v>244031</v>
          </cell>
          <cell r="N319">
            <v>8822</v>
          </cell>
          <cell r="O319">
            <v>6775</v>
          </cell>
          <cell r="P319">
            <v>109.12803</v>
          </cell>
          <cell r="Q319">
            <v>0</v>
          </cell>
          <cell r="R319">
            <v>144448.15866350001</v>
          </cell>
          <cell r="S319">
            <v>8.1269273135549778</v>
          </cell>
          <cell r="T319">
            <v>0.321467</v>
          </cell>
          <cell r="U319">
            <v>3.8903063030409427E-3</v>
          </cell>
          <cell r="V319">
            <v>1.7000000000000001E-2</v>
          </cell>
          <cell r="W319">
            <v>0.32622000000000001</v>
          </cell>
          <cell r="X319">
            <v>12.584</v>
          </cell>
          <cell r="Y319">
            <v>11.49</v>
          </cell>
          <cell r="Z319">
            <v>0</v>
          </cell>
          <cell r="AA319">
            <v>0</v>
          </cell>
          <cell r="AB319">
            <v>0</v>
          </cell>
          <cell r="AC319">
            <v>0.24012663281862792</v>
          </cell>
          <cell r="AD319">
            <v>7.0480564750656241E-2</v>
          </cell>
          <cell r="AE319">
            <v>2.1047002500000001</v>
          </cell>
          <cell r="AF319">
            <v>14.571354138644812</v>
          </cell>
          <cell r="AG319">
            <v>9.5950227969351776</v>
          </cell>
          <cell r="AH319">
            <v>202402</v>
          </cell>
          <cell r="AJ319" t="str">
            <v>LZC: Production deferment due to Ullage issue due to weather
SPOC: No export. All wells closed. Stock around 248k out of 300k</v>
          </cell>
        </row>
        <row r="320">
          <cell r="C320">
            <v>45328</v>
          </cell>
          <cell r="D320">
            <v>352954</v>
          </cell>
          <cell r="E320">
            <v>30321</v>
          </cell>
          <cell r="F320">
            <v>24573</v>
          </cell>
          <cell r="G320">
            <v>3408</v>
          </cell>
          <cell r="H320">
            <v>2453</v>
          </cell>
          <cell r="I320">
            <v>170200</v>
          </cell>
          <cell r="J320">
            <v>177883</v>
          </cell>
          <cell r="K320">
            <v>53817.779000000002</v>
          </cell>
          <cell r="L320">
            <v>0</v>
          </cell>
          <cell r="M320">
            <v>313453</v>
          </cell>
          <cell r="N320">
            <v>8821</v>
          </cell>
          <cell r="O320">
            <v>135</v>
          </cell>
          <cell r="P320">
            <v>176.11439999999999</v>
          </cell>
          <cell r="Q320">
            <v>0</v>
          </cell>
          <cell r="R320">
            <v>145083.71363000001</v>
          </cell>
          <cell r="S320">
            <v>8.0702936737392648</v>
          </cell>
          <cell r="T320">
            <v>0.30681000000000003</v>
          </cell>
          <cell r="U320">
            <v>3.8263102900491859E-3</v>
          </cell>
          <cell r="V320">
            <v>1.7000000000000001E-2</v>
          </cell>
          <cell r="W320">
            <v>0.3226</v>
          </cell>
          <cell r="X320">
            <v>12.584</v>
          </cell>
          <cell r="Y320">
            <v>11.45</v>
          </cell>
          <cell r="Z320">
            <v>0</v>
          </cell>
          <cell r="AA320">
            <v>0</v>
          </cell>
          <cell r="AB320">
            <v>0</v>
          </cell>
          <cell r="AC320">
            <v>0.24125930561494219</v>
          </cell>
          <cell r="AD320">
            <v>6.8073635058488388E-2</v>
          </cell>
          <cell r="AE320">
            <v>2.0995002500000002</v>
          </cell>
          <cell r="AF320">
            <v>14.595876504685016</v>
          </cell>
          <cell r="AG320">
            <v>9.5766829970039034</v>
          </cell>
          <cell r="AH320">
            <v>202402</v>
          </cell>
          <cell r="AJ320" t="str">
            <v xml:space="preserve">
LZC: Production deferment due to Ullage issue due to weather
</v>
          </cell>
        </row>
        <row r="321">
          <cell r="C321">
            <v>45329</v>
          </cell>
          <cell r="D321">
            <v>329770</v>
          </cell>
          <cell r="E321">
            <v>25101</v>
          </cell>
          <cell r="F321">
            <v>24599</v>
          </cell>
          <cell r="G321">
            <v>3443</v>
          </cell>
          <cell r="H321">
            <v>2488</v>
          </cell>
          <cell r="I321">
            <v>170200</v>
          </cell>
          <cell r="J321">
            <v>178679</v>
          </cell>
          <cell r="K321">
            <v>53468.233999999997</v>
          </cell>
          <cell r="L321">
            <v>0</v>
          </cell>
          <cell r="M321">
            <v>349398</v>
          </cell>
          <cell r="N321">
            <v>8874</v>
          </cell>
          <cell r="O321">
            <v>159</v>
          </cell>
          <cell r="P321">
            <v>121.39314</v>
          </cell>
          <cell r="Q321">
            <v>0</v>
          </cell>
          <cell r="R321">
            <v>144757.64241299999</v>
          </cell>
          <cell r="S321">
            <v>8.2401945931864056</v>
          </cell>
          <cell r="T321">
            <v>0.23665</v>
          </cell>
          <cell r="U321">
            <v>3.8717871028212045E-3</v>
          </cell>
          <cell r="V321">
            <v>1.7000000000000001E-2</v>
          </cell>
          <cell r="W321">
            <v>0.32107999999999998</v>
          </cell>
          <cell r="X321">
            <v>12.584</v>
          </cell>
          <cell r="Y321">
            <v>11.46</v>
          </cell>
          <cell r="Z321">
            <v>0</v>
          </cell>
          <cell r="AB321">
            <v>0</v>
          </cell>
          <cell r="AC321">
            <v>0.24720583779559221</v>
          </cell>
          <cell r="AD321">
            <v>6.3373042953784112E-2</v>
          </cell>
          <cell r="AE321">
            <v>2.1026002500000001</v>
          </cell>
          <cell r="AF321">
            <v>14.631612331408734</v>
          </cell>
          <cell r="AG321">
            <v>9.5690203142530947</v>
          </cell>
          <cell r="AH321">
            <v>202402</v>
          </cell>
          <cell r="AJ321" t="str">
            <v xml:space="preserve">
SPOC:No export. Stock level around 249k out of 300k bbl.
LZC: Production deferment due to Ullage issue due to weather_x000D_
BC-10: Deferment due to Mobo-5 shutdown due to instability issues(Hot oiling long loop)</v>
          </cell>
        </row>
        <row r="322">
          <cell r="C322">
            <v>45330</v>
          </cell>
          <cell r="D322">
            <v>362593</v>
          </cell>
          <cell r="E322">
            <v>29447</v>
          </cell>
          <cell r="F322">
            <v>24563</v>
          </cell>
          <cell r="G322">
            <v>3446</v>
          </cell>
          <cell r="H322">
            <v>2464</v>
          </cell>
          <cell r="I322">
            <v>170200</v>
          </cell>
          <cell r="J322">
            <v>179111</v>
          </cell>
          <cell r="K322">
            <v>52654.548000000003</v>
          </cell>
          <cell r="L322">
            <v>0</v>
          </cell>
          <cell r="M322">
            <v>356424</v>
          </cell>
          <cell r="N322">
            <v>8815</v>
          </cell>
          <cell r="O322">
            <v>3919</v>
          </cell>
          <cell r="P322">
            <v>89.189363999999998</v>
          </cell>
          <cell r="Q322">
            <v>0</v>
          </cell>
          <cell r="R322">
            <v>148314.53051379998</v>
          </cell>
          <cell r="S322">
            <v>8.6083132519885481</v>
          </cell>
          <cell r="T322">
            <v>0.26132100000000003</v>
          </cell>
          <cell r="U322">
            <v>3.852305130724599E-3</v>
          </cell>
          <cell r="V322">
            <v>1.7000000000000001E-2</v>
          </cell>
          <cell r="W322">
            <v>0.31908999999999998</v>
          </cell>
          <cell r="X322">
            <v>12.584</v>
          </cell>
          <cell r="Y322">
            <v>11.39</v>
          </cell>
          <cell r="Z322">
            <v>0</v>
          </cell>
          <cell r="AA322">
            <v>0</v>
          </cell>
          <cell r="AB322">
            <v>0</v>
          </cell>
          <cell r="AC322">
            <v>0.23672861442968507</v>
          </cell>
          <cell r="AD322">
            <v>5.8672450849079842E-2</v>
          </cell>
          <cell r="AE322">
            <v>2.1016002500000002</v>
          </cell>
          <cell r="AF322">
            <v>14.658711528060552</v>
          </cell>
          <cell r="AG322">
            <v>9.5651055199096344</v>
          </cell>
          <cell r="AH322">
            <v>202402</v>
          </cell>
          <cell r="AJ322" t="str">
            <v xml:space="preserve">
SPOC:No export. Stock level around 249k out of 300k bbl.
CPO-5:Well halcon-1X opened under LTT. Production added 7th Feb onwards. .Current rate around 70 bopd, WC around 60%.Currently under stabilization
BC-10: Deferment due to Mobo-5 shutdown due to instability issues(Hot oiling long loop)</v>
          </cell>
        </row>
        <row r="323">
          <cell r="C323">
            <v>45331</v>
          </cell>
          <cell r="D323">
            <v>348089</v>
          </cell>
          <cell r="E323">
            <v>26717</v>
          </cell>
          <cell r="F323">
            <v>24630</v>
          </cell>
          <cell r="G323">
            <v>3456</v>
          </cell>
          <cell r="H323">
            <v>2453</v>
          </cell>
          <cell r="I323">
            <v>170200</v>
          </cell>
          <cell r="J323">
            <v>180041</v>
          </cell>
          <cell r="K323">
            <v>53062.667000000001</v>
          </cell>
          <cell r="L323">
            <v>0</v>
          </cell>
          <cell r="M323">
            <v>374049</v>
          </cell>
          <cell r="N323">
            <v>9019</v>
          </cell>
          <cell r="O323">
            <v>6851</v>
          </cell>
          <cell r="P323">
            <v>203.72662199999999</v>
          </cell>
          <cell r="Q323">
            <v>0</v>
          </cell>
          <cell r="R323">
            <v>149578.89962989997</v>
          </cell>
          <cell r="S323">
            <v>8.4950459723571203</v>
          </cell>
          <cell r="T323">
            <v>0.30921599999999999</v>
          </cell>
          <cell r="U323">
            <v>3.7448994328140969E-3</v>
          </cell>
          <cell r="V323">
            <v>1.7000000000000001E-2</v>
          </cell>
          <cell r="W323">
            <v>0.32127999999999995</v>
          </cell>
          <cell r="X323">
            <v>12.584</v>
          </cell>
          <cell r="Y323">
            <v>11.66</v>
          </cell>
          <cell r="Z323">
            <v>0</v>
          </cell>
          <cell r="AA323">
            <v>0</v>
          </cell>
          <cell r="AB323">
            <v>0</v>
          </cell>
          <cell r="AC323">
            <v>0.23729495082784224</v>
          </cell>
          <cell r="AD323">
            <v>6.2268686977377682E-2</v>
          </cell>
          <cell r="AE323">
            <v>2.0876002499999999</v>
          </cell>
          <cell r="AF323">
            <v>14.663836872463875</v>
          </cell>
          <cell r="AG323">
            <v>9.6438076117652916</v>
          </cell>
          <cell r="AH323">
            <v>202402</v>
          </cell>
          <cell r="AJ323" t="str">
            <v>_x000D_
SPOC:No export. Stock level around 249k out of 300k bbl.</v>
          </cell>
        </row>
        <row r="324">
          <cell r="C324">
            <v>45332</v>
          </cell>
          <cell r="D324">
            <v>340676</v>
          </cell>
          <cell r="E324">
            <v>24119</v>
          </cell>
          <cell r="F324">
            <v>24583</v>
          </cell>
          <cell r="G324">
            <v>3502</v>
          </cell>
          <cell r="H324">
            <v>2424</v>
          </cell>
          <cell r="I324">
            <v>170200</v>
          </cell>
          <cell r="J324">
            <v>179683</v>
          </cell>
          <cell r="K324">
            <v>53525.341</v>
          </cell>
          <cell r="L324">
            <v>0</v>
          </cell>
          <cell r="M324">
            <v>380382</v>
          </cell>
          <cell r="N324">
            <v>9039</v>
          </cell>
          <cell r="O324">
            <v>3706</v>
          </cell>
          <cell r="P324">
            <v>79.691766000000001</v>
          </cell>
          <cell r="Q324">
            <v>0</v>
          </cell>
          <cell r="R324">
            <v>147631.59214470003</v>
          </cell>
          <cell r="S324">
            <v>8.5516796121728333</v>
          </cell>
          <cell r="T324">
            <v>0.30690299999999998</v>
          </cell>
          <cell r="U324">
            <v>3.7885073354721969E-3</v>
          </cell>
          <cell r="V324">
            <v>1.7000000000000001E-2</v>
          </cell>
          <cell r="W324">
            <v>0.32138</v>
          </cell>
          <cell r="X324">
            <v>12.584</v>
          </cell>
          <cell r="Y324">
            <v>11.69</v>
          </cell>
          <cell r="Z324">
            <v>0</v>
          </cell>
          <cell r="AA324">
            <v>0</v>
          </cell>
          <cell r="AB324">
            <v>0</v>
          </cell>
          <cell r="AC324">
            <v>0.24154247381402075</v>
          </cell>
          <cell r="AD324">
            <v>5.9295420887052697E-2</v>
          </cell>
          <cell r="AE324">
            <v>2.06320025</v>
          </cell>
          <cell r="AF324">
            <v>14.656502816107739</v>
          </cell>
          <cell r="AG324">
            <v>9.6394729958887027</v>
          </cell>
          <cell r="AH324">
            <v>202402</v>
          </cell>
          <cell r="AJ324" t="str">
            <v xml:space="preserve">_x000D_
SPOC:No export. Stock level around 249k out of 300k bbl._x000D_
</v>
          </cell>
        </row>
        <row r="325">
          <cell r="C325">
            <v>45333</v>
          </cell>
          <cell r="D325">
            <v>339373</v>
          </cell>
          <cell r="E325">
            <v>30346</v>
          </cell>
          <cell r="F325">
            <v>24568</v>
          </cell>
          <cell r="G325">
            <v>3543</v>
          </cell>
          <cell r="H325">
            <v>2481</v>
          </cell>
          <cell r="I325">
            <v>170200</v>
          </cell>
          <cell r="J325">
            <v>180115</v>
          </cell>
          <cell r="K325">
            <v>52544.89</v>
          </cell>
          <cell r="L325">
            <v>0</v>
          </cell>
          <cell r="M325">
            <v>414640</v>
          </cell>
          <cell r="N325">
            <v>8871</v>
          </cell>
          <cell r="O325">
            <v>312</v>
          </cell>
          <cell r="P325">
            <v>202.34286599999999</v>
          </cell>
          <cell r="Q325">
            <v>0</v>
          </cell>
          <cell r="R325">
            <v>149266.42308969999</v>
          </cell>
          <cell r="S325">
            <v>8.8631646311592611</v>
          </cell>
          <cell r="T325">
            <v>0.30762499999999998</v>
          </cell>
          <cell r="U325">
            <v>3.8681059162331832E-3</v>
          </cell>
          <cell r="V325">
            <v>1.7000000000000001E-2</v>
          </cell>
          <cell r="W325">
            <v>0.31888</v>
          </cell>
          <cell r="X325">
            <v>12.584</v>
          </cell>
          <cell r="Y325">
            <v>11.67</v>
          </cell>
          <cell r="AA325">
            <v>0</v>
          </cell>
          <cell r="AB325">
            <v>0</v>
          </cell>
          <cell r="AC325">
            <v>0.23899396002231363</v>
          </cell>
          <cell r="AD325">
            <v>5.7539778052765563E-2</v>
          </cell>
          <cell r="AE325">
            <v>2.0688002499999998</v>
          </cell>
          <cell r="AF325">
            <v>14.658541627141105</v>
          </cell>
          <cell r="AG325">
            <v>9.6411029630586924</v>
          </cell>
          <cell r="AH325">
            <v>202402</v>
          </cell>
          <cell r="AJ325" t="str">
            <v>SCB:Intermittent pumping. Field prod'n 3.6k bopd
SPOC:No export. Stock level around 249k out of 300k bbl.</v>
          </cell>
        </row>
        <row r="326">
          <cell r="C326">
            <v>45334</v>
          </cell>
          <cell r="D326">
            <v>340414</v>
          </cell>
          <cell r="E326">
            <v>30937</v>
          </cell>
          <cell r="F326">
            <v>24555</v>
          </cell>
          <cell r="G326">
            <v>3539</v>
          </cell>
          <cell r="H326">
            <v>2419</v>
          </cell>
          <cell r="I326">
            <v>170200</v>
          </cell>
          <cell r="J326">
            <v>180829</v>
          </cell>
          <cell r="K326">
            <v>53478.406999999999</v>
          </cell>
          <cell r="L326">
            <v>0</v>
          </cell>
          <cell r="M326">
            <v>425347</v>
          </cell>
          <cell r="N326">
            <v>8756</v>
          </cell>
          <cell r="O326">
            <v>4390</v>
          </cell>
          <cell r="P326">
            <v>30.882918</v>
          </cell>
          <cell r="Q326">
            <v>0</v>
          </cell>
          <cell r="R326">
            <v>151765.63246310002</v>
          </cell>
          <cell r="S326">
            <v>9.5710851288556889</v>
          </cell>
          <cell r="T326">
            <v>0.30838300000000002</v>
          </cell>
          <cell r="U326">
            <v>3.8583932470047885E-3</v>
          </cell>
          <cell r="V326">
            <v>1.7000000000000001E-2</v>
          </cell>
          <cell r="W326">
            <v>0.31223000000000001</v>
          </cell>
          <cell r="X326">
            <v>12.584</v>
          </cell>
          <cell r="Y326">
            <v>11.83</v>
          </cell>
          <cell r="Z326">
            <v>0</v>
          </cell>
          <cell r="AA326">
            <v>0</v>
          </cell>
          <cell r="AB326">
            <v>0</v>
          </cell>
          <cell r="AC326">
            <v>0.23219792324442792</v>
          </cell>
          <cell r="AD326">
            <v>5.955027226622342E-2</v>
          </cell>
          <cell r="AE326">
            <v>0.50670006000000001</v>
          </cell>
          <cell r="AF326">
            <v>14.653444599557689</v>
          </cell>
          <cell r="AG326">
            <v>8.9888488411376546</v>
          </cell>
          <cell r="AH326">
            <v>202402</v>
          </cell>
          <cell r="AJ326" t="str">
            <v>B-06.1:Pressure buildup test of well Ld-1P</v>
          </cell>
        </row>
        <row r="327">
          <cell r="C327">
            <v>45335</v>
          </cell>
          <cell r="D327">
            <v>329965</v>
          </cell>
          <cell r="E327">
            <v>30994</v>
          </cell>
          <cell r="F327">
            <v>24614</v>
          </cell>
          <cell r="G327">
            <v>3533</v>
          </cell>
          <cell r="H327">
            <v>2356</v>
          </cell>
          <cell r="I327">
            <v>170200</v>
          </cell>
          <cell r="J327">
            <v>179631</v>
          </cell>
          <cell r="K327">
            <v>50939.249000000003</v>
          </cell>
          <cell r="L327">
            <v>0</v>
          </cell>
          <cell r="M327">
            <v>410772</v>
          </cell>
          <cell r="N327">
            <v>8909</v>
          </cell>
          <cell r="O327">
            <v>5153</v>
          </cell>
          <cell r="P327">
            <v>91.390793999999985</v>
          </cell>
          <cell r="Q327">
            <v>0</v>
          </cell>
          <cell r="R327">
            <v>150334.93960730001</v>
          </cell>
          <cell r="S327">
            <v>9.1746496501456889</v>
          </cell>
          <cell r="T327">
            <v>0.310112</v>
          </cell>
          <cell r="U327">
            <v>3.8913257085576255E-3</v>
          </cell>
          <cell r="V327">
            <v>1.7000000000000001E-2</v>
          </cell>
          <cell r="W327">
            <v>0.30693999999999999</v>
          </cell>
          <cell r="X327">
            <v>12.584</v>
          </cell>
          <cell r="Y327">
            <v>11.84</v>
          </cell>
          <cell r="Z327">
            <v>0</v>
          </cell>
          <cell r="AB327">
            <v>0</v>
          </cell>
          <cell r="AC327">
            <v>0.23871079182323507</v>
          </cell>
          <cell r="AD327">
            <v>6.0399776863459126E-2</v>
          </cell>
          <cell r="AE327">
            <v>1.4315001299999999</v>
          </cell>
          <cell r="AF327">
            <v>14.677598846939093</v>
          </cell>
          <cell r="AG327">
            <v>9.3988135352399418</v>
          </cell>
          <cell r="AH327">
            <v>202402</v>
          </cell>
        </row>
        <row r="328">
          <cell r="C328">
            <v>45336</v>
          </cell>
          <cell r="D328">
            <v>327637</v>
          </cell>
          <cell r="E328">
            <v>31082</v>
          </cell>
          <cell r="F328">
            <v>24610</v>
          </cell>
          <cell r="G328">
            <v>3503</v>
          </cell>
          <cell r="H328">
            <v>2355</v>
          </cell>
          <cell r="I328">
            <v>170200</v>
          </cell>
          <cell r="J328">
            <v>177645</v>
          </cell>
          <cell r="K328">
            <v>50353.69657</v>
          </cell>
          <cell r="L328">
            <v>0</v>
          </cell>
          <cell r="M328">
            <v>437468</v>
          </cell>
          <cell r="N328">
            <v>8923</v>
          </cell>
          <cell r="O328">
            <v>887</v>
          </cell>
          <cell r="P328">
            <v>126.36208199999999</v>
          </cell>
          <cell r="Q328">
            <v>0</v>
          </cell>
          <cell r="R328">
            <v>149002.09177940001</v>
          </cell>
          <cell r="S328">
            <v>11.29841114323497</v>
          </cell>
          <cell r="T328">
            <v>0.310137</v>
          </cell>
          <cell r="U328">
            <v>3.8528997839426637E-3</v>
          </cell>
          <cell r="V328">
            <v>1.7000000000000001E-2</v>
          </cell>
          <cell r="W328">
            <v>0.31286999999999998</v>
          </cell>
          <cell r="X328">
            <v>12.584</v>
          </cell>
          <cell r="Y328">
            <v>11.7</v>
          </cell>
          <cell r="Z328">
            <v>0</v>
          </cell>
          <cell r="AB328">
            <v>0</v>
          </cell>
          <cell r="AC328">
            <v>0.24154247381402075</v>
          </cell>
          <cell r="AD328">
            <v>6.2438587896824833E-2</v>
          </cell>
          <cell r="AE328">
            <v>2.0157002500000001</v>
          </cell>
          <cell r="AF328">
            <v>14.64962182887013</v>
          </cell>
          <cell r="AG328">
            <v>9.6766432479436819</v>
          </cell>
          <cell r="AH328">
            <v>202402</v>
          </cell>
        </row>
        <row r="329">
          <cell r="C329">
            <v>45337</v>
          </cell>
          <cell r="D329">
            <v>348976</v>
          </cell>
          <cell r="E329">
            <v>31340</v>
          </cell>
          <cell r="F329">
            <v>24585</v>
          </cell>
          <cell r="G329">
            <v>3511</v>
          </cell>
          <cell r="H329">
            <v>2359</v>
          </cell>
          <cell r="I329">
            <v>170200</v>
          </cell>
          <cell r="J329">
            <v>175696</v>
          </cell>
          <cell r="K329">
            <v>50250.377220000002</v>
          </cell>
          <cell r="L329">
            <v>0</v>
          </cell>
          <cell r="M329">
            <v>433379</v>
          </cell>
          <cell r="N329">
            <v>9028</v>
          </cell>
          <cell r="O329">
            <v>4708</v>
          </cell>
          <cell r="P329">
            <v>127.74583799999998</v>
          </cell>
          <cell r="Q329">
            <v>0</v>
          </cell>
          <cell r="R329">
            <v>150399.62553210001</v>
          </cell>
          <cell r="S329">
            <v>9.0613823705142611</v>
          </cell>
          <cell r="T329">
            <v>0.30469800000000002</v>
          </cell>
          <cell r="U329">
            <v>3.868955420830419E-3</v>
          </cell>
          <cell r="V329">
            <v>1.7000000000000001E-2</v>
          </cell>
          <cell r="W329">
            <v>0.315</v>
          </cell>
          <cell r="X329">
            <v>12.584</v>
          </cell>
          <cell r="Y329">
            <v>11.81</v>
          </cell>
          <cell r="AB329">
            <v>0</v>
          </cell>
          <cell r="AC329">
            <v>0.23842762362415651</v>
          </cell>
          <cell r="AD329">
            <v>6.357126069313912E-2</v>
          </cell>
          <cell r="AE329">
            <v>2.01820025</v>
          </cell>
          <cell r="AF329">
            <v>14.650046581168747</v>
          </cell>
          <cell r="AG329">
            <v>9.6555482357280606</v>
          </cell>
          <cell r="AH329">
            <v>202402</v>
          </cell>
        </row>
        <row r="330">
          <cell r="C330">
            <v>45338</v>
          </cell>
          <cell r="D330">
            <v>359180</v>
          </cell>
          <cell r="E330">
            <v>31157</v>
          </cell>
          <cell r="F330">
            <v>24568</v>
          </cell>
          <cell r="G330">
            <v>3503</v>
          </cell>
          <cell r="H330">
            <v>2349</v>
          </cell>
          <cell r="I330">
            <v>170200</v>
          </cell>
          <cell r="J330">
            <v>163866</v>
          </cell>
          <cell r="K330">
            <v>50691.189469999998</v>
          </cell>
          <cell r="L330">
            <v>0</v>
          </cell>
          <cell r="M330">
            <v>428822</v>
          </cell>
          <cell r="N330">
            <v>9019</v>
          </cell>
          <cell r="O330">
            <v>4970</v>
          </cell>
          <cell r="P330">
            <v>115.543626</v>
          </cell>
          <cell r="Q330">
            <v>0</v>
          </cell>
          <cell r="R330">
            <v>147510.4699992</v>
          </cell>
          <cell r="S330">
            <v>8.8914814510671185</v>
          </cell>
          <cell r="T330">
            <v>0.31263000000000002</v>
          </cell>
          <cell r="U330">
            <v>3.663686793318363E-3</v>
          </cell>
          <cell r="V330">
            <v>1.7000000000000001E-2</v>
          </cell>
          <cell r="W330">
            <v>0.30937999999999999</v>
          </cell>
          <cell r="X330">
            <v>12.584</v>
          </cell>
          <cell r="Y330">
            <v>11.688914</v>
          </cell>
          <cell r="AB330">
            <v>0</v>
          </cell>
          <cell r="AC330">
            <v>0.24380781940664933</v>
          </cell>
          <cell r="AD330">
            <v>6.4505715750098391E-2</v>
          </cell>
          <cell r="AE330">
            <v>2.0112002499999999</v>
          </cell>
          <cell r="AF330">
            <v>14.637530546769474</v>
          </cell>
          <cell r="AG330">
            <v>9.6122069941605535</v>
          </cell>
          <cell r="AH330">
            <v>202402</v>
          </cell>
          <cell r="AJ330" t="str">
            <v>SCB: Intermittent pumping. Field prod'n 3.55k bopd.
Vankor:Deferment due to electrical shutdown</v>
          </cell>
        </row>
        <row r="331">
          <cell r="C331">
            <v>45339</v>
          </cell>
          <cell r="D331">
            <v>355191</v>
          </cell>
          <cell r="E331">
            <v>31346</v>
          </cell>
          <cell r="F331">
            <v>12991</v>
          </cell>
          <cell r="G331">
            <v>3329</v>
          </cell>
          <cell r="H331">
            <v>2315</v>
          </cell>
          <cell r="I331">
            <v>170200</v>
          </cell>
          <cell r="J331">
            <v>174222.48</v>
          </cell>
          <cell r="K331">
            <v>50881.175999999999</v>
          </cell>
          <cell r="L331">
            <v>0</v>
          </cell>
          <cell r="M331">
            <v>432635</v>
          </cell>
          <cell r="N331">
            <v>8942</v>
          </cell>
          <cell r="O331">
            <v>3691</v>
          </cell>
          <cell r="P331">
            <v>143.973522</v>
          </cell>
          <cell r="Q331">
            <v>0</v>
          </cell>
          <cell r="R331">
            <v>141629.87898489999</v>
          </cell>
          <cell r="S331">
            <v>14.384944513191389</v>
          </cell>
          <cell r="T331">
            <v>0.31123899999999999</v>
          </cell>
          <cell r="U331">
            <v>2.6127080224382479E-3</v>
          </cell>
          <cell r="V331">
            <v>1.7000000000000001E-2</v>
          </cell>
          <cell r="W331">
            <v>0.30785000000000001</v>
          </cell>
          <cell r="X331">
            <v>12.584</v>
          </cell>
          <cell r="Y331">
            <v>11.775741</v>
          </cell>
          <cell r="AB331">
            <v>0</v>
          </cell>
          <cell r="AC331">
            <v>0.24550682860112077</v>
          </cell>
          <cell r="AD331">
            <v>6.4392448470466976E-2</v>
          </cell>
          <cell r="AE331">
            <v>2.1623002499999999</v>
          </cell>
          <cell r="AF331">
            <v>14.709964972093772</v>
          </cell>
          <cell r="AG331">
            <v>9.8394901921606781</v>
          </cell>
          <cell r="AH331">
            <v>202402</v>
          </cell>
          <cell r="AJ331" t="str">
            <v xml:space="preserve">
CPO-5:Indico site and Indico 3 were under blockade from 05:00 AM to 02:00 hrs. Blockade lifted after agreement on community demands
SPOC:No export. Stock level around 249k out of 300k bbl.
SCB:Intermittent pumping. Field prod'n 3.55k bopd</v>
          </cell>
        </row>
        <row r="332">
          <cell r="C332">
            <v>45340</v>
          </cell>
          <cell r="D332">
            <v>338256</v>
          </cell>
          <cell r="E332">
            <v>31220</v>
          </cell>
          <cell r="F332">
            <v>24723</v>
          </cell>
          <cell r="G332">
            <v>3346</v>
          </cell>
          <cell r="H332">
            <v>2310</v>
          </cell>
          <cell r="I332">
            <v>170200</v>
          </cell>
          <cell r="J332">
            <v>174854.88</v>
          </cell>
          <cell r="K332">
            <v>52030</v>
          </cell>
          <cell r="L332">
            <v>0</v>
          </cell>
          <cell r="M332">
            <v>434097</v>
          </cell>
          <cell r="N332">
            <v>8732</v>
          </cell>
          <cell r="O332">
            <v>779</v>
          </cell>
          <cell r="P332">
            <v>172.843704</v>
          </cell>
          <cell r="Q332">
            <v>0</v>
          </cell>
          <cell r="R332">
            <v>148755.7620668</v>
          </cell>
          <cell r="S332">
            <v>12.516034399272824</v>
          </cell>
          <cell r="T332">
            <v>0.307952</v>
          </cell>
          <cell r="U332">
            <v>3.6678776826647259E-3</v>
          </cell>
          <cell r="V332">
            <v>1.7000000000000001E-2</v>
          </cell>
          <cell r="W332">
            <v>0.30972000000000005</v>
          </cell>
          <cell r="X332">
            <v>12.584</v>
          </cell>
          <cell r="Y332">
            <v>11.735250000000001</v>
          </cell>
          <cell r="AB332">
            <v>0</v>
          </cell>
          <cell r="AC332">
            <v>0.25258603357808501</v>
          </cell>
          <cell r="AD332">
            <v>6.5638388546412685E-2</v>
          </cell>
          <cell r="AE332">
            <v>2.1012002500000002</v>
          </cell>
          <cell r="AF332">
            <v>14.681280033527115</v>
          </cell>
          <cell r="AG332">
            <v>9.7564174863128308</v>
          </cell>
          <cell r="AH332">
            <v>202402</v>
          </cell>
          <cell r="AJ332" t="str">
            <v xml:space="preserve">
SPOC:No export. Stock level around 249k out of 300k bbl.
SCB: Intermittent pumping. Field prod'n 3.55k bopd</v>
          </cell>
        </row>
        <row r="333">
          <cell r="C333">
            <v>45341</v>
          </cell>
          <cell r="D333">
            <v>355925</v>
          </cell>
          <cell r="E333">
            <v>31151</v>
          </cell>
          <cell r="F333">
            <v>24490</v>
          </cell>
          <cell r="G333">
            <v>3361</v>
          </cell>
          <cell r="H333">
            <v>2233</v>
          </cell>
          <cell r="I333">
            <v>133200</v>
          </cell>
          <cell r="J333">
            <v>175971</v>
          </cell>
          <cell r="K333">
            <v>52490</v>
          </cell>
          <cell r="L333">
            <v>0</v>
          </cell>
          <cell r="M333">
            <v>403761</v>
          </cell>
          <cell r="N333">
            <v>8012</v>
          </cell>
          <cell r="O333">
            <v>4911</v>
          </cell>
          <cell r="P333">
            <v>74.156741999999994</v>
          </cell>
          <cell r="Q333">
            <v>0</v>
          </cell>
          <cell r="R333">
            <v>142233.62803389999</v>
          </cell>
          <cell r="S333">
            <v>13.195638077061393</v>
          </cell>
          <cell r="T333">
            <v>0.307006</v>
          </cell>
          <cell r="U333">
            <v>3.8373821666331581E-3</v>
          </cell>
          <cell r="V333">
            <v>1.7000000000000001E-2</v>
          </cell>
          <cell r="W333">
            <v>0.30793999999999999</v>
          </cell>
          <cell r="X333">
            <v>12.584</v>
          </cell>
          <cell r="Y333">
            <v>11.77</v>
          </cell>
          <cell r="AA333">
            <v>0</v>
          </cell>
          <cell r="AB333">
            <v>0</v>
          </cell>
          <cell r="AC333">
            <v>0.2327642596425851</v>
          </cell>
          <cell r="AD333">
            <v>6.6572843603371956E-2</v>
          </cell>
          <cell r="AE333">
            <v>2.0292002500000001</v>
          </cell>
          <cell r="AF333">
            <v>14.648460839253909</v>
          </cell>
          <cell r="AG333">
            <v>9.7394486882719598</v>
          </cell>
          <cell r="AH333">
            <v>202402</v>
          </cell>
          <cell r="AJ333" t="str">
            <v xml:space="preserve">
SPOC:No export. Stock level around 249k out of 300k bbl.
IEC:Deferment due to s/d of two wells. Details sought.</v>
          </cell>
        </row>
        <row r="334">
          <cell r="C334">
            <v>45342</v>
          </cell>
          <cell r="D334">
            <v>358963</v>
          </cell>
          <cell r="E334">
            <v>31094</v>
          </cell>
          <cell r="F334">
            <v>24531</v>
          </cell>
          <cell r="G334">
            <v>3417</v>
          </cell>
          <cell r="H334">
            <v>2231</v>
          </cell>
          <cell r="I334">
            <v>133200</v>
          </cell>
          <cell r="J334">
            <v>174275</v>
          </cell>
          <cell r="K334">
            <v>52333</v>
          </cell>
          <cell r="L334">
            <v>0</v>
          </cell>
          <cell r="M334">
            <v>399542</v>
          </cell>
          <cell r="N334">
            <v>6022</v>
          </cell>
          <cell r="O334">
            <v>4101</v>
          </cell>
          <cell r="P334">
            <v>118.688526</v>
          </cell>
          <cell r="Q334">
            <v>0</v>
          </cell>
          <cell r="R334">
            <v>141171.28513670003</v>
          </cell>
          <cell r="S334">
            <v>12.74256895853568</v>
          </cell>
          <cell r="T334">
            <v>0.30779099999999998</v>
          </cell>
          <cell r="U334">
            <v>3.7839766442869399E-3</v>
          </cell>
          <cell r="V334">
            <v>1.7000000000000001E-2</v>
          </cell>
          <cell r="W334">
            <v>0.30497000000000002</v>
          </cell>
          <cell r="X334">
            <v>12.584</v>
          </cell>
          <cell r="Y334">
            <v>11.65</v>
          </cell>
          <cell r="AB334">
            <v>0</v>
          </cell>
          <cell r="AC334">
            <v>0.19142170257711377</v>
          </cell>
          <cell r="AD334">
            <v>6.6884328622358394E-2</v>
          </cell>
          <cell r="AE334">
            <v>2.0239002500000001</v>
          </cell>
          <cell r="AF334">
            <v>14.643760247149203</v>
          </cell>
          <cell r="AG334">
            <v>9.6873801698409654</v>
          </cell>
          <cell r="AH334">
            <v>202402</v>
          </cell>
          <cell r="AI334" t="str">
            <v>Previous day data for SPOC</v>
          </cell>
          <cell r="AJ334" t="str">
            <v xml:space="preserve">
IEC:Decline in production from new tech wells and shutin of two wells in Snezhnoye field due to low influx.</v>
          </cell>
        </row>
        <row r="335">
          <cell r="C335">
            <v>45343</v>
          </cell>
          <cell r="D335">
            <v>348527</v>
          </cell>
          <cell r="E335">
            <v>31189</v>
          </cell>
          <cell r="F335">
            <v>14671</v>
          </cell>
          <cell r="G335">
            <v>3456</v>
          </cell>
          <cell r="H335">
            <v>2262</v>
          </cell>
          <cell r="I335">
            <v>133200</v>
          </cell>
          <cell r="J335">
            <v>177355</v>
          </cell>
          <cell r="K335">
            <v>52123.105620000002</v>
          </cell>
          <cell r="L335">
            <v>0</v>
          </cell>
          <cell r="M335">
            <v>423946</v>
          </cell>
          <cell r="N335">
            <v>8822</v>
          </cell>
          <cell r="O335">
            <v>5996</v>
          </cell>
          <cell r="P335">
            <v>92.774549999999991</v>
          </cell>
          <cell r="Q335">
            <v>0</v>
          </cell>
          <cell r="R335">
            <v>136883.18865250002</v>
          </cell>
          <cell r="S335">
            <v>12.516034399272824</v>
          </cell>
          <cell r="T335">
            <v>0.30836400000000003</v>
          </cell>
          <cell r="U335">
            <v>2.8850591963120176E-3</v>
          </cell>
          <cell r="V335">
            <v>1.7000000000000001E-2</v>
          </cell>
          <cell r="W335">
            <v>0.30469000000000002</v>
          </cell>
          <cell r="X335">
            <v>12.584</v>
          </cell>
          <cell r="Y335">
            <v>11.57</v>
          </cell>
          <cell r="AB335">
            <v>0</v>
          </cell>
          <cell r="AC335">
            <v>0.24663950139743507</v>
          </cell>
          <cell r="AD335">
            <v>6.7818783679317679E-2</v>
          </cell>
          <cell r="AE335">
            <v>2.04830025</v>
          </cell>
          <cell r="AF335">
            <v>14.649763412969669</v>
          </cell>
          <cell r="AG335">
            <v>9.6790409673909092</v>
          </cell>
          <cell r="AH335">
            <v>202402</v>
          </cell>
          <cell r="AI335" t="str">
            <v>Previous day data for SPOC</v>
          </cell>
          <cell r="AJ335" t="str">
            <v>CPO-5:Blockade at Indico pad during the day. Wells reopened in evening.</v>
          </cell>
        </row>
        <row r="336">
          <cell r="C336">
            <v>45344</v>
          </cell>
          <cell r="D336">
            <v>349982</v>
          </cell>
          <cell r="E336">
            <v>31302</v>
          </cell>
          <cell r="F336">
            <v>23669</v>
          </cell>
          <cell r="G336">
            <v>3508</v>
          </cell>
          <cell r="H336">
            <v>2282</v>
          </cell>
          <cell r="I336">
            <v>133200</v>
          </cell>
          <cell r="J336">
            <v>174163</v>
          </cell>
          <cell r="K336">
            <v>51163.78746</v>
          </cell>
          <cell r="L336">
            <v>0</v>
          </cell>
          <cell r="M336">
            <v>448037</v>
          </cell>
          <cell r="N336">
            <v>8512</v>
          </cell>
          <cell r="O336">
            <v>1161</v>
          </cell>
          <cell r="P336">
            <v>178.44162599999999</v>
          </cell>
          <cell r="Q336">
            <v>0</v>
          </cell>
          <cell r="R336">
            <v>141256.24979669999</v>
          </cell>
          <cell r="S336">
            <v>10.845342024709256</v>
          </cell>
          <cell r="T336">
            <v>0.30797099999999999</v>
          </cell>
          <cell r="U336">
            <v>3.5552333730712706E-3</v>
          </cell>
          <cell r="V336">
            <v>1.7000000000000001E-2</v>
          </cell>
          <cell r="W336">
            <v>0.30763000000000001</v>
          </cell>
          <cell r="X336">
            <v>12.584</v>
          </cell>
          <cell r="Y336">
            <v>11.58</v>
          </cell>
          <cell r="Z336">
            <v>0</v>
          </cell>
          <cell r="AB336">
            <v>0</v>
          </cell>
          <cell r="AC336">
            <v>0.23446326883705648</v>
          </cell>
          <cell r="AD336">
            <v>6.8101951878396239E-2</v>
          </cell>
          <cell r="AE336">
            <v>2.1042002499999999</v>
          </cell>
          <cell r="AF336">
            <v>14.66072202227401</v>
          </cell>
          <cell r="AG336">
            <v>9.672142830741949</v>
          </cell>
          <cell r="AH336">
            <v>202402</v>
          </cell>
          <cell r="AI336" t="str">
            <v>Previous day data for SPOC</v>
          </cell>
          <cell r="AJ336" t="str">
            <v>SCB:Intermittent pumping. Field prod'n 3.4k bopd(deferment of 170 bopd due to electrical problem in a well)</v>
          </cell>
        </row>
        <row r="337">
          <cell r="C337">
            <v>45345</v>
          </cell>
          <cell r="D337">
            <v>321749</v>
          </cell>
          <cell r="E337">
            <v>32220</v>
          </cell>
          <cell r="F337">
            <v>24633</v>
          </cell>
          <cell r="G337">
            <v>3523</v>
          </cell>
          <cell r="H337">
            <v>2332</v>
          </cell>
          <cell r="I337">
            <v>133200</v>
          </cell>
          <cell r="J337">
            <v>175562</v>
          </cell>
          <cell r="K337">
            <v>52068.43</v>
          </cell>
          <cell r="L337">
            <v>0</v>
          </cell>
          <cell r="M337">
            <v>456995</v>
          </cell>
          <cell r="N337">
            <v>8508</v>
          </cell>
          <cell r="O337">
            <v>6744</v>
          </cell>
          <cell r="P337">
            <v>76.295274000000006</v>
          </cell>
          <cell r="Q337">
            <v>0</v>
          </cell>
          <cell r="R337">
            <v>144719.24227330001</v>
          </cell>
          <cell r="S337">
            <v>9.5994019487635462</v>
          </cell>
          <cell r="T337">
            <v>0.30669000000000002</v>
          </cell>
          <cell r="U337">
            <v>3.7308542901397998E-3</v>
          </cell>
          <cell r="V337">
            <v>1.7000000000000001E-2</v>
          </cell>
          <cell r="W337">
            <v>0.30675999999999998</v>
          </cell>
          <cell r="X337">
            <v>12.584</v>
          </cell>
          <cell r="Y337">
            <v>11.63</v>
          </cell>
          <cell r="Z337">
            <v>0</v>
          </cell>
          <cell r="AB337">
            <v>0</v>
          </cell>
          <cell r="AC337">
            <v>0.22908307305456366</v>
          </cell>
          <cell r="AD337">
            <v>6.6233041764477682E-2</v>
          </cell>
          <cell r="AE337">
            <v>2.1119002500000001</v>
          </cell>
          <cell r="AF337">
            <v>14.654633905993821</v>
          </cell>
          <cell r="AG337">
            <v>9.6563593142802784</v>
          </cell>
          <cell r="AH337">
            <v>202402</v>
          </cell>
          <cell r="AI337" t="str">
            <v>Previous day data for SPOC</v>
          </cell>
        </row>
        <row r="338">
          <cell r="C338">
            <v>45346</v>
          </cell>
          <cell r="D338">
            <v>313752</v>
          </cell>
          <cell r="E338">
            <v>31088</v>
          </cell>
          <cell r="F338">
            <v>24412</v>
          </cell>
          <cell r="G338">
            <v>3544</v>
          </cell>
          <cell r="H338">
            <v>2340</v>
          </cell>
          <cell r="I338">
            <v>133200</v>
          </cell>
          <cell r="J338">
            <v>175628.64</v>
          </cell>
          <cell r="K338">
            <v>51830.149689999998</v>
          </cell>
          <cell r="L338">
            <v>0</v>
          </cell>
          <cell r="M338">
            <v>451151</v>
          </cell>
          <cell r="N338">
            <v>8816</v>
          </cell>
          <cell r="O338">
            <v>501</v>
          </cell>
          <cell r="P338">
            <v>200.07853799999998</v>
          </cell>
          <cell r="Q338">
            <v>0</v>
          </cell>
          <cell r="R338">
            <v>141409.0503646</v>
          </cell>
          <cell r="S338">
            <v>9.5710851288556889</v>
          </cell>
          <cell r="T338">
            <v>0.306867</v>
          </cell>
          <cell r="U338">
            <v>3.8844730381399246E-3</v>
          </cell>
          <cell r="V338">
            <v>1.7000000000000001E-2</v>
          </cell>
          <cell r="W338">
            <v>0.30748000000000003</v>
          </cell>
          <cell r="X338">
            <v>12.584</v>
          </cell>
          <cell r="Y338">
            <v>11.62</v>
          </cell>
          <cell r="Z338">
            <v>0</v>
          </cell>
          <cell r="AB338">
            <v>0</v>
          </cell>
          <cell r="AC338">
            <v>0.23049891404995654</v>
          </cell>
          <cell r="AD338">
            <v>6.7167496821436953E-2</v>
          </cell>
          <cell r="AE338">
            <v>2.1054002500000002</v>
          </cell>
          <cell r="AF338">
            <v>14.631923816427719</v>
          </cell>
          <cell r="AG338">
            <v>9.647724328170046</v>
          </cell>
          <cell r="AH338">
            <v>202402</v>
          </cell>
          <cell r="AI338" t="str">
            <v>Previous day data for SPOC</v>
          </cell>
        </row>
        <row r="339">
          <cell r="C339">
            <v>45347</v>
          </cell>
          <cell r="D339">
            <v>324735</v>
          </cell>
          <cell r="E339">
            <v>31377</v>
          </cell>
          <cell r="F339">
            <v>24465</v>
          </cell>
          <cell r="G339">
            <v>3560</v>
          </cell>
          <cell r="H339">
            <v>2380</v>
          </cell>
          <cell r="I339">
            <v>133200</v>
          </cell>
          <cell r="J339">
            <v>177034.80000000002</v>
          </cell>
          <cell r="K339">
            <v>51208.22</v>
          </cell>
          <cell r="L339">
            <v>0</v>
          </cell>
          <cell r="M339">
            <v>443803</v>
          </cell>
          <cell r="N339">
            <v>8006</v>
          </cell>
          <cell r="O339">
            <v>5419</v>
          </cell>
          <cell r="P339">
            <v>92.837447999999995</v>
          </cell>
          <cell r="Q339">
            <v>0</v>
          </cell>
          <cell r="R339">
            <v>143571.92835160001</v>
          </cell>
          <cell r="S339">
            <v>10.13742152701283</v>
          </cell>
          <cell r="T339">
            <v>0.30476399999999998</v>
          </cell>
          <cell r="U339">
            <v>3.9456090523209879E-3</v>
          </cell>
          <cell r="V339">
            <v>1.7000000000000001E-2</v>
          </cell>
          <cell r="W339">
            <v>0.30704999999999999</v>
          </cell>
          <cell r="X339">
            <v>12.584</v>
          </cell>
          <cell r="Y339">
            <v>11.7</v>
          </cell>
          <cell r="Z339">
            <v>0</v>
          </cell>
          <cell r="AB339">
            <v>0</v>
          </cell>
          <cell r="AC339">
            <v>0.2316315868462708</v>
          </cell>
          <cell r="AD339">
            <v>6.6884328622358394E-2</v>
          </cell>
          <cell r="AE339">
            <v>2.1048002499999998</v>
          </cell>
          <cell r="AF339">
            <v>14.617567188734437</v>
          </cell>
          <cell r="AG339">
            <v>9.677952384197507</v>
          </cell>
          <cell r="AH339">
            <v>202402</v>
          </cell>
          <cell r="AI339" t="str">
            <v>Prev day data for SPOC</v>
          </cell>
          <cell r="AJ339" t="str">
            <v>SCB:Intermittent pumping. Field prod'n 3.6k bopd.</v>
          </cell>
        </row>
        <row r="340">
          <cell r="C340">
            <v>45348</v>
          </cell>
          <cell r="D340">
            <v>338001</v>
          </cell>
          <cell r="E340">
            <v>31642</v>
          </cell>
          <cell r="F340">
            <v>24461</v>
          </cell>
          <cell r="G340">
            <v>3569</v>
          </cell>
          <cell r="H340">
            <v>2393</v>
          </cell>
          <cell r="I340">
            <v>148000</v>
          </cell>
          <cell r="J340">
            <v>174817.68000000002</v>
          </cell>
          <cell r="K340">
            <v>22863.97</v>
          </cell>
          <cell r="L340">
            <v>0</v>
          </cell>
          <cell r="M340">
            <v>448815</v>
          </cell>
          <cell r="N340">
            <v>8516</v>
          </cell>
          <cell r="O340">
            <v>6085</v>
          </cell>
          <cell r="P340">
            <v>201.58808999999997</v>
          </cell>
          <cell r="Q340">
            <v>0</v>
          </cell>
          <cell r="R340">
            <v>139834.02704050002</v>
          </cell>
          <cell r="S340">
            <v>10.33563926636783</v>
          </cell>
          <cell r="T340">
            <v>0.30699500000000002</v>
          </cell>
          <cell r="U340">
            <v>3.9625991442657016E-3</v>
          </cell>
          <cell r="V340">
            <v>1.7000000000000001E-2</v>
          </cell>
          <cell r="W340">
            <v>0.31326999999999999</v>
          </cell>
          <cell r="X340">
            <v>12.584</v>
          </cell>
          <cell r="Y340">
            <v>11.68</v>
          </cell>
          <cell r="Z340">
            <v>0</v>
          </cell>
          <cell r="AB340">
            <v>0</v>
          </cell>
          <cell r="AC340">
            <v>0.2316315868462708</v>
          </cell>
          <cell r="AD340">
            <v>6.7818783679317679E-2</v>
          </cell>
          <cell r="AE340">
            <v>2.0979002499999999</v>
          </cell>
          <cell r="AF340">
            <v>14.623711938654441</v>
          </cell>
          <cell r="AG340">
            <v>9.6824788665501558</v>
          </cell>
          <cell r="AH340">
            <v>202402</v>
          </cell>
          <cell r="AI340" t="str">
            <v>Prev day data for SPOC</v>
          </cell>
          <cell r="AJ340" t="str">
            <v>SCB:Intermittent pumping. Field prod'n 3.6k bopd.
GPOC: Production diverted to FPF Cost tank due tocomplete blackout at Heglig on Monday morning.Resumed export in the evening. Diverted volume approximately 24k.</v>
          </cell>
        </row>
        <row r="341">
          <cell r="C341">
            <v>45349</v>
          </cell>
          <cell r="D341">
            <v>344097</v>
          </cell>
          <cell r="E341">
            <v>31384</v>
          </cell>
          <cell r="F341">
            <v>8156.9</v>
          </cell>
          <cell r="G341">
            <v>3549</v>
          </cell>
          <cell r="H341">
            <v>2400</v>
          </cell>
          <cell r="I341">
            <v>148000</v>
          </cell>
          <cell r="J341">
            <v>177518.40000000002</v>
          </cell>
          <cell r="K341">
            <v>51941.904150000002</v>
          </cell>
          <cell r="L341">
            <v>0</v>
          </cell>
          <cell r="M341">
            <v>444860</v>
          </cell>
          <cell r="N341">
            <v>8514</v>
          </cell>
          <cell r="O341">
            <v>5740</v>
          </cell>
          <cell r="P341">
            <v>79.251479999999987</v>
          </cell>
          <cell r="Q341">
            <v>0</v>
          </cell>
          <cell r="R341">
            <v>136109.51390350005</v>
          </cell>
          <cell r="S341">
            <v>10.363956086275687</v>
          </cell>
          <cell r="T341">
            <v>0.30506100000000003</v>
          </cell>
          <cell r="U341">
            <v>2.2710089566101402E-3</v>
          </cell>
          <cell r="V341">
            <v>1.7000000000000001E-2</v>
          </cell>
          <cell r="W341">
            <v>0.30681000000000003</v>
          </cell>
          <cell r="X341">
            <v>12.584</v>
          </cell>
          <cell r="Y341">
            <v>11.73</v>
          </cell>
          <cell r="Z341">
            <v>0</v>
          </cell>
          <cell r="AB341">
            <v>0</v>
          </cell>
          <cell r="AC341">
            <v>0.23191475504534936</v>
          </cell>
          <cell r="AD341">
            <v>6.6657794063095535E-2</v>
          </cell>
          <cell r="AE341">
            <v>2.09520025</v>
          </cell>
          <cell r="AF341">
            <v>14.680657063489141</v>
          </cell>
          <cell r="AG341">
            <v>9.6959991158359777</v>
          </cell>
          <cell r="AH341">
            <v>202402</v>
          </cell>
          <cell r="AI341" t="str">
            <v>Prev day data for SPOC.</v>
          </cell>
          <cell r="AJ341" t="str">
            <v xml:space="preserve">GPOC: Production diverted to FPF Cost tank due to complete blackout at Heglig on Monday morning.Resumed export in the evening. Diverted volume approximately 24k.
CPO-5: Blockade at Indico pad. </v>
          </cell>
        </row>
        <row r="342">
          <cell r="C342">
            <v>45350</v>
          </cell>
          <cell r="D342">
            <v>343971</v>
          </cell>
          <cell r="E342">
            <v>31346</v>
          </cell>
          <cell r="F342">
            <v>10689</v>
          </cell>
          <cell r="G342">
            <v>3513</v>
          </cell>
          <cell r="H342">
            <v>2370</v>
          </cell>
          <cell r="I342">
            <v>148000</v>
          </cell>
          <cell r="J342">
            <v>178158.24000000002</v>
          </cell>
          <cell r="K342">
            <v>54771.991670000003</v>
          </cell>
          <cell r="L342">
            <v>0</v>
          </cell>
          <cell r="M342">
            <v>443465</v>
          </cell>
          <cell r="N342">
            <v>8521</v>
          </cell>
          <cell r="O342">
            <v>3931</v>
          </cell>
          <cell r="P342">
            <v>205.67645999999999</v>
          </cell>
          <cell r="Q342">
            <v>0</v>
          </cell>
          <cell r="R342">
            <v>137972.95482449999</v>
          </cell>
          <cell r="S342">
            <v>10.958609304340685</v>
          </cell>
          <cell r="T342">
            <v>0.30911499999999997</v>
          </cell>
          <cell r="U342">
            <v>2.2518667863524254E-3</v>
          </cell>
          <cell r="V342">
            <v>1.7000000000000001E-2</v>
          </cell>
          <cell r="W342">
            <v>0.30625000000000002</v>
          </cell>
          <cell r="X342">
            <v>12.584</v>
          </cell>
          <cell r="Y342">
            <v>11.68</v>
          </cell>
          <cell r="Z342">
            <v>0</v>
          </cell>
          <cell r="AB342">
            <v>0</v>
          </cell>
          <cell r="AC342">
            <v>0.22936624125364222</v>
          </cell>
          <cell r="AD342">
            <v>6.4335814830651247E-2</v>
          </cell>
          <cell r="AE342">
            <v>2.0852002500000002</v>
          </cell>
          <cell r="AF342">
            <v>14.704414875391834</v>
          </cell>
          <cell r="AG342">
            <v>9.6955864854674907</v>
          </cell>
          <cell r="AH342">
            <v>202402</v>
          </cell>
          <cell r="AI342" t="str">
            <v>Prev day data for SPOC</v>
          </cell>
          <cell r="AJ342" t="str">
            <v>CPO-5:Indico wells progressively opened.
GPOC: Crude from FPF stock, which was diverted on Monday, also being pumped (about 5.5k bbl)</v>
          </cell>
        </row>
        <row r="343">
          <cell r="C343">
            <v>45351</v>
          </cell>
          <cell r="D343">
            <v>343724</v>
          </cell>
          <cell r="E343">
            <v>31013</v>
          </cell>
          <cell r="F343">
            <v>24597</v>
          </cell>
          <cell r="G343">
            <v>3072</v>
          </cell>
          <cell r="H343">
            <v>2393</v>
          </cell>
          <cell r="I343">
            <v>148000</v>
          </cell>
          <cell r="J343">
            <v>177831</v>
          </cell>
          <cell r="K343">
            <v>51648.825900000003</v>
          </cell>
          <cell r="L343">
            <v>0</v>
          </cell>
          <cell r="M343">
            <v>450906</v>
          </cell>
          <cell r="N343">
            <v>8665</v>
          </cell>
          <cell r="O343">
            <v>0</v>
          </cell>
          <cell r="P343">
            <v>73.527761999999996</v>
          </cell>
          <cell r="Q343">
            <v>0</v>
          </cell>
          <cell r="R343">
            <v>145231.17836789999</v>
          </cell>
          <cell r="S343">
            <v>10.675441105262115</v>
          </cell>
          <cell r="T343">
            <v>0.31211699999999998</v>
          </cell>
          <cell r="U343">
            <v>3.6677360985651868E-3</v>
          </cell>
          <cell r="V343">
            <v>1.7000000000000001E-2</v>
          </cell>
          <cell r="W343">
            <v>0.30537999999999998</v>
          </cell>
          <cell r="X343">
            <v>12.584</v>
          </cell>
          <cell r="Y343">
            <v>11.68</v>
          </cell>
          <cell r="Z343">
            <v>0</v>
          </cell>
          <cell r="AB343">
            <v>0</v>
          </cell>
          <cell r="AC343">
            <v>0.2268177274619351</v>
          </cell>
          <cell r="AD343">
            <v>6.0428093683366976E-2</v>
          </cell>
          <cell r="AE343">
            <v>2.08280025</v>
          </cell>
          <cell r="AF343">
            <v>14.757933665017683</v>
          </cell>
          <cell r="AG343">
            <v>9.6961517178477159</v>
          </cell>
          <cell r="AH343">
            <v>202402</v>
          </cell>
          <cell r="AI343" t="str">
            <v>Prev day data for SPOC</v>
          </cell>
          <cell r="AJ343" t="str">
            <v>MECL:Electrical shutdown taken for preventive maintenance (due to identification of hotspots in main line)
SCB:Intermittent pumping. Field prod'n 3640 bopd.</v>
          </cell>
        </row>
        <row r="344">
          <cell r="C344">
            <v>45352</v>
          </cell>
          <cell r="D344">
            <v>330388</v>
          </cell>
          <cell r="E344">
            <v>31358</v>
          </cell>
          <cell r="F344">
            <v>24581</v>
          </cell>
          <cell r="G344">
            <v>3528</v>
          </cell>
          <cell r="H344">
            <v>2412</v>
          </cell>
          <cell r="I344">
            <v>148000</v>
          </cell>
          <cell r="J344">
            <v>178002</v>
          </cell>
          <cell r="K344">
            <v>52212.954960000003</v>
          </cell>
          <cell r="L344">
            <v>0</v>
          </cell>
          <cell r="M344">
            <v>374593</v>
          </cell>
          <cell r="N344">
            <v>8621</v>
          </cell>
          <cell r="O344">
            <v>6419</v>
          </cell>
          <cell r="P344">
            <v>198.63188399999999</v>
          </cell>
          <cell r="Q344">
            <v>0</v>
          </cell>
          <cell r="R344">
            <v>145004.09588780001</v>
          </cell>
          <cell r="S344">
            <v>8.8631646311592611</v>
          </cell>
          <cell r="T344">
            <v>0.31175399999999998</v>
          </cell>
          <cell r="U344">
            <v>3.6677360985651868E-3</v>
          </cell>
          <cell r="V344">
            <v>1.7000000000000001E-2</v>
          </cell>
          <cell r="W344">
            <v>0.30779000000000001</v>
          </cell>
          <cell r="X344">
            <v>11.91</v>
          </cell>
          <cell r="Y344">
            <v>11.64</v>
          </cell>
          <cell r="Z344">
            <v>0</v>
          </cell>
          <cell r="AB344">
            <v>0</v>
          </cell>
          <cell r="AC344">
            <v>0.22738406386009222</v>
          </cell>
          <cell r="AD344">
            <v>5.8672450849079842E-2</v>
          </cell>
          <cell r="AE344">
            <v>2.1953002499999998</v>
          </cell>
          <cell r="AF344">
            <v>14.758556635055655</v>
          </cell>
          <cell r="AG344">
            <v>9.5614910660724775</v>
          </cell>
          <cell r="AH344">
            <v>202403</v>
          </cell>
        </row>
        <row r="345">
          <cell r="C345">
            <v>45353</v>
          </cell>
          <cell r="D345">
            <v>307402</v>
          </cell>
          <cell r="E345">
            <v>32333</v>
          </cell>
          <cell r="F345">
            <v>24573</v>
          </cell>
          <cell r="G345">
            <v>3476</v>
          </cell>
          <cell r="H345">
            <v>2380</v>
          </cell>
          <cell r="I345">
            <v>148000</v>
          </cell>
          <cell r="J345">
            <v>178709</v>
          </cell>
          <cell r="K345">
            <v>50242.878929999999</v>
          </cell>
          <cell r="L345">
            <v>0</v>
          </cell>
          <cell r="M345">
            <v>399159</v>
          </cell>
          <cell r="N345">
            <v>8809</v>
          </cell>
          <cell r="O345">
            <v>4458</v>
          </cell>
          <cell r="P345">
            <v>219.639816</v>
          </cell>
          <cell r="Q345">
            <v>0</v>
          </cell>
          <cell r="R345">
            <v>144592.44384969998</v>
          </cell>
          <cell r="S345">
            <v>8.5516796121728333</v>
          </cell>
          <cell r="T345">
            <v>0.32087500000000002</v>
          </cell>
          <cell r="U345">
            <v>3.7822493182725603E-3</v>
          </cell>
          <cell r="V345">
            <v>1.7000000000000001E-2</v>
          </cell>
          <cell r="W345">
            <v>0.3054</v>
          </cell>
          <cell r="X345">
            <v>11.91</v>
          </cell>
          <cell r="Y345">
            <v>11.72</v>
          </cell>
          <cell r="Z345">
            <v>0</v>
          </cell>
          <cell r="AB345">
            <v>0</v>
          </cell>
          <cell r="AC345">
            <v>0.21634050409602798</v>
          </cell>
          <cell r="AD345">
            <v>5.4651462422164135E-2</v>
          </cell>
          <cell r="AE345">
            <v>2.1071002499999998</v>
          </cell>
          <cell r="AF345">
            <v>14.74354872050449</v>
          </cell>
          <cell r="AG345">
            <v>9.5301840589691746</v>
          </cell>
          <cell r="AH345">
            <v>202403</v>
          </cell>
        </row>
        <row r="346">
          <cell r="C346">
            <v>45354</v>
          </cell>
          <cell r="D346">
            <v>322349</v>
          </cell>
          <cell r="E346">
            <v>31969</v>
          </cell>
          <cell r="F346">
            <v>24571</v>
          </cell>
          <cell r="G346">
            <v>3514</v>
          </cell>
          <cell r="H346">
            <v>2410</v>
          </cell>
          <cell r="I346">
            <v>148000</v>
          </cell>
          <cell r="J346">
            <v>178977</v>
          </cell>
          <cell r="K346">
            <v>51008.1</v>
          </cell>
          <cell r="L346">
            <v>0</v>
          </cell>
          <cell r="M346">
            <v>441337</v>
          </cell>
          <cell r="N346">
            <v>8408</v>
          </cell>
          <cell r="O346">
            <v>4094.0000000000005</v>
          </cell>
          <cell r="P346">
            <v>208.129482</v>
          </cell>
          <cell r="Q346">
            <v>0</v>
          </cell>
          <cell r="R346">
            <v>146640.25516689999</v>
          </cell>
          <cell r="S346">
            <v>8.268511413094263</v>
          </cell>
          <cell r="T346">
            <v>0.31901800000000002</v>
          </cell>
          <cell r="U346">
            <v>3.793377828496348E-3</v>
          </cell>
          <cell r="V346">
            <v>1.7000000000000001E-2</v>
          </cell>
          <cell r="W346">
            <v>0.30832999999999999</v>
          </cell>
          <cell r="X346">
            <v>11.91</v>
          </cell>
          <cell r="Y346">
            <v>11.78</v>
          </cell>
          <cell r="Z346">
            <v>0</v>
          </cell>
          <cell r="AB346">
            <v>0</v>
          </cell>
          <cell r="AC346">
            <v>0.21124347651261371</v>
          </cell>
          <cell r="AD346">
            <v>6.0852845981984836E-2</v>
          </cell>
          <cell r="AE346">
            <v>2.0985002499999998</v>
          </cell>
          <cell r="AF346">
            <v>14.72888060779222</v>
          </cell>
          <cell r="AG346">
            <v>9.5372355747562843</v>
          </cell>
          <cell r="AH346">
            <v>202403</v>
          </cell>
          <cell r="AJ346" t="str">
            <v>S-1 (Week 18-24 Feb report received): Production curtailed due to bad weather affecting tanker movement. Slowdown opportunity used for some planned
maintenance work for optimization purposes.Report for 25 onwards not yet received yet. Production assumed 170k bopd.</v>
          </cell>
        </row>
        <row r="347">
          <cell r="C347">
            <v>45355</v>
          </cell>
          <cell r="D347">
            <v>342672</v>
          </cell>
          <cell r="E347">
            <v>31761</v>
          </cell>
          <cell r="F347">
            <v>24536</v>
          </cell>
          <cell r="G347">
            <v>3334</v>
          </cell>
          <cell r="H347">
            <v>2348</v>
          </cell>
          <cell r="I347">
            <v>177600</v>
          </cell>
          <cell r="J347">
            <v>178151</v>
          </cell>
          <cell r="K347">
            <v>49063.227800000001</v>
          </cell>
          <cell r="L347">
            <v>0</v>
          </cell>
          <cell r="M347">
            <v>442168</v>
          </cell>
          <cell r="N347">
            <v>8400</v>
          </cell>
          <cell r="O347">
            <v>3611</v>
          </cell>
          <cell r="P347">
            <v>186.80705999999998</v>
          </cell>
          <cell r="Q347">
            <v>0</v>
          </cell>
          <cell r="R347">
            <v>151925.643327</v>
          </cell>
          <cell r="S347">
            <v>8.6366300718964055</v>
          </cell>
          <cell r="T347">
            <v>0.32016899999999998</v>
          </cell>
          <cell r="U347">
            <v>3.9106944133745995E-3</v>
          </cell>
          <cell r="V347">
            <v>1.7000000000000001E-2</v>
          </cell>
          <cell r="W347">
            <v>0.30914999999999998</v>
          </cell>
          <cell r="X347">
            <v>11.91</v>
          </cell>
          <cell r="Y347">
            <v>11.61</v>
          </cell>
          <cell r="Z347">
            <v>0</v>
          </cell>
          <cell r="AB347">
            <v>0</v>
          </cell>
          <cell r="AC347">
            <v>0.22540188646654225</v>
          </cell>
          <cell r="AD347">
            <v>5.9040569507881981E-2</v>
          </cell>
          <cell r="AE347">
            <v>2.09330025</v>
          </cell>
          <cell r="AF347">
            <v>14.731967141162178</v>
          </cell>
          <cell r="AG347">
            <v>9.5017692325622125</v>
          </cell>
          <cell r="AH347">
            <v>202403</v>
          </cell>
          <cell r="AJ347" t="str">
            <v xml:space="preserve">SPOC: Export started on 5th march morning.(Batching). 17 wells opened. Producton to be reflected in tomorrow's report.
LZC:Quota information received from operator for June'24(417 kbopd).
</v>
          </cell>
        </row>
        <row r="348">
          <cell r="C348">
            <v>45356</v>
          </cell>
          <cell r="D348">
            <v>332112</v>
          </cell>
          <cell r="E348">
            <v>27767</v>
          </cell>
          <cell r="F348">
            <v>24459</v>
          </cell>
          <cell r="G348">
            <v>3350</v>
          </cell>
          <cell r="H348">
            <v>2363</v>
          </cell>
          <cell r="I348">
            <v>177600</v>
          </cell>
          <cell r="J348">
            <v>177102</v>
          </cell>
          <cell r="K348">
            <v>50278.96009</v>
          </cell>
          <cell r="L348">
            <v>38741</v>
          </cell>
          <cell r="M348">
            <v>439115</v>
          </cell>
          <cell r="N348">
            <v>8507</v>
          </cell>
          <cell r="O348">
            <v>4387</v>
          </cell>
          <cell r="P348">
            <v>183.41056799999998</v>
          </cell>
          <cell r="Q348">
            <v>0</v>
          </cell>
          <cell r="R348">
            <v>160148.40822810002</v>
          </cell>
          <cell r="S348">
            <v>8.9042240200256551</v>
          </cell>
          <cell r="T348">
            <v>0.28168900000000002</v>
          </cell>
          <cell r="U348">
            <v>3.8529564175824797E-3</v>
          </cell>
          <cell r="V348">
            <v>1.7000000000000001E-2</v>
          </cell>
          <cell r="W348">
            <v>0.29724</v>
          </cell>
          <cell r="X348">
            <v>11.91</v>
          </cell>
          <cell r="Y348">
            <v>10.51</v>
          </cell>
          <cell r="Z348">
            <v>0</v>
          </cell>
          <cell r="AB348">
            <v>0</v>
          </cell>
          <cell r="AC348">
            <v>0.23531277343429224</v>
          </cell>
          <cell r="AD348">
            <v>5.9295420887052697E-2</v>
          </cell>
          <cell r="AE348">
            <v>2.0895002499999999</v>
          </cell>
          <cell r="AF348">
            <v>14.730806151545957</v>
          </cell>
          <cell r="AG348">
            <v>9.1988954060503065</v>
          </cell>
          <cell r="AH348">
            <v>202403</v>
          </cell>
          <cell r="AI348" t="str">
            <v>Provisional figure for SPOC.</v>
          </cell>
          <cell r="AJ348" t="str">
            <v>SPOC:Export started on 5th March morning. 17 wells opened.
BC-10:MOBO-5 tripped in the morning. Under investigation.
Sakhalin-1:Updated as per latest weekly received.</v>
          </cell>
        </row>
        <row r="349">
          <cell r="C349">
            <v>45357</v>
          </cell>
          <cell r="D349">
            <v>332387</v>
          </cell>
          <cell r="E349">
            <v>20516</v>
          </cell>
          <cell r="F349">
            <v>24428</v>
          </cell>
          <cell r="G349">
            <v>3383</v>
          </cell>
          <cell r="H349">
            <v>2366</v>
          </cell>
          <cell r="I349">
            <v>177600</v>
          </cell>
          <cell r="J349">
            <v>178612</v>
          </cell>
          <cell r="K349">
            <v>49835.871379999997</v>
          </cell>
          <cell r="L349">
            <v>47871</v>
          </cell>
          <cell r="M349">
            <v>395605</v>
          </cell>
          <cell r="N349">
            <v>8469</v>
          </cell>
          <cell r="O349">
            <v>2498</v>
          </cell>
          <cell r="P349">
            <v>219.451122</v>
          </cell>
          <cell r="Q349">
            <v>0</v>
          </cell>
          <cell r="R349">
            <v>158195.26929990004</v>
          </cell>
          <cell r="S349">
            <v>9.1321744202839046</v>
          </cell>
          <cell r="T349">
            <v>0.25436900000000001</v>
          </cell>
          <cell r="U349">
            <v>3.9178868856311957E-3</v>
          </cell>
          <cell r="V349">
            <v>1.7000000000000001E-2</v>
          </cell>
          <cell r="W349">
            <v>0.31030000000000002</v>
          </cell>
          <cell r="X349">
            <v>11.91</v>
          </cell>
          <cell r="Y349">
            <v>10.48</v>
          </cell>
          <cell r="Z349">
            <v>0</v>
          </cell>
          <cell r="AA349">
            <v>0</v>
          </cell>
          <cell r="AB349">
            <v>0</v>
          </cell>
          <cell r="AC349">
            <v>0.23786128722599936</v>
          </cell>
          <cell r="AD349">
            <v>5.955027226622342E-2</v>
          </cell>
          <cell r="AE349">
            <v>2.0719002500000001</v>
          </cell>
          <cell r="AF349">
            <v>14.724548134346321</v>
          </cell>
          <cell r="AG349">
            <v>9.1934885257687249</v>
          </cell>
          <cell r="AH349">
            <v>202403</v>
          </cell>
          <cell r="AI349" t="str">
            <v>Provisional and approximate figure for SPOC, as firm figure not received yet.</v>
          </cell>
          <cell r="AJ349" t="str">
            <v xml:space="preserve">SPOC:Batching process ongoing.
BC-10:Production deferment due to MOBO 5 trip. Matter being taken up with operator.
</v>
          </cell>
        </row>
        <row r="350">
          <cell r="C350">
            <v>45358</v>
          </cell>
          <cell r="D350">
            <v>339673</v>
          </cell>
          <cell r="E350">
            <v>20717</v>
          </cell>
          <cell r="F350">
            <v>24392</v>
          </cell>
          <cell r="G350">
            <v>3476</v>
          </cell>
          <cell r="H350">
            <v>2351</v>
          </cell>
          <cell r="I350">
            <v>177600</v>
          </cell>
          <cell r="J350">
            <v>178694</v>
          </cell>
          <cell r="K350">
            <v>49940.255349999999</v>
          </cell>
          <cell r="L350">
            <v>47420</v>
          </cell>
          <cell r="M350">
            <v>359982</v>
          </cell>
          <cell r="N350">
            <v>8199</v>
          </cell>
          <cell r="O350">
            <v>3264</v>
          </cell>
          <cell r="P350">
            <v>157.55948999999998</v>
          </cell>
          <cell r="Q350">
            <v>0</v>
          </cell>
          <cell r="R350">
            <v>157186.68690800003</v>
          </cell>
          <cell r="S350">
            <v>12.778814488017737</v>
          </cell>
          <cell r="T350">
            <v>0.24435399999999999</v>
          </cell>
          <cell r="U350">
            <v>3.8277544478644864E-3</v>
          </cell>
          <cell r="V350">
            <v>1.7000000000000001E-2</v>
          </cell>
          <cell r="W350">
            <v>0.30776999999999999</v>
          </cell>
          <cell r="X350">
            <v>11.91</v>
          </cell>
          <cell r="Y350">
            <v>10.68</v>
          </cell>
          <cell r="Z350">
            <v>0</v>
          </cell>
          <cell r="AA350">
            <v>0</v>
          </cell>
          <cell r="AB350">
            <v>0</v>
          </cell>
          <cell r="AC350">
            <v>0.24663950139743507</v>
          </cell>
          <cell r="AD350">
            <v>5.9805123645394129E-2</v>
          </cell>
          <cell r="AE350">
            <v>2.0829002499999998</v>
          </cell>
          <cell r="AF350">
            <v>14.726558628559776</v>
          </cell>
          <cell r="AG350">
            <v>9.3307880967537518</v>
          </cell>
          <cell r="AH350">
            <v>202403</v>
          </cell>
        </row>
        <row r="351">
          <cell r="C351">
            <v>45359</v>
          </cell>
          <cell r="D351">
            <v>349837</v>
          </cell>
          <cell r="E351">
            <v>23484</v>
          </cell>
          <cell r="F351">
            <v>24390</v>
          </cell>
          <cell r="G351">
            <v>3534</v>
          </cell>
          <cell r="H351">
            <v>2330</v>
          </cell>
          <cell r="I351">
            <v>177600</v>
          </cell>
          <cell r="J351">
            <v>177191</v>
          </cell>
          <cell r="K351">
            <v>49731.094599999997</v>
          </cell>
          <cell r="L351">
            <v>5995</v>
          </cell>
          <cell r="M351">
            <v>412118</v>
          </cell>
          <cell r="N351">
            <v>8510</v>
          </cell>
          <cell r="O351">
            <v>3932</v>
          </cell>
          <cell r="P351">
            <v>204.60719399999999</v>
          </cell>
          <cell r="Q351">
            <v>0</v>
          </cell>
          <cell r="R351">
            <v>150146.3353373</v>
          </cell>
          <cell r="S351">
            <v>14.760425545169575</v>
          </cell>
          <cell r="T351">
            <v>0.247977</v>
          </cell>
          <cell r="U351">
            <v>3.6879259911594886E-3</v>
          </cell>
          <cell r="V351">
            <v>1.7000000000000001E-2</v>
          </cell>
          <cell r="W351">
            <v>0.30731000000000003</v>
          </cell>
          <cell r="X351">
            <v>11.91</v>
          </cell>
          <cell r="Y351">
            <v>10.75</v>
          </cell>
          <cell r="Z351">
            <v>0</v>
          </cell>
          <cell r="AA351">
            <v>0</v>
          </cell>
          <cell r="AB351">
            <v>0</v>
          </cell>
          <cell r="AC351">
            <v>0.2327642596425851</v>
          </cell>
          <cell r="AD351">
            <v>6.0682945062537685E-2</v>
          </cell>
          <cell r="AE351">
            <v>2.07120025</v>
          </cell>
          <cell r="AF351">
            <v>14.754790498007912</v>
          </cell>
          <cell r="AG351">
            <v>9.3935429120342739</v>
          </cell>
          <cell r="AH351">
            <v>202403</v>
          </cell>
        </row>
        <row r="352">
          <cell r="C352">
            <v>45360</v>
          </cell>
          <cell r="D352">
            <v>340787</v>
          </cell>
          <cell r="E352">
            <v>23365</v>
          </cell>
          <cell r="F352">
            <v>24109</v>
          </cell>
          <cell r="G352">
            <v>3564</v>
          </cell>
          <cell r="H352">
            <v>2392</v>
          </cell>
          <cell r="I352">
            <v>177600</v>
          </cell>
          <cell r="J352">
            <v>177414</v>
          </cell>
          <cell r="K352">
            <v>49902.822950000002</v>
          </cell>
          <cell r="L352">
            <v>0</v>
          </cell>
          <cell r="M352">
            <v>424813</v>
          </cell>
          <cell r="N352">
            <v>8419</v>
          </cell>
          <cell r="O352">
            <v>3834</v>
          </cell>
          <cell r="P352">
            <v>196.053066</v>
          </cell>
          <cell r="Q352">
            <v>0</v>
          </cell>
          <cell r="R352">
            <v>148894.80931720001</v>
          </cell>
          <cell r="S352">
            <v>14.870861142810213</v>
          </cell>
          <cell r="T352">
            <v>0.247562</v>
          </cell>
          <cell r="U352">
            <v>3.5377052615483072E-3</v>
          </cell>
          <cell r="V352">
            <v>1.7000000000000001E-2</v>
          </cell>
          <cell r="W352">
            <v>0.30925999999999998</v>
          </cell>
          <cell r="X352">
            <v>11.91</v>
          </cell>
          <cell r="Y352">
            <v>10.46</v>
          </cell>
          <cell r="Z352">
            <v>0</v>
          </cell>
          <cell r="AA352">
            <v>0</v>
          </cell>
          <cell r="AB352">
            <v>0</v>
          </cell>
          <cell r="AC352">
            <v>0.24805534239282789</v>
          </cell>
          <cell r="AD352">
            <v>6.1532449659773406E-2</v>
          </cell>
          <cell r="AE352">
            <v>2.0557002500000001</v>
          </cell>
          <cell r="AF352">
            <v>14.755668319425054</v>
          </cell>
          <cell r="AG352">
            <v>9.3176228204113798</v>
          </cell>
          <cell r="AH352">
            <v>202403</v>
          </cell>
          <cell r="AJ352" t="str">
            <v xml:space="preserve">
SPOC:Export stopped on 8th March. Total export in this batch(5-8 march) is 140k bbl.At present well produciton about 14k bopd. Export from Tharjath to heglig about 18k bopd.Total stock around 163 bbl(78k at Tharjath, 85k at Heglig.)
BC-10:ALM-2 out of operation causing production deferement (MOBO-5).</v>
          </cell>
        </row>
        <row r="353">
          <cell r="C353">
            <v>45361</v>
          </cell>
          <cell r="D353">
            <v>334648</v>
          </cell>
          <cell r="E353">
            <v>23629</v>
          </cell>
          <cell r="F353">
            <v>23663</v>
          </cell>
          <cell r="G353">
            <v>3607</v>
          </cell>
          <cell r="H353">
            <v>2395</v>
          </cell>
          <cell r="I353">
            <v>177600</v>
          </cell>
          <cell r="J353">
            <v>174743</v>
          </cell>
          <cell r="K353">
            <v>50915.547120000003</v>
          </cell>
          <cell r="L353">
            <v>0</v>
          </cell>
          <cell r="M353">
            <v>374200</v>
          </cell>
          <cell r="N353">
            <v>8448</v>
          </cell>
          <cell r="O353">
            <v>3694</v>
          </cell>
          <cell r="P353">
            <v>196.68204599999999</v>
          </cell>
          <cell r="Q353">
            <v>0</v>
          </cell>
          <cell r="R353">
            <v>146018.25250069998</v>
          </cell>
          <cell r="S353">
            <v>15.080971946526514</v>
          </cell>
          <cell r="T353">
            <v>0.24612899999999999</v>
          </cell>
          <cell r="U353">
            <v>3.6043064219715864E-3</v>
          </cell>
          <cell r="V353">
            <v>1.7000000000000001E-2</v>
          </cell>
          <cell r="W353">
            <v>0.30816000000000004</v>
          </cell>
          <cell r="X353">
            <v>11.91</v>
          </cell>
          <cell r="Y353">
            <v>10.7</v>
          </cell>
          <cell r="Z353">
            <v>0</v>
          </cell>
          <cell r="AB353">
            <v>0</v>
          </cell>
          <cell r="AC353">
            <v>0.23531277343429224</v>
          </cell>
          <cell r="AD353">
            <v>6.1787301038944115E-2</v>
          </cell>
          <cell r="AE353">
            <v>2.0612002500000002</v>
          </cell>
          <cell r="AF353">
            <v>14.72865407323296</v>
          </cell>
          <cell r="AG353">
            <v>9.3800189269030962</v>
          </cell>
          <cell r="AH353">
            <v>202403</v>
          </cell>
          <cell r="AJ353" t="str">
            <v>CPO-5: Choke increase in Indico-6 from 36 to 38/64. Plan in Indico-5 for multibean test and PBU to meet the compliance requirement.(bean to be increased in phases from current 46/64 to 58/64". After that 24 hr shut-in to be taken). Well was shutin for 4 hrs during the day for run-in of assembly.(Normal production of Indico-5 at 46/64 is about 3k bopd.</v>
          </cell>
        </row>
        <row r="354">
          <cell r="C354">
            <v>45362</v>
          </cell>
          <cell r="D354">
            <v>353392</v>
          </cell>
          <cell r="E354">
            <v>25082</v>
          </cell>
          <cell r="F354">
            <v>24361</v>
          </cell>
          <cell r="G354">
            <v>3600</v>
          </cell>
          <cell r="H354">
            <v>2351</v>
          </cell>
          <cell r="I354">
            <v>180600</v>
          </cell>
          <cell r="J354">
            <v>177541</v>
          </cell>
          <cell r="K354">
            <v>51358.04593</v>
          </cell>
          <cell r="L354">
            <v>918</v>
          </cell>
          <cell r="M354">
            <v>351718</v>
          </cell>
          <cell r="N354">
            <v>8461</v>
          </cell>
          <cell r="O354">
            <v>4519</v>
          </cell>
          <cell r="P354">
            <v>200.01563999999999</v>
          </cell>
          <cell r="Q354">
            <v>0</v>
          </cell>
          <cell r="R354">
            <v>148377.8712205</v>
          </cell>
          <cell r="S354">
            <v>15.138738259138545</v>
          </cell>
          <cell r="T354">
            <v>0.24920800000000001</v>
          </cell>
          <cell r="U354">
            <v>3.6741923335041776E-3</v>
          </cell>
          <cell r="V354">
            <v>1.7000000000000001E-2</v>
          </cell>
          <cell r="W354">
            <v>0.30758999999999997</v>
          </cell>
          <cell r="X354">
            <v>11.91</v>
          </cell>
          <cell r="Y354">
            <v>10.5</v>
          </cell>
          <cell r="Z354">
            <v>0</v>
          </cell>
          <cell r="AB354">
            <v>0</v>
          </cell>
          <cell r="AC354">
            <v>0.23871079182323507</v>
          </cell>
          <cell r="AD354">
            <v>5.8672450849079842E-2</v>
          </cell>
          <cell r="AE354">
            <v>2.0554002499999999</v>
          </cell>
          <cell r="AF354">
            <v>14.74618218475592</v>
          </cell>
          <cell r="AG354">
            <v>9.3291611997682473</v>
          </cell>
          <cell r="AH354">
            <v>202403</v>
          </cell>
          <cell r="AJ354" t="str">
            <v>SPOC:Export restarted on 11th night(details not recvd yet)
CPO-5:Multi bean test ongoing on well Indico-5
Sakh-1 gas for March month assumed as 12 mmscmd based on previous year trend</v>
          </cell>
        </row>
        <row r="355">
          <cell r="C355">
            <v>45363</v>
          </cell>
          <cell r="D355">
            <v>345228</v>
          </cell>
          <cell r="E355">
            <v>24308</v>
          </cell>
          <cell r="F355">
            <v>24370</v>
          </cell>
          <cell r="G355">
            <v>3627</v>
          </cell>
          <cell r="H355">
            <v>2329</v>
          </cell>
          <cell r="I355">
            <v>180600</v>
          </cell>
          <cell r="J355">
            <v>178612</v>
          </cell>
          <cell r="K355">
            <v>52829.487260000002</v>
          </cell>
          <cell r="L355">
            <v>46912</v>
          </cell>
          <cell r="M355">
            <v>429151</v>
          </cell>
          <cell r="N355">
            <v>8484</v>
          </cell>
          <cell r="O355">
            <v>2954</v>
          </cell>
          <cell r="P355">
            <v>204.60719399999999</v>
          </cell>
          <cell r="Q355">
            <v>0</v>
          </cell>
          <cell r="R355">
            <v>162196.3918523</v>
          </cell>
          <cell r="S355">
            <v>14.994605645807551</v>
          </cell>
          <cell r="T355">
            <v>0.24923200000000001</v>
          </cell>
          <cell r="U355">
            <v>3.6453091771981639E-3</v>
          </cell>
          <cell r="V355">
            <v>1.7000000000000001E-2</v>
          </cell>
          <cell r="W355">
            <v>0.30810999999999999</v>
          </cell>
          <cell r="X355">
            <v>11.91</v>
          </cell>
          <cell r="Y355">
            <v>11.01</v>
          </cell>
          <cell r="Z355">
            <v>0</v>
          </cell>
          <cell r="AB355">
            <v>0</v>
          </cell>
          <cell r="AC355">
            <v>0.23899396002231363</v>
          </cell>
          <cell r="AD355">
            <v>6.357126069313912E-2</v>
          </cell>
          <cell r="AE355">
            <v>2.0410002500000002</v>
          </cell>
          <cell r="AF355">
            <v>14.771497421753546</v>
          </cell>
          <cell r="AG355">
            <v>9.4587522609200061</v>
          </cell>
          <cell r="AH355">
            <v>202403</v>
          </cell>
          <cell r="AJ355" t="str">
            <v>SPOC: Export ongoing under batching . 33 wells flowing.Field prod'n 12.9k bopd.Pumping from TJ to Heglig ongoing at a rate of 18k bopd. Stock 145k (58k at TJ, 87k at Heglig)
SCB:Intermittent pumping. Field production 3.7k bopd.</v>
          </cell>
        </row>
        <row r="356">
          <cell r="C356">
            <v>45364</v>
          </cell>
          <cell r="D356">
            <v>350357</v>
          </cell>
          <cell r="E356">
            <v>20572</v>
          </cell>
          <cell r="F356">
            <v>21489</v>
          </cell>
          <cell r="G356">
            <v>3655</v>
          </cell>
          <cell r="H356">
            <v>2358</v>
          </cell>
          <cell r="I356">
            <v>180600</v>
          </cell>
          <cell r="J356">
            <v>175115</v>
          </cell>
          <cell r="K356">
            <v>51405.017509999998</v>
          </cell>
          <cell r="L356">
            <v>46145</v>
          </cell>
          <cell r="M356">
            <v>421807</v>
          </cell>
          <cell r="N356">
            <v>8414</v>
          </cell>
          <cell r="O356">
            <v>4179</v>
          </cell>
          <cell r="P356">
            <v>146.74103399999998</v>
          </cell>
          <cell r="Q356">
            <v>0</v>
          </cell>
          <cell r="R356">
            <v>158044.57579279999</v>
          </cell>
          <cell r="S356">
            <v>15.035948202873021</v>
          </cell>
          <cell r="T356">
            <v>0.23394499999999999</v>
          </cell>
          <cell r="U356">
            <v>3.5416129826955911E-3</v>
          </cell>
          <cell r="V356">
            <v>1.7000000000000001E-2</v>
          </cell>
          <cell r="W356">
            <v>0.30625999999999998</v>
          </cell>
          <cell r="X356">
            <v>11.91</v>
          </cell>
          <cell r="Y356">
            <v>10.86</v>
          </cell>
          <cell r="Z356">
            <v>0</v>
          </cell>
          <cell r="AA356">
            <v>0</v>
          </cell>
          <cell r="AB356">
            <v>0</v>
          </cell>
          <cell r="AC356">
            <v>0.23389693243889936</v>
          </cell>
          <cell r="AD356">
            <v>6.3288092494060547E-2</v>
          </cell>
          <cell r="AE356">
            <v>2.03650025</v>
          </cell>
          <cell r="AF356">
            <v>14.746125551116107</v>
          </cell>
          <cell r="AG356">
            <v>9.4076450383298944</v>
          </cell>
          <cell r="AH356">
            <v>202403</v>
          </cell>
          <cell r="AJ356" t="str">
            <v>SPOC:Export ongoing under batcing.33 wells flowing.Field prod'n 12.2 k bopd.Export from TJ to Heglig ongoing at 19.2 k bopd.Stock 109 bbl(50k at Tj, 59k at Heglig)
BC-10:More deferment due to MOBO-1 trip. Investigation ongoing.
CPO-5:Indico-5 closed for PBU.</v>
          </cell>
        </row>
        <row r="357">
          <cell r="C357">
            <v>45365</v>
          </cell>
          <cell r="D357">
            <v>329617</v>
          </cell>
          <cell r="E357">
            <v>20270</v>
          </cell>
          <cell r="F357">
            <v>7193</v>
          </cell>
          <cell r="G357">
            <v>3679</v>
          </cell>
          <cell r="H357">
            <v>2351</v>
          </cell>
          <cell r="I357">
            <v>180600</v>
          </cell>
          <cell r="J357">
            <v>177094</v>
          </cell>
          <cell r="K357">
            <v>48141.978340000001</v>
          </cell>
          <cell r="L357">
            <v>10462</v>
          </cell>
          <cell r="M357">
            <v>421571</v>
          </cell>
          <cell r="N357">
            <v>8403</v>
          </cell>
          <cell r="O357">
            <v>3201</v>
          </cell>
          <cell r="P357">
            <v>175.17093</v>
          </cell>
          <cell r="Q357">
            <v>0</v>
          </cell>
          <cell r="R357">
            <v>138182.94170350002</v>
          </cell>
          <cell r="S357">
            <v>15.088617487901638</v>
          </cell>
          <cell r="T357">
            <v>0.22038199999999999</v>
          </cell>
          <cell r="U357">
            <v>2.1582513797370499E-3</v>
          </cell>
          <cell r="V357">
            <v>1.7000000000000001E-2</v>
          </cell>
          <cell r="W357">
            <v>0.30833999999999995</v>
          </cell>
          <cell r="X357">
            <v>11.91</v>
          </cell>
          <cell r="Y357">
            <v>2.91</v>
          </cell>
          <cell r="Z357">
            <v>0</v>
          </cell>
          <cell r="AB357">
            <v>0</v>
          </cell>
          <cell r="AC357">
            <v>0.23672861442968507</v>
          </cell>
          <cell r="AD357">
            <v>6.4222547551019818E-2</v>
          </cell>
          <cell r="AE357">
            <v>2.0099002499999998</v>
          </cell>
          <cell r="AF357">
            <v>14.776707716616594</v>
          </cell>
          <cell r="AG357">
            <v>7.3332255708688381</v>
          </cell>
          <cell r="AH357">
            <v>202403</v>
          </cell>
          <cell r="AJ357" t="str">
            <v>CPO-5:Blockade at Indico pad.
Vankor(gas):Deferment in gas production due to shutdown.
SPOC:Export stopped at 5:30 hrs 14-March. 33 wells flowing. Field prod'n about 12.2k bopd. Pumping from TJ to Heglig at 12k bopd.Stock 111 k bbl(51k at TJ and 60k at Heglig)
BC-10:Mobo-1 trip under investigation. At present only 3 MOBO running.</v>
          </cell>
        </row>
        <row r="358">
          <cell r="C358">
            <v>45366</v>
          </cell>
          <cell r="D358">
            <v>354209</v>
          </cell>
          <cell r="E358">
            <v>19516</v>
          </cell>
          <cell r="F358">
            <v>1247</v>
          </cell>
          <cell r="G358">
            <v>3706</v>
          </cell>
          <cell r="H358">
            <v>2356</v>
          </cell>
          <cell r="I358">
            <v>180600</v>
          </cell>
          <cell r="J358">
            <v>178642</v>
          </cell>
          <cell r="K358">
            <v>46814.341950000002</v>
          </cell>
          <cell r="L358">
            <v>0</v>
          </cell>
          <cell r="M358">
            <v>427991</v>
          </cell>
          <cell r="N358">
            <v>8431</v>
          </cell>
          <cell r="O358">
            <v>4017.0000000000005</v>
          </cell>
          <cell r="P358">
            <v>139.00458</v>
          </cell>
          <cell r="Q358">
            <v>0</v>
          </cell>
          <cell r="R358">
            <v>132520.35544849999</v>
          </cell>
          <cell r="S358">
            <v>15.066530368373511</v>
          </cell>
          <cell r="T358">
            <v>0.19522700000000001</v>
          </cell>
          <cell r="U358">
            <v>1.5909805265229492E-3</v>
          </cell>
          <cell r="V358">
            <v>1.7000000000000001E-2</v>
          </cell>
          <cell r="W358">
            <v>0.30429</v>
          </cell>
          <cell r="X358">
            <v>11.91</v>
          </cell>
          <cell r="Y358">
            <v>2.15</v>
          </cell>
          <cell r="Z358">
            <v>0</v>
          </cell>
          <cell r="AB358">
            <v>0</v>
          </cell>
          <cell r="AC358">
            <v>0.23474643703613507</v>
          </cell>
          <cell r="AD358">
            <v>6.4392448470466976E-2</v>
          </cell>
          <cell r="AE358">
            <v>1.9848002499999999</v>
          </cell>
          <cell r="AF358">
            <v>14.788317612778814</v>
          </cell>
          <cell r="AG358">
            <v>7.114405022012555</v>
          </cell>
          <cell r="AH358">
            <v>202403</v>
          </cell>
        </row>
        <row r="359">
          <cell r="C359">
            <v>45367</v>
          </cell>
          <cell r="D359">
            <v>347930</v>
          </cell>
          <cell r="E359">
            <v>21302</v>
          </cell>
          <cell r="F359">
            <v>1302</v>
          </cell>
          <cell r="G359">
            <v>3637</v>
          </cell>
          <cell r="H359">
            <v>2368</v>
          </cell>
          <cell r="I359">
            <v>180600</v>
          </cell>
          <cell r="J359">
            <v>177541</v>
          </cell>
          <cell r="K359">
            <v>45019.837789999998</v>
          </cell>
          <cell r="L359">
            <v>0</v>
          </cell>
          <cell r="M359">
            <v>425309</v>
          </cell>
          <cell r="N359">
            <v>8415</v>
          </cell>
          <cell r="O359">
            <v>2574</v>
          </cell>
          <cell r="P359">
            <v>84.849401999999998</v>
          </cell>
          <cell r="Q359">
            <v>0</v>
          </cell>
          <cell r="R359">
            <v>131428.0346784</v>
          </cell>
          <cell r="S359">
            <v>15.286552059057559</v>
          </cell>
          <cell r="T359">
            <v>0.224963</v>
          </cell>
          <cell r="U359">
            <v>1.5947466635706942E-3</v>
          </cell>
          <cell r="V359">
            <v>1.7000000000000001E-2</v>
          </cell>
          <cell r="W359">
            <v>0.30469000000000002</v>
          </cell>
          <cell r="X359">
            <v>11.91</v>
          </cell>
          <cell r="Y359">
            <v>2.56</v>
          </cell>
          <cell r="Z359">
            <v>0</v>
          </cell>
          <cell r="AB359">
            <v>0</v>
          </cell>
          <cell r="AC359">
            <v>0.2296494094527208</v>
          </cell>
          <cell r="AD359">
            <v>6.3288092494060547E-2</v>
          </cell>
          <cell r="AE359">
            <v>1.9848002499999999</v>
          </cell>
          <cell r="AF359">
            <v>14.81453898801349</v>
          </cell>
          <cell r="AG359">
            <v>7.2379740977284461</v>
          </cell>
          <cell r="AH359">
            <v>202403</v>
          </cell>
        </row>
        <row r="360">
          <cell r="C360">
            <v>45368</v>
          </cell>
          <cell r="D360">
            <v>327826</v>
          </cell>
          <cell r="E360">
            <v>19566</v>
          </cell>
          <cell r="F360">
            <v>1304</v>
          </cell>
          <cell r="G360">
            <v>3708</v>
          </cell>
          <cell r="H360">
            <v>2423</v>
          </cell>
          <cell r="I360">
            <v>180600</v>
          </cell>
          <cell r="J360">
            <v>178114</v>
          </cell>
          <cell r="K360">
            <v>49205.351779999997</v>
          </cell>
          <cell r="L360">
            <v>0</v>
          </cell>
          <cell r="M360">
            <v>418600</v>
          </cell>
          <cell r="N360">
            <v>8421</v>
          </cell>
          <cell r="O360">
            <v>810</v>
          </cell>
          <cell r="P360">
            <v>67.112166000000002</v>
          </cell>
          <cell r="Q360">
            <v>0</v>
          </cell>
          <cell r="R360">
            <v>130800.88901970001</v>
          </cell>
          <cell r="S360">
            <v>14.945900715566037</v>
          </cell>
          <cell r="T360">
            <v>0.22247500000000001</v>
          </cell>
          <cell r="U360">
            <v>1.6004383443721734E-3</v>
          </cell>
          <cell r="V360">
            <v>1.7000000000000001E-2</v>
          </cell>
          <cell r="W360">
            <v>0.30437000000000003</v>
          </cell>
          <cell r="X360">
            <v>11.91</v>
          </cell>
          <cell r="Y360">
            <v>3.18</v>
          </cell>
          <cell r="AB360">
            <v>0</v>
          </cell>
          <cell r="AC360">
            <v>0.23049891404995654</v>
          </cell>
          <cell r="AD360">
            <v>6.2353637437101261E-2</v>
          </cell>
          <cell r="AE360">
            <v>1.9811002499999999</v>
          </cell>
          <cell r="AF360">
            <v>14.768524155663222</v>
          </cell>
          <cell r="AG360">
            <v>7.3805494178537199</v>
          </cell>
          <cell r="AH360">
            <v>202403</v>
          </cell>
          <cell r="AJ360" t="str">
            <v xml:space="preserve">
BC-10:Mobo-1 troubleshooting completed. Restarted in the evening.
SPOC:No export. 33 wells flowing. Field production 13k bopd.Pumping from Tj to Heglig ongoing at 11.4k bopd.Stock 146k bbl(51k at Tj, 95k at Heglig)
CPO-5:Blockade ongoing at Indico pad.
Vankor:Gas production deferment due to preventive maintenance of the equipment at high-pressure gas compressor station </v>
          </cell>
        </row>
        <row r="361">
          <cell r="C361">
            <v>45369</v>
          </cell>
          <cell r="D361">
            <v>337002</v>
          </cell>
          <cell r="E361">
            <v>20547</v>
          </cell>
          <cell r="F361">
            <v>1298</v>
          </cell>
          <cell r="G361">
            <v>3727</v>
          </cell>
          <cell r="H361">
            <v>2317</v>
          </cell>
          <cell r="I361">
            <v>170500</v>
          </cell>
          <cell r="J361">
            <v>177608</v>
          </cell>
          <cell r="K361">
            <v>49126.981310000003</v>
          </cell>
          <cell r="L361">
            <v>0</v>
          </cell>
          <cell r="M361">
            <v>414498</v>
          </cell>
          <cell r="N361">
            <v>8510</v>
          </cell>
          <cell r="O361">
            <v>5387</v>
          </cell>
          <cell r="P361">
            <v>158.06267399999999</v>
          </cell>
          <cell r="Q361">
            <v>0</v>
          </cell>
          <cell r="R361">
            <v>130723.30973080001</v>
          </cell>
          <cell r="S361">
            <v>14.912486868074764</v>
          </cell>
          <cell r="T361">
            <v>0.24392</v>
          </cell>
          <cell r="U361">
            <v>1.6029302245240649E-3</v>
          </cell>
          <cell r="V361">
            <v>1.7000000000000001E-2</v>
          </cell>
          <cell r="W361">
            <v>0.30114999999999997</v>
          </cell>
          <cell r="X361">
            <v>11.91</v>
          </cell>
          <cell r="Y361">
            <v>8.6199999999999992</v>
          </cell>
          <cell r="Z361">
            <v>0</v>
          </cell>
          <cell r="AB361">
            <v>0</v>
          </cell>
          <cell r="AC361">
            <v>0.23333059604074224</v>
          </cell>
          <cell r="AD361">
            <v>6.2070469238022695E-2</v>
          </cell>
          <cell r="AE361">
            <v>1.9827002499999999</v>
          </cell>
          <cell r="AF361">
            <v>14.819720966056629</v>
          </cell>
          <cell r="AG361">
            <v>8.8063711277990109</v>
          </cell>
          <cell r="AH361">
            <v>202403</v>
          </cell>
          <cell r="AJ361" t="str">
            <v>SPOC:No export. 33 wells flowing. Field production about 13k bopd. Pumping from Tj to Heglig ongoing at 11.4k bopd.Stock 159k bbl(52k at Tj, 107k at Heglig)
CPO-5:Blockade ongoing at Indico pad.</v>
          </cell>
        </row>
        <row r="362">
          <cell r="C362">
            <v>45370</v>
          </cell>
          <cell r="D362">
            <v>341266</v>
          </cell>
          <cell r="E362">
            <v>23792</v>
          </cell>
          <cell r="F362">
            <v>1324</v>
          </cell>
          <cell r="G362">
            <v>3760</v>
          </cell>
          <cell r="H362">
            <v>2315</v>
          </cell>
          <cell r="I362">
            <v>170500</v>
          </cell>
          <cell r="J362">
            <v>179096</v>
          </cell>
          <cell r="K362">
            <v>48680.955819999996</v>
          </cell>
          <cell r="L362">
            <v>0</v>
          </cell>
          <cell r="M362">
            <v>421466</v>
          </cell>
          <cell r="N362">
            <v>8511</v>
          </cell>
          <cell r="O362">
            <v>5644</v>
          </cell>
          <cell r="P362">
            <v>55.098647999999997</v>
          </cell>
          <cell r="Q362">
            <v>0</v>
          </cell>
          <cell r="R362">
            <v>132341.32794660001</v>
          </cell>
          <cell r="S362">
            <v>14.920132409449888</v>
          </cell>
          <cell r="T362">
            <v>0.23255899999999999</v>
          </cell>
          <cell r="U362">
            <v>1.6018825021874743E-3</v>
          </cell>
          <cell r="V362">
            <v>1.7000000000000001E-2</v>
          </cell>
          <cell r="W362">
            <v>0.30208999999999997</v>
          </cell>
          <cell r="X362">
            <v>11.91</v>
          </cell>
          <cell r="Y362">
            <v>11.04</v>
          </cell>
          <cell r="AB362">
            <v>0</v>
          </cell>
          <cell r="AC362">
            <v>0.23049891404995654</v>
          </cell>
          <cell r="AD362">
            <v>6.1928885138483401E-2</v>
          </cell>
          <cell r="AE362">
            <v>1.9856002500000001</v>
          </cell>
          <cell r="AF362">
            <v>14.701781411140402</v>
          </cell>
          <cell r="AG362">
            <v>9.4145066934045794</v>
          </cell>
          <cell r="AH362">
            <v>202403</v>
          </cell>
          <cell r="AJ362" t="str">
            <v>SPOC: No export. 34 wells flowing. Field prod 12.3k bopd. Pumping from TJ to Heglig at 11.3 k bopd.Stock 171k bbl (53k at TJ and 118k at Heglig)</v>
          </cell>
        </row>
        <row r="363">
          <cell r="C363">
            <v>45371</v>
          </cell>
          <cell r="D363">
            <v>355823</v>
          </cell>
          <cell r="E363">
            <v>23623</v>
          </cell>
          <cell r="F363">
            <v>1317.27</v>
          </cell>
          <cell r="G363">
            <v>3719</v>
          </cell>
          <cell r="H363">
            <v>2315</v>
          </cell>
          <cell r="I363">
            <v>170500</v>
          </cell>
          <cell r="J363">
            <v>179237</v>
          </cell>
          <cell r="K363">
            <v>54820.602359999997</v>
          </cell>
          <cell r="L363">
            <v>0</v>
          </cell>
          <cell r="M363">
            <v>423723</v>
          </cell>
          <cell r="N363">
            <v>8526</v>
          </cell>
          <cell r="O363">
            <v>4203</v>
          </cell>
          <cell r="P363">
            <v>160.38989999999998</v>
          </cell>
          <cell r="Q363">
            <v>0</v>
          </cell>
          <cell r="R363">
            <v>133741.23634500001</v>
          </cell>
          <cell r="S363">
            <v>14.751647330998138</v>
          </cell>
          <cell r="T363">
            <v>0.25228899999999999</v>
          </cell>
          <cell r="U363">
            <v>1.5941803271725373E-3</v>
          </cell>
          <cell r="V363">
            <v>1.7000000000000001E-2</v>
          </cell>
          <cell r="W363">
            <v>0.30336000000000002</v>
          </cell>
          <cell r="X363">
            <v>11.91</v>
          </cell>
          <cell r="Y363">
            <v>10.95</v>
          </cell>
          <cell r="Z363">
            <v>0</v>
          </cell>
          <cell r="AA363">
            <v>0</v>
          </cell>
          <cell r="AB363">
            <v>0</v>
          </cell>
          <cell r="AC363">
            <v>0.23333059604074224</v>
          </cell>
          <cell r="AD363">
            <v>6.0994430081524116E-2</v>
          </cell>
          <cell r="AE363">
            <v>1.9817002500000001</v>
          </cell>
          <cell r="AF363">
            <v>0.11505123928562325</v>
          </cell>
          <cell r="AG363">
            <v>6.9122449703507254</v>
          </cell>
          <cell r="AH363">
            <v>202403</v>
          </cell>
          <cell r="AJ363" t="str">
            <v>SPOC: Export resumed at 0105 hrs on 21.03.24(to be reflected in tomorrow's report). 34 wells flowing. Field prod 12.8k bopd. Pumping from TJ to Heglig at 11.5 k bopd.Stock 183k bbl (53k at TJ and 130k at Heglig).
A1-A3:Planned s/d of 10 days.</v>
          </cell>
        </row>
        <row r="364">
          <cell r="C364">
            <v>45372</v>
          </cell>
          <cell r="D364">
            <v>345167</v>
          </cell>
          <cell r="E364">
            <v>23610</v>
          </cell>
          <cell r="F364">
            <v>1316</v>
          </cell>
          <cell r="G364">
            <v>3754</v>
          </cell>
          <cell r="H364">
            <v>2312</v>
          </cell>
          <cell r="I364">
            <v>170500</v>
          </cell>
          <cell r="J364">
            <v>177756</v>
          </cell>
          <cell r="K364">
            <v>44639.221559999998</v>
          </cell>
          <cell r="L364">
            <v>43515</v>
          </cell>
          <cell r="M364">
            <v>428474</v>
          </cell>
          <cell r="N364">
            <v>8619</v>
          </cell>
          <cell r="O364">
            <v>3102</v>
          </cell>
          <cell r="P364">
            <v>101.64316799999999</v>
          </cell>
          <cell r="Q364">
            <v>0</v>
          </cell>
          <cell r="R364">
            <v>140806.20626559999</v>
          </cell>
          <cell r="S364">
            <v>14.792706719864528</v>
          </cell>
          <cell r="T364">
            <v>0.248253</v>
          </cell>
          <cell r="U364">
            <v>1.604487649618997E-3</v>
          </cell>
          <cell r="V364">
            <v>1.7000000000000001E-2</v>
          </cell>
          <cell r="W364">
            <v>0.30447000000000002</v>
          </cell>
          <cell r="X364">
            <v>11.91</v>
          </cell>
          <cell r="Y364">
            <v>10.77</v>
          </cell>
          <cell r="Z364">
            <v>0</v>
          </cell>
          <cell r="AA364">
            <v>0</v>
          </cell>
          <cell r="AB364">
            <v>0</v>
          </cell>
          <cell r="AC364">
            <v>0.23672861442968507</v>
          </cell>
          <cell r="AD364">
            <v>6.2183736517654124E-2</v>
          </cell>
          <cell r="AE364">
            <v>1.9815002500000001</v>
          </cell>
          <cell r="AF364">
            <v>0</v>
          </cell>
          <cell r="AG364">
            <v>6.8476217312779299</v>
          </cell>
          <cell r="AH364">
            <v>202403</v>
          </cell>
          <cell r="AJ364" t="str">
            <v>SPOC:Export ongoing.Stock 96k at Heglig, 54k at TJ.
GPOC:Production deferment in north fields and Munga due to power trip 
CPO-5:Blockade at Indico pad.
Myanmar:Shutdown ongoing for major works.</v>
          </cell>
        </row>
        <row r="365">
          <cell r="C365">
            <v>45373</v>
          </cell>
          <cell r="D365">
            <v>346541</v>
          </cell>
          <cell r="E365">
            <v>23648</v>
          </cell>
          <cell r="F365">
            <v>1311.83</v>
          </cell>
          <cell r="G365">
            <v>3751</v>
          </cell>
          <cell r="H365">
            <v>2301</v>
          </cell>
          <cell r="I365">
            <v>170500</v>
          </cell>
          <cell r="J365">
            <v>177816</v>
          </cell>
          <cell r="K365">
            <v>47824.211230000001</v>
          </cell>
          <cell r="L365">
            <v>45573</v>
          </cell>
          <cell r="M365">
            <v>429631</v>
          </cell>
          <cell r="N365">
            <v>8619</v>
          </cell>
          <cell r="O365">
            <v>89</v>
          </cell>
          <cell r="P365">
            <v>111.58105199999999</v>
          </cell>
          <cell r="R365">
            <v>140986.67863090002</v>
          </cell>
          <cell r="S365">
            <v>15.114385794017787</v>
          </cell>
          <cell r="T365">
            <v>0.26061200000000001</v>
          </cell>
          <cell r="U365">
            <v>1.5635981616720516E-3</v>
          </cell>
          <cell r="V365">
            <v>1.7000000000000001E-2</v>
          </cell>
          <cell r="W365">
            <v>0.30407000000000001</v>
          </cell>
          <cell r="X365">
            <v>11.91</v>
          </cell>
          <cell r="Y365">
            <v>11.06</v>
          </cell>
          <cell r="Z365">
            <v>0</v>
          </cell>
          <cell r="AA365">
            <v>0</v>
          </cell>
          <cell r="AB365">
            <v>0</v>
          </cell>
          <cell r="AC365">
            <v>0.2375781190269208</v>
          </cell>
          <cell r="AD365">
            <v>6.0399776863459126E-2</v>
          </cell>
          <cell r="AE365">
            <v>1.96630025</v>
          </cell>
          <cell r="AF365">
            <v>0</v>
          </cell>
          <cell r="AG365">
            <v>6.9259006868933275</v>
          </cell>
          <cell r="AH365">
            <v>202403</v>
          </cell>
        </row>
        <row r="366">
          <cell r="C366">
            <v>45374</v>
          </cell>
          <cell r="D366">
            <v>326998</v>
          </cell>
          <cell r="E366">
            <v>23472</v>
          </cell>
          <cell r="F366">
            <v>1304.57</v>
          </cell>
          <cell r="G366">
            <v>3794</v>
          </cell>
          <cell r="H366">
            <v>2345</v>
          </cell>
          <cell r="I366">
            <v>170500</v>
          </cell>
          <cell r="J366">
            <v>178590</v>
          </cell>
          <cell r="K366">
            <v>48561.69139</v>
          </cell>
          <cell r="L366">
            <v>16437</v>
          </cell>
          <cell r="M366">
            <v>429115</v>
          </cell>
          <cell r="N366">
            <v>8625</v>
          </cell>
          <cell r="O366">
            <v>6996</v>
          </cell>
          <cell r="P366">
            <v>91.076303999999993</v>
          </cell>
          <cell r="R366">
            <v>136638.27623429999</v>
          </cell>
          <cell r="S366">
            <v>14.704075073552941</v>
          </cell>
          <cell r="T366">
            <v>0.25933899999999999</v>
          </cell>
          <cell r="U366">
            <v>1.6077724007283085E-3</v>
          </cell>
          <cell r="V366">
            <v>1.7000000000000001E-2</v>
          </cell>
          <cell r="W366">
            <v>0.30331999999999998</v>
          </cell>
          <cell r="X366">
            <v>11.91</v>
          </cell>
          <cell r="Y366">
            <v>11.41</v>
          </cell>
          <cell r="Z366">
            <v>0</v>
          </cell>
          <cell r="AA366">
            <v>0</v>
          </cell>
          <cell r="AB366">
            <v>0</v>
          </cell>
          <cell r="AC366">
            <v>0.23729495082784224</v>
          </cell>
          <cell r="AD366">
            <v>5.6831857555069136E-2</v>
          </cell>
          <cell r="AE366">
            <v>1.9855002500000001</v>
          </cell>
          <cell r="AF366">
            <v>0</v>
          </cell>
          <cell r="AG366">
            <v>7.0135414049926732</v>
          </cell>
          <cell r="AH366">
            <v>202403</v>
          </cell>
        </row>
        <row r="367">
          <cell r="C367">
            <v>45375</v>
          </cell>
          <cell r="D367">
            <v>363028</v>
          </cell>
          <cell r="E367">
            <v>23616</v>
          </cell>
          <cell r="F367">
            <v>1303.28</v>
          </cell>
          <cell r="G367">
            <v>3776</v>
          </cell>
          <cell r="H367">
            <v>2317</v>
          </cell>
          <cell r="I367">
            <v>170500</v>
          </cell>
          <cell r="J367">
            <v>178188</v>
          </cell>
          <cell r="K367">
            <v>50921.886209999997</v>
          </cell>
          <cell r="L367">
            <v>0</v>
          </cell>
          <cell r="M367">
            <v>428923</v>
          </cell>
          <cell r="N367">
            <v>8696</v>
          </cell>
          <cell r="O367">
            <v>245</v>
          </cell>
          <cell r="P367">
            <v>78.748295999999996</v>
          </cell>
          <cell r="R367">
            <v>131285.83108570002</v>
          </cell>
          <cell r="S367">
            <v>13.951414000402096</v>
          </cell>
          <cell r="T367">
            <v>0.25852599999999998</v>
          </cell>
          <cell r="U367">
            <v>1.5825704310103157E-3</v>
          </cell>
          <cell r="V367">
            <v>1.7000000000000001E-2</v>
          </cell>
          <cell r="W367">
            <v>0.30807999999999996</v>
          </cell>
          <cell r="X367">
            <v>11.91</v>
          </cell>
          <cell r="Y367">
            <v>11.6</v>
          </cell>
          <cell r="Z367">
            <v>0</v>
          </cell>
          <cell r="AB367">
            <v>0</v>
          </cell>
          <cell r="AC367">
            <v>0.24040980101770651</v>
          </cell>
          <cell r="AD367">
            <v>5.9295420887052697E-2</v>
          </cell>
          <cell r="AE367">
            <v>1.9896002500000001</v>
          </cell>
          <cell r="AF367">
            <v>0</v>
          </cell>
          <cell r="AG367">
            <v>7.0532508416777651</v>
          </cell>
          <cell r="AH367">
            <v>202403</v>
          </cell>
        </row>
        <row r="368">
          <cell r="C368">
            <v>45376</v>
          </cell>
          <cell r="D368">
            <v>347594</v>
          </cell>
          <cell r="E368">
            <v>23547</v>
          </cell>
          <cell r="F368">
            <v>22479</v>
          </cell>
          <cell r="G368">
            <v>3763</v>
          </cell>
          <cell r="H368">
            <v>2303</v>
          </cell>
          <cell r="I368">
            <v>170500</v>
          </cell>
          <cell r="J368">
            <v>178262</v>
          </cell>
          <cell r="K368">
            <v>46138.463519999998</v>
          </cell>
          <cell r="L368">
            <v>0</v>
          </cell>
          <cell r="M368">
            <v>435672</v>
          </cell>
          <cell r="N368">
            <v>8710</v>
          </cell>
          <cell r="O368">
            <v>5758</v>
          </cell>
          <cell r="P368">
            <v>118.940118</v>
          </cell>
          <cell r="R368">
            <v>147031.35033310004</v>
          </cell>
          <cell r="S368">
            <v>15.138738259138545</v>
          </cell>
          <cell r="T368">
            <v>0.249586</v>
          </cell>
          <cell r="U368">
            <v>2.9305926427238512E-3</v>
          </cell>
          <cell r="V368">
            <v>1.7000000000000001E-2</v>
          </cell>
          <cell r="W368">
            <v>0.30525999999999998</v>
          </cell>
          <cell r="X368">
            <v>11.91</v>
          </cell>
          <cell r="Y368">
            <v>11.47</v>
          </cell>
          <cell r="Z368">
            <v>0</v>
          </cell>
          <cell r="AB368">
            <v>0</v>
          </cell>
          <cell r="AC368">
            <v>0.22908307305456366</v>
          </cell>
          <cell r="AD368">
            <v>5.4906313801334851E-2</v>
          </cell>
          <cell r="AE368">
            <v>1.85080025</v>
          </cell>
          <cell r="AF368">
            <v>0</v>
          </cell>
          <cell r="AG368">
            <v>6.9771262646925436</v>
          </cell>
          <cell r="AH368">
            <v>202403</v>
          </cell>
          <cell r="AJ368" t="str">
            <v>CPO-5:Indico wells opened on 25-3-24.
SPOC:No export. 34 wells flowing.Field production rate 13k bopd.Pumping from Tj to Heglig at 12k bopd.Stock 140k bbl (59k at TJ,81k at Heglig)</v>
          </cell>
        </row>
        <row r="369">
          <cell r="C369">
            <v>45377</v>
          </cell>
          <cell r="D369">
            <v>342001</v>
          </cell>
          <cell r="E369">
            <v>23692</v>
          </cell>
          <cell r="F369">
            <v>27233</v>
          </cell>
          <cell r="G369">
            <v>3796</v>
          </cell>
          <cell r="H369">
            <v>2305</v>
          </cell>
          <cell r="I369">
            <v>170500</v>
          </cell>
          <cell r="J369">
            <v>178880</v>
          </cell>
          <cell r="K369">
            <v>48411.570599999999</v>
          </cell>
          <cell r="L369">
            <v>0</v>
          </cell>
          <cell r="M369">
            <v>431535</v>
          </cell>
          <cell r="N369">
            <v>8609</v>
          </cell>
          <cell r="O369">
            <v>5324</v>
          </cell>
          <cell r="P369">
            <v>148.12478999999999</v>
          </cell>
          <cell r="R369">
            <v>150679.50190550002</v>
          </cell>
          <cell r="S369">
            <v>18.98274656163014</v>
          </cell>
          <cell r="T369">
            <v>0.25495800000000002</v>
          </cell>
          <cell r="U369">
            <v>3.6515671943978005E-3</v>
          </cell>
          <cell r="V369">
            <v>1.7000000000000001E-2</v>
          </cell>
          <cell r="W369">
            <v>0.30363999999999997</v>
          </cell>
          <cell r="X369">
            <v>11.91</v>
          </cell>
          <cell r="Y369">
            <v>11.18</v>
          </cell>
          <cell r="Z369">
            <v>0</v>
          </cell>
          <cell r="AB369">
            <v>0</v>
          </cell>
          <cell r="AC369">
            <v>0.23701178262876363</v>
          </cell>
          <cell r="AD369">
            <v>5.8672450849079842E-2</v>
          </cell>
          <cell r="AE369">
            <v>2.0054002500000001</v>
          </cell>
          <cell r="AF369">
            <v>0</v>
          </cell>
          <cell r="AG369">
            <v>7.0628065915385303</v>
          </cell>
          <cell r="AH369">
            <v>202403</v>
          </cell>
          <cell r="AJ369" t="str">
            <v>_x000D_
CPO-5:Bean up in Indico 2,6,7. Halcon well closed due to generator problem.</v>
          </cell>
        </row>
        <row r="370">
          <cell r="C370">
            <v>45378</v>
          </cell>
          <cell r="D370">
            <v>347616</v>
          </cell>
          <cell r="E370">
            <v>24082</v>
          </cell>
          <cell r="F370">
            <v>26864</v>
          </cell>
          <cell r="G370">
            <v>3818</v>
          </cell>
          <cell r="H370">
            <v>2338</v>
          </cell>
          <cell r="I370">
            <v>170500</v>
          </cell>
          <cell r="J370">
            <v>178679</v>
          </cell>
          <cell r="K370">
            <v>49814.152370000003</v>
          </cell>
          <cell r="L370">
            <v>0</v>
          </cell>
          <cell r="M370">
            <v>430528</v>
          </cell>
          <cell r="N370">
            <v>9114</v>
          </cell>
          <cell r="O370">
            <v>4339</v>
          </cell>
          <cell r="P370">
            <v>147.30711600000001</v>
          </cell>
          <cell r="R370">
            <v>150619.49589470003</v>
          </cell>
          <cell r="S370">
            <v>13.472293407561159</v>
          </cell>
          <cell r="T370">
            <v>0.25094</v>
          </cell>
          <cell r="U370">
            <v>3.743710126377967E-3</v>
          </cell>
          <cell r="V370">
            <v>1.7000000000000001E-2</v>
          </cell>
          <cell r="W370">
            <v>0.30438999999999999</v>
          </cell>
          <cell r="X370">
            <v>11.91</v>
          </cell>
          <cell r="Y370">
            <v>11.04</v>
          </cell>
          <cell r="Z370">
            <v>0</v>
          </cell>
          <cell r="AB370">
            <v>0</v>
          </cell>
          <cell r="AC370">
            <v>0.2268177274619351</v>
          </cell>
          <cell r="AD370">
            <v>5.8417599469909133E-2</v>
          </cell>
          <cell r="AE370">
            <v>2.0231002500000002</v>
          </cell>
          <cell r="AF370">
            <v>0</v>
          </cell>
          <cell r="AG370">
            <v>6.9055864771119033</v>
          </cell>
          <cell r="AH370">
            <v>202403</v>
          </cell>
          <cell r="AI370" t="str">
            <v>Prov data for CPO-5</v>
          </cell>
          <cell r="AJ370" t="str">
            <v>SPOC:Export started on 28th morning(1 am).</v>
          </cell>
        </row>
        <row r="371">
          <cell r="C371">
            <v>45379</v>
          </cell>
          <cell r="D371">
            <v>328221</v>
          </cell>
          <cell r="E371">
            <v>23849</v>
          </cell>
          <cell r="F371">
            <v>26605</v>
          </cell>
          <cell r="G371">
            <v>3670</v>
          </cell>
          <cell r="H371">
            <v>2330</v>
          </cell>
          <cell r="I371">
            <v>170500</v>
          </cell>
          <cell r="J371">
            <v>179014</v>
          </cell>
          <cell r="K371">
            <v>51910.856760000002</v>
          </cell>
          <cell r="L371">
            <v>43764</v>
          </cell>
          <cell r="M371">
            <v>425626</v>
          </cell>
          <cell r="N371">
            <v>9023</v>
          </cell>
          <cell r="O371">
            <v>3472</v>
          </cell>
          <cell r="P371">
            <v>145.92335999999997</v>
          </cell>
          <cell r="R371">
            <v>160461.089802</v>
          </cell>
          <cell r="S371">
            <v>9.8197068076466731</v>
          </cell>
          <cell r="T371">
            <v>0.25912800000000002</v>
          </cell>
          <cell r="U371">
            <v>3.8356831574386865E-3</v>
          </cell>
          <cell r="V371">
            <v>1.7000000000000001E-2</v>
          </cell>
          <cell r="W371">
            <v>0.30202999999999997</v>
          </cell>
          <cell r="X371">
            <v>11.91</v>
          </cell>
          <cell r="Y371">
            <v>10.95</v>
          </cell>
          <cell r="AB371">
            <v>0</v>
          </cell>
          <cell r="AC371">
            <v>0.23191475504534936</v>
          </cell>
          <cell r="AD371">
            <v>5.816274809073841E-2</v>
          </cell>
          <cell r="AE371">
            <v>2.0277002500000001</v>
          </cell>
          <cell r="AF371">
            <v>0</v>
          </cell>
          <cell r="AG371">
            <v>6.8002556002581294</v>
          </cell>
          <cell r="AH371">
            <v>202403</v>
          </cell>
          <cell r="AJ371" t="str">
            <v>SPOC:Batching ongoing. 34 wells flowing. Field prod' 14k bopd. Pumping from Tj to Heglig at 12.7k bopd. Stock 125k bbl 57k at TJ and 68k at Heglig. SPOC export  from WHCC stopped  on  29/3/24 @13:13hrs, on low COBT  level</v>
          </cell>
        </row>
        <row r="372">
          <cell r="C372">
            <v>45380</v>
          </cell>
          <cell r="D372">
            <v>361820</v>
          </cell>
          <cell r="E372">
            <v>24063</v>
          </cell>
          <cell r="F372">
            <v>26434</v>
          </cell>
          <cell r="G372">
            <v>3672</v>
          </cell>
          <cell r="H372">
            <v>2364</v>
          </cell>
          <cell r="I372">
            <v>170500</v>
          </cell>
          <cell r="J372">
            <v>176544</v>
          </cell>
          <cell r="K372">
            <v>49773.13027999999</v>
          </cell>
          <cell r="L372">
            <v>25070</v>
          </cell>
          <cell r="M372">
            <v>429898</v>
          </cell>
          <cell r="N372">
            <v>8843</v>
          </cell>
          <cell r="O372">
            <v>450</v>
          </cell>
          <cell r="P372">
            <v>113.59378799999999</v>
          </cell>
          <cell r="Q372">
            <v>0</v>
          </cell>
          <cell r="R372">
            <v>154451.47927460005</v>
          </cell>
          <cell r="S372">
            <v>8.8110616825288073</v>
          </cell>
          <cell r="T372">
            <v>0.25792700000000002</v>
          </cell>
          <cell r="U372">
            <v>3.8671997779961315E-3</v>
          </cell>
          <cell r="V372">
            <v>1.7000000000000001E-2</v>
          </cell>
          <cell r="W372">
            <v>0.30485000000000001</v>
          </cell>
          <cell r="X372">
            <v>11.91</v>
          </cell>
          <cell r="Y372">
            <v>11.04</v>
          </cell>
          <cell r="Z372">
            <v>0</v>
          </cell>
          <cell r="AB372">
            <v>0</v>
          </cell>
          <cell r="AC372">
            <v>0.2287999048554851</v>
          </cell>
          <cell r="AD372">
            <v>6.1928885138483401E-2</v>
          </cell>
          <cell r="AE372">
            <v>2.00830025</v>
          </cell>
          <cell r="AF372">
            <v>0</v>
          </cell>
          <cell r="AG372">
            <v>6.7953075108005088</v>
          </cell>
          <cell r="AH372">
            <v>202403</v>
          </cell>
          <cell r="AJ372" t="str">
            <v>SPOC:Export stopped during the day due to low COBT. Total export during March is  419k bbl.</v>
          </cell>
        </row>
        <row r="373">
          <cell r="C373">
            <v>45381</v>
          </cell>
          <cell r="D373">
            <v>362979</v>
          </cell>
          <cell r="E373">
            <v>24013</v>
          </cell>
          <cell r="F373">
            <v>24687</v>
          </cell>
          <cell r="G373">
            <v>3690</v>
          </cell>
          <cell r="H373">
            <v>2366</v>
          </cell>
          <cell r="I373">
            <v>170500</v>
          </cell>
          <cell r="J373">
            <v>175225.4664</v>
          </cell>
          <cell r="K373">
            <v>48752.578799999988</v>
          </cell>
          <cell r="L373">
            <v>0</v>
          </cell>
          <cell r="M373">
            <v>383978</v>
          </cell>
          <cell r="N373">
            <v>8518</v>
          </cell>
          <cell r="O373">
            <v>3961</v>
          </cell>
          <cell r="P373">
            <v>182.52999599999998</v>
          </cell>
          <cell r="Q373">
            <v>0</v>
          </cell>
          <cell r="R373">
            <v>146169.62936219998</v>
          </cell>
          <cell r="S373">
            <v>9.132174420283901</v>
          </cell>
          <cell r="T373">
            <v>0.25203999999999999</v>
          </cell>
          <cell r="U373">
            <v>3.5160712111387041E-3</v>
          </cell>
          <cell r="V373">
            <v>1.7000000000000001E-2</v>
          </cell>
          <cell r="W373">
            <v>0.30481000000000003</v>
          </cell>
          <cell r="X373">
            <v>11.91</v>
          </cell>
          <cell r="Y373">
            <v>11.02</v>
          </cell>
          <cell r="AB373">
            <v>0</v>
          </cell>
          <cell r="AC373">
            <v>0.2307820822490351</v>
          </cell>
          <cell r="AD373">
            <v>6.2183736517654124E-2</v>
          </cell>
          <cell r="AE373">
            <v>2.0110002499999999</v>
          </cell>
          <cell r="AF373">
            <v>2.4954197543799039</v>
          </cell>
          <cell r="AG373">
            <v>7.2214062733553943</v>
          </cell>
          <cell r="AH373">
            <v>202403</v>
          </cell>
          <cell r="AJ373" t="str">
            <v>SPOC:Export stopped on 29th due to low COBT.Export during the batch was 69k bbl. Total export during March is  419k bbl.
A1-A3:Information about restart after s/d awaited from operator.</v>
          </cell>
        </row>
        <row r="374">
          <cell r="C374">
            <v>45382</v>
          </cell>
          <cell r="D374">
            <v>360906</v>
          </cell>
          <cell r="E374">
            <v>24786</v>
          </cell>
          <cell r="F374">
            <v>26159</v>
          </cell>
          <cell r="G374">
            <v>3746</v>
          </cell>
          <cell r="H374">
            <v>2390</v>
          </cell>
          <cell r="I374">
            <v>170500</v>
          </cell>
          <cell r="J374">
            <v>174647</v>
          </cell>
          <cell r="K374">
            <v>47841.506179999997</v>
          </cell>
          <cell r="L374">
            <v>0</v>
          </cell>
          <cell r="M374">
            <v>375387</v>
          </cell>
          <cell r="N374">
            <v>8342</v>
          </cell>
          <cell r="O374">
            <v>7055</v>
          </cell>
          <cell r="P374">
            <v>115.29203399999999</v>
          </cell>
          <cell r="Q374">
            <v>0</v>
          </cell>
          <cell r="R374">
            <v>147879.02656030003</v>
          </cell>
          <cell r="S374">
            <v>9.3250119638564097</v>
          </cell>
          <cell r="T374">
            <v>0.233844</v>
          </cell>
          <cell r="U374">
            <v>3.8117837614364551E-3</v>
          </cell>
          <cell r="V374">
            <v>1.7000000000000001E-2</v>
          </cell>
          <cell r="W374">
            <v>0.30426999999999998</v>
          </cell>
          <cell r="X374">
            <v>11.91</v>
          </cell>
          <cell r="Y374">
            <v>11.21</v>
          </cell>
          <cell r="AA374">
            <v>0</v>
          </cell>
          <cell r="AB374">
            <v>0</v>
          </cell>
          <cell r="AC374">
            <v>0.22426921367022795</v>
          </cell>
          <cell r="AD374">
            <v>6.0994430081524116E-2</v>
          </cell>
          <cell r="AE374">
            <v>1.9856002500000001</v>
          </cell>
          <cell r="AF374">
            <v>13.504489631796389</v>
          </cell>
          <cell r="AG374">
            <v>9.1289346404398106</v>
          </cell>
          <cell r="AH374">
            <v>202403</v>
          </cell>
          <cell r="AJ374" t="str">
            <v>A1-A3:Information about restart after s/d awaited from operator.</v>
          </cell>
        </row>
        <row r="375">
          <cell r="C375">
            <v>45383</v>
          </cell>
          <cell r="D375">
            <v>341041</v>
          </cell>
          <cell r="E375">
            <v>25050</v>
          </cell>
          <cell r="F375">
            <v>26162</v>
          </cell>
          <cell r="G375">
            <v>3751</v>
          </cell>
          <cell r="H375">
            <v>2325</v>
          </cell>
          <cell r="I375">
            <v>170500</v>
          </cell>
          <cell r="J375">
            <v>172385</v>
          </cell>
          <cell r="K375">
            <v>48005.210500000001</v>
          </cell>
          <cell r="L375">
            <v>0</v>
          </cell>
          <cell r="M375">
            <v>413407</v>
          </cell>
          <cell r="N375">
            <v>7515</v>
          </cell>
          <cell r="O375">
            <v>3257</v>
          </cell>
          <cell r="P375">
            <v>125.670204</v>
          </cell>
          <cell r="Q375">
            <v>0</v>
          </cell>
          <cell r="R375">
            <v>146799.13131679999</v>
          </cell>
          <cell r="S375">
            <v>9.2918812845642211</v>
          </cell>
          <cell r="T375">
            <v>0.20591999999999999</v>
          </cell>
          <cell r="U375">
            <v>3.9710941902380593E-3</v>
          </cell>
          <cell r="V375">
            <v>1.7000000000000001E-2</v>
          </cell>
          <cell r="W375">
            <v>0.30310999999999999</v>
          </cell>
          <cell r="X375">
            <v>9.9570000000000007</v>
          </cell>
          <cell r="Y375">
            <v>10.85</v>
          </cell>
          <cell r="Z375">
            <v>0</v>
          </cell>
          <cell r="AA375">
            <v>0</v>
          </cell>
          <cell r="AB375">
            <v>0</v>
          </cell>
          <cell r="AC375">
            <v>0.22228703627667795</v>
          </cell>
          <cell r="AD375">
            <v>5.8672450849079842E-2</v>
          </cell>
          <cell r="AE375">
            <v>1.9816002500000001</v>
          </cell>
          <cell r="AF375">
            <v>14.163195496492961</v>
          </cell>
          <cell r="AG375">
            <v>8.7444145248404705</v>
          </cell>
          <cell r="AH375">
            <v>202404</v>
          </cell>
          <cell r="AJ375" t="str">
            <v>PCB:Prod'n deferment due to pipeline leak.</v>
          </cell>
        </row>
        <row r="376">
          <cell r="C376">
            <v>45384</v>
          </cell>
          <cell r="D376">
            <v>339469</v>
          </cell>
          <cell r="E376">
            <v>24547</v>
          </cell>
          <cell r="F376">
            <v>26118</v>
          </cell>
          <cell r="G376">
            <v>3761</v>
          </cell>
          <cell r="H376">
            <v>2492</v>
          </cell>
          <cell r="I376">
            <v>170500</v>
          </cell>
          <cell r="J376">
            <v>171313</v>
          </cell>
          <cell r="K376">
            <v>48750.082759999998</v>
          </cell>
          <cell r="L376">
            <v>0</v>
          </cell>
          <cell r="M376">
            <v>403047</v>
          </cell>
          <cell r="N376">
            <v>6012</v>
          </cell>
          <cell r="O376">
            <v>4118</v>
          </cell>
          <cell r="P376">
            <v>158.691654</v>
          </cell>
          <cell r="Q376">
            <v>0</v>
          </cell>
          <cell r="R376">
            <v>146455.23583430002</v>
          </cell>
          <cell r="S376">
            <v>8.9427348951003385</v>
          </cell>
          <cell r="T376">
            <v>0.235842</v>
          </cell>
          <cell r="U376">
            <v>3.943032221709373E-3</v>
          </cell>
          <cell r="V376">
            <v>1.7000000000000001E-2</v>
          </cell>
          <cell r="W376">
            <v>0.30358999999999997</v>
          </cell>
          <cell r="X376">
            <v>9.9570000000000007</v>
          </cell>
          <cell r="Y376">
            <v>10.62</v>
          </cell>
          <cell r="Z376">
            <v>0</v>
          </cell>
          <cell r="AA376">
            <v>0</v>
          </cell>
          <cell r="AB376">
            <v>0</v>
          </cell>
          <cell r="AC376">
            <v>0.19538605736421377</v>
          </cell>
          <cell r="AD376">
            <v>6.3004924294981973E-2</v>
          </cell>
          <cell r="AE376">
            <v>1.9957002500000001</v>
          </cell>
          <cell r="AF376">
            <v>14.267174859194613</v>
          </cell>
          <cell r="AG376">
            <v>8.7078839132231565</v>
          </cell>
          <cell r="AH376">
            <v>202404</v>
          </cell>
          <cell r="AJ376" t="str">
            <v>PCB:Prod'n deferment due to pipeline leak and electrical flickering.
LZC:Quota for the month is 401k bopd.</v>
          </cell>
        </row>
        <row r="377">
          <cell r="C377">
            <v>45385</v>
          </cell>
          <cell r="D377">
            <v>344457</v>
          </cell>
          <cell r="E377">
            <v>24528</v>
          </cell>
          <cell r="F377">
            <v>26157</v>
          </cell>
          <cell r="G377">
            <v>3795</v>
          </cell>
          <cell r="H377">
            <v>2466</v>
          </cell>
          <cell r="I377">
            <v>170500</v>
          </cell>
          <cell r="J377">
            <v>171113</v>
          </cell>
          <cell r="K377">
            <v>48278.126709999997</v>
          </cell>
          <cell r="L377">
            <v>0</v>
          </cell>
          <cell r="M377">
            <v>350714</v>
          </cell>
          <cell r="N377">
            <v>8214</v>
          </cell>
          <cell r="O377">
            <v>3513</v>
          </cell>
          <cell r="P377">
            <v>138.75298799999999</v>
          </cell>
          <cell r="Q377">
            <v>0</v>
          </cell>
          <cell r="R377">
            <v>144311.56722210001</v>
          </cell>
          <cell r="S377">
            <v>8.6734419377766212</v>
          </cell>
          <cell r="T377">
            <v>0.25862200000000002</v>
          </cell>
          <cell r="U377">
            <v>3.8720419542003755E-3</v>
          </cell>
          <cell r="V377">
            <v>1.7000000000000001E-2</v>
          </cell>
          <cell r="W377">
            <v>0.30220999999999998</v>
          </cell>
          <cell r="X377">
            <v>9.9570000000000007</v>
          </cell>
          <cell r="Y377">
            <v>10.39</v>
          </cell>
          <cell r="Z377">
            <v>0</v>
          </cell>
          <cell r="AA377">
            <v>0</v>
          </cell>
          <cell r="AB377">
            <v>0</v>
          </cell>
          <cell r="AC377">
            <v>0.22370287727207083</v>
          </cell>
          <cell r="AD377">
            <v>6.3288092494060547E-2</v>
          </cell>
          <cell r="AE377">
            <v>1.9951002499999999</v>
          </cell>
          <cell r="AF377">
            <v>14.359459375274319</v>
          </cell>
          <cell r="AG377">
            <v>8.6652306379247683</v>
          </cell>
          <cell r="AH377">
            <v>202404</v>
          </cell>
          <cell r="AJ377" t="str">
            <v xml:space="preserve">
LZC:Quota for the month is 401k bopd.</v>
          </cell>
        </row>
        <row r="378">
          <cell r="C378">
            <v>45386</v>
          </cell>
          <cell r="D378">
            <v>349571</v>
          </cell>
          <cell r="E378">
            <v>24447</v>
          </cell>
          <cell r="F378">
            <v>26306</v>
          </cell>
          <cell r="G378">
            <v>3794</v>
          </cell>
          <cell r="H378">
            <v>2441</v>
          </cell>
          <cell r="I378">
            <v>170500</v>
          </cell>
          <cell r="J378">
            <v>171202</v>
          </cell>
          <cell r="K378">
            <v>51300.305690000001</v>
          </cell>
          <cell r="L378">
            <v>38240</v>
          </cell>
          <cell r="M378">
            <v>392070</v>
          </cell>
          <cell r="N378">
            <v>8652</v>
          </cell>
          <cell r="O378">
            <v>3817</v>
          </cell>
          <cell r="P378">
            <v>103.21561799999999</v>
          </cell>
          <cell r="Q378">
            <v>0</v>
          </cell>
          <cell r="R378">
            <v>156298.74355059999</v>
          </cell>
          <cell r="S378">
            <v>8.9104537204053855</v>
          </cell>
          <cell r="T378">
            <v>0.25535099999999999</v>
          </cell>
          <cell r="U378">
            <v>3.7682041755982636E-3</v>
          </cell>
          <cell r="V378">
            <v>1.7000000000000001E-2</v>
          </cell>
          <cell r="W378">
            <v>0.29894999999999999</v>
          </cell>
          <cell r="X378">
            <v>9.9570000000000007</v>
          </cell>
          <cell r="Y378">
            <v>10.4</v>
          </cell>
          <cell r="Z378">
            <v>0</v>
          </cell>
          <cell r="AA378">
            <v>0</v>
          </cell>
          <cell r="AB378">
            <v>0</v>
          </cell>
          <cell r="AC378">
            <v>0.22710089566101366</v>
          </cell>
          <cell r="AD378">
            <v>5.4651462422164135E-2</v>
          </cell>
          <cell r="AE378">
            <v>1.9817002500000001</v>
          </cell>
          <cell r="AF378">
            <v>14.371748875114328</v>
          </cell>
          <cell r="AG378">
            <v>8.662068098625296</v>
          </cell>
          <cell r="AH378">
            <v>202404</v>
          </cell>
          <cell r="AJ378" t="str">
            <v>SPOC: WHCC resumed injection to PS#1 @0224 hrs @04/04/2024 (312 m3/hr) .Stock 155k bbl (54k at TJ,101k at Heglig)</v>
          </cell>
        </row>
        <row r="379">
          <cell r="C379">
            <v>45387</v>
          </cell>
          <cell r="D379">
            <v>330975</v>
          </cell>
          <cell r="E379">
            <v>20465</v>
          </cell>
          <cell r="F379">
            <v>26341</v>
          </cell>
          <cell r="G379">
            <v>3735</v>
          </cell>
          <cell r="H379">
            <v>2495</v>
          </cell>
          <cell r="I379">
            <v>170500</v>
          </cell>
          <cell r="J379">
            <v>172906</v>
          </cell>
          <cell r="K379">
            <v>51239.574800000002</v>
          </cell>
          <cell r="L379">
            <v>45625</v>
          </cell>
          <cell r="M379">
            <v>401137</v>
          </cell>
          <cell r="N379">
            <v>8611</v>
          </cell>
          <cell r="O379">
            <v>3476</v>
          </cell>
          <cell r="P379">
            <v>114.663054</v>
          </cell>
          <cell r="Q379">
            <v>0</v>
          </cell>
          <cell r="R379">
            <v>157279.44582429997</v>
          </cell>
          <cell r="S379">
            <v>9.0288180276202255</v>
          </cell>
          <cell r="T379">
            <v>0.15298100000000001</v>
          </cell>
          <cell r="U379">
            <v>3.9167258960149743E-3</v>
          </cell>
          <cell r="V379">
            <v>1.7000000000000001E-2</v>
          </cell>
          <cell r="W379">
            <v>0.30087000000000003</v>
          </cell>
          <cell r="X379">
            <v>9.9570000000000007</v>
          </cell>
          <cell r="Y379">
            <v>10.44</v>
          </cell>
          <cell r="Z379">
            <v>0</v>
          </cell>
          <cell r="AA379">
            <v>0</v>
          </cell>
          <cell r="AB379">
            <v>0</v>
          </cell>
          <cell r="AC379">
            <v>0.22936624125364222</v>
          </cell>
          <cell r="AD379">
            <v>6.1079380541247695E-2</v>
          </cell>
          <cell r="AE379">
            <v>1.89310025</v>
          </cell>
          <cell r="AF379">
            <v>14.371040954616632</v>
          </cell>
          <cell r="AG379">
            <v>8.6124163881044655</v>
          </cell>
          <cell r="AH379">
            <v>202404</v>
          </cell>
        </row>
        <row r="380">
          <cell r="C380">
            <v>45388</v>
          </cell>
          <cell r="D380">
            <v>337758</v>
          </cell>
          <cell r="E380">
            <v>16579</v>
          </cell>
          <cell r="F380">
            <v>26288</v>
          </cell>
          <cell r="G380">
            <v>3793</v>
          </cell>
          <cell r="H380">
            <v>2598</v>
          </cell>
          <cell r="I380">
            <v>170500</v>
          </cell>
          <cell r="J380">
            <v>172898</v>
          </cell>
          <cell r="K380">
            <v>50847.77</v>
          </cell>
          <cell r="L380">
            <v>158</v>
          </cell>
          <cell r="M380">
            <v>384413</v>
          </cell>
          <cell r="N380">
            <v>8610</v>
          </cell>
          <cell r="O380">
            <v>3075</v>
          </cell>
          <cell r="P380">
            <v>151.77287399999997</v>
          </cell>
          <cell r="Q380">
            <v>0</v>
          </cell>
          <cell r="R380">
            <v>144600.09759330002</v>
          </cell>
          <cell r="S380">
            <v>8.8280517744735185</v>
          </cell>
          <cell r="T380">
            <v>0.16880300000000001</v>
          </cell>
          <cell r="U380">
            <v>3.9358680662726847E-3</v>
          </cell>
          <cell r="V380">
            <v>1.7000000000000001E-2</v>
          </cell>
          <cell r="W380">
            <v>0.30831999999999998</v>
          </cell>
          <cell r="X380">
            <v>9.9570000000000007</v>
          </cell>
          <cell r="Y380">
            <v>10.37</v>
          </cell>
          <cell r="Z380">
            <v>0</v>
          </cell>
          <cell r="AA380">
            <v>0</v>
          </cell>
          <cell r="AB380">
            <v>0</v>
          </cell>
          <cell r="AC380">
            <v>0.22200386807759939</v>
          </cell>
          <cell r="AD380">
            <v>5.7568094872673413E-2</v>
          </cell>
          <cell r="AE380">
            <v>1.99430025</v>
          </cell>
          <cell r="AF380">
            <v>14.354730466349706</v>
          </cell>
          <cell r="AG380">
            <v>8.6418668688537856</v>
          </cell>
          <cell r="AH380">
            <v>202404</v>
          </cell>
        </row>
        <row r="381">
          <cell r="C381">
            <v>45389</v>
          </cell>
          <cell r="D381">
            <v>334123</v>
          </cell>
          <cell r="E381">
            <v>8994</v>
          </cell>
          <cell r="F381">
            <v>26252</v>
          </cell>
          <cell r="G381">
            <v>3804</v>
          </cell>
          <cell r="H381">
            <v>2446</v>
          </cell>
          <cell r="I381">
            <v>170500</v>
          </cell>
          <cell r="J381">
            <v>173092</v>
          </cell>
          <cell r="K381">
            <v>51036.69</v>
          </cell>
          <cell r="L381">
            <v>26365</v>
          </cell>
          <cell r="M381">
            <v>403394</v>
          </cell>
          <cell r="N381">
            <v>8662</v>
          </cell>
          <cell r="O381">
            <v>3620</v>
          </cell>
          <cell r="P381">
            <v>93.026141999999993</v>
          </cell>
          <cell r="Q381">
            <v>0</v>
          </cell>
          <cell r="R381">
            <v>149673.1118139</v>
          </cell>
          <cell r="S381">
            <v>8.8427765208256073</v>
          </cell>
          <cell r="T381">
            <v>0.103715</v>
          </cell>
          <cell r="U381">
            <v>4.0133712023604894E-3</v>
          </cell>
          <cell r="V381">
            <v>1.7000000000000001E-2</v>
          </cell>
          <cell r="W381">
            <v>0.30763000000000001</v>
          </cell>
          <cell r="X381">
            <v>9.9570000000000007</v>
          </cell>
          <cell r="Y381">
            <v>10.49</v>
          </cell>
          <cell r="Z381">
            <v>0</v>
          </cell>
          <cell r="AA381">
            <v>0</v>
          </cell>
          <cell r="AB381">
            <v>0</v>
          </cell>
          <cell r="AC381">
            <v>0.21719000869326369</v>
          </cell>
          <cell r="AD381">
            <v>5.9805123645394129E-2</v>
          </cell>
          <cell r="AE381">
            <v>1.98640025</v>
          </cell>
          <cell r="AF381">
            <v>14.345527499879653</v>
          </cell>
          <cell r="AG381">
            <v>8.6504432853666806</v>
          </cell>
          <cell r="AH381">
            <v>202404</v>
          </cell>
          <cell r="AJ381" t="str">
            <v>BC-10:Production deferment due to turbine trip.
SPOC: Export ongoing.Stock 122k bbl (53k at TJ,69k at Heglig)</v>
          </cell>
        </row>
        <row r="382">
          <cell r="C382">
            <v>45390</v>
          </cell>
          <cell r="D382">
            <v>334555</v>
          </cell>
          <cell r="E382">
            <v>7673</v>
          </cell>
          <cell r="F382">
            <v>26273</v>
          </cell>
          <cell r="G382">
            <v>3839</v>
          </cell>
          <cell r="H382">
            <v>2425</v>
          </cell>
          <cell r="I382">
            <v>170500</v>
          </cell>
          <cell r="J382">
            <v>174885</v>
          </cell>
          <cell r="K382">
            <v>51335.28</v>
          </cell>
          <cell r="L382">
            <v>26695</v>
          </cell>
          <cell r="M382">
            <v>411381</v>
          </cell>
          <cell r="N382">
            <v>8651</v>
          </cell>
          <cell r="O382">
            <v>4130</v>
          </cell>
          <cell r="P382">
            <v>172.151826</v>
          </cell>
          <cell r="Q382">
            <v>0</v>
          </cell>
          <cell r="R382">
            <v>150515.93757169999</v>
          </cell>
          <cell r="S382">
            <v>8.7818953580237142</v>
          </cell>
          <cell r="T382">
            <v>2.759E-2</v>
          </cell>
          <cell r="U382">
            <v>3.9592011258767594E-3</v>
          </cell>
          <cell r="V382">
            <v>1.7000000000000001E-2</v>
          </cell>
          <cell r="W382">
            <v>0.30674000000000001</v>
          </cell>
          <cell r="X382">
            <v>9.9570000000000007</v>
          </cell>
          <cell r="Y382">
            <v>10.45</v>
          </cell>
          <cell r="Z382">
            <v>0</v>
          </cell>
          <cell r="AA382">
            <v>0</v>
          </cell>
          <cell r="AB382">
            <v>0</v>
          </cell>
          <cell r="AC382">
            <v>0.22172069987852083</v>
          </cell>
          <cell r="AD382">
            <v>5.8417599469909133E-2</v>
          </cell>
          <cell r="AE382">
            <v>1.9848002499999999</v>
          </cell>
          <cell r="AF382">
            <v>14.377553823195438</v>
          </cell>
          <cell r="AG382">
            <v>8.6218231027762862</v>
          </cell>
          <cell r="AH382">
            <v>202404</v>
          </cell>
          <cell r="AJ382" t="str">
            <v>BC-10:Production deferment due to turbine trip.
SPOC: WHCC stopped export to PS#1 on 08/04/2024 @ 1408hrs due to low COBT level.</v>
          </cell>
        </row>
        <row r="383">
          <cell r="C383">
            <v>45391</v>
          </cell>
          <cell r="D383">
            <v>334583</v>
          </cell>
          <cell r="E383">
            <v>0</v>
          </cell>
          <cell r="F383">
            <v>20103</v>
          </cell>
          <cell r="G383">
            <v>3794</v>
          </cell>
          <cell r="H383">
            <v>2475</v>
          </cell>
          <cell r="I383">
            <v>170500</v>
          </cell>
          <cell r="J383">
            <v>175629</v>
          </cell>
          <cell r="K383">
            <v>51254.22</v>
          </cell>
          <cell r="L383">
            <v>0</v>
          </cell>
          <cell r="M383">
            <v>411530</v>
          </cell>
          <cell r="N383">
            <v>8645</v>
          </cell>
          <cell r="O383">
            <v>4423</v>
          </cell>
          <cell r="P383">
            <v>98.62406399999999</v>
          </cell>
          <cell r="Q383">
            <v>0</v>
          </cell>
          <cell r="R383">
            <v>137975.79312880003</v>
          </cell>
          <cell r="S383">
            <v>8.6408775948825802</v>
          </cell>
          <cell r="T383">
            <v>2.1329999999999999E-3</v>
          </cell>
          <cell r="U383">
            <v>3.4261369911113499E-3</v>
          </cell>
          <cell r="V383">
            <v>1.7000000000000001E-2</v>
          </cell>
          <cell r="W383">
            <v>0.30828</v>
          </cell>
          <cell r="X383">
            <v>9.9570000000000007</v>
          </cell>
          <cell r="Y383">
            <v>10.36</v>
          </cell>
          <cell r="Z383">
            <v>0</v>
          </cell>
          <cell r="AB383">
            <v>0</v>
          </cell>
          <cell r="AC383">
            <v>0.22200386807759939</v>
          </cell>
          <cell r="AD383">
            <v>5.9521955446315548E-2</v>
          </cell>
          <cell r="AE383">
            <v>1.97850025</v>
          </cell>
          <cell r="AF383">
            <v>14.236337842314956</v>
          </cell>
          <cell r="AG383">
            <v>8.5630902316961706</v>
          </cell>
          <cell r="AH383">
            <v>202404</v>
          </cell>
          <cell r="AJ383" t="str">
            <v>BC-10:Production deferment due to turbine trip.
CPO-5: Due to on-going social issues and blockade on the roads as well as Ocensa pipeline maintenance works, M/s Vitol is not able to fulfil the daily tanker requirements. Production curtailed to manage the storage capacity.</v>
          </cell>
        </row>
        <row r="384">
          <cell r="C384">
            <v>45392</v>
          </cell>
          <cell r="D384">
            <v>336157</v>
          </cell>
          <cell r="E384">
            <v>5340</v>
          </cell>
          <cell r="F384">
            <v>20693</v>
          </cell>
          <cell r="G384">
            <v>3886</v>
          </cell>
          <cell r="H384">
            <v>2520</v>
          </cell>
          <cell r="I384">
            <v>170500</v>
          </cell>
          <cell r="J384">
            <v>175748</v>
          </cell>
          <cell r="K384">
            <v>52341.82</v>
          </cell>
          <cell r="L384">
            <v>0</v>
          </cell>
          <cell r="M384">
            <v>406612</v>
          </cell>
          <cell r="N384">
            <v>8687</v>
          </cell>
          <cell r="O384">
            <v>2756</v>
          </cell>
          <cell r="P384">
            <v>107.55558000000001</v>
          </cell>
          <cell r="Q384">
            <v>0</v>
          </cell>
          <cell r="R384">
            <v>139405.91171099999</v>
          </cell>
          <cell r="S384">
            <v>8.698360739295536</v>
          </cell>
          <cell r="T384">
            <v>2.957E-3</v>
          </cell>
          <cell r="U384">
            <v>3.4547086623983778E-3</v>
          </cell>
          <cell r="V384">
            <v>1.7000000000000001E-2</v>
          </cell>
          <cell r="W384">
            <v>0.30564999999999998</v>
          </cell>
          <cell r="X384">
            <v>9.9570000000000007</v>
          </cell>
          <cell r="Y384">
            <v>10.36</v>
          </cell>
          <cell r="Z384">
            <v>0</v>
          </cell>
          <cell r="AB384">
            <v>0</v>
          </cell>
          <cell r="AC384">
            <v>0.21180981291077086</v>
          </cell>
          <cell r="AD384">
            <v>5.8389282650001269E-2</v>
          </cell>
          <cell r="AE384">
            <v>1.97830025</v>
          </cell>
          <cell r="AF384">
            <v>14.316785927673179</v>
          </cell>
          <cell r="AG384">
            <v>8.5740423318260319</v>
          </cell>
          <cell r="AH384">
            <v>202404</v>
          </cell>
        </row>
        <row r="385">
          <cell r="C385">
            <v>45393</v>
          </cell>
          <cell r="D385">
            <v>346082</v>
          </cell>
          <cell r="E385">
            <v>10553</v>
          </cell>
          <cell r="F385">
            <v>24791</v>
          </cell>
          <cell r="G385">
            <v>3834</v>
          </cell>
          <cell r="H385">
            <v>2585</v>
          </cell>
          <cell r="I385">
            <v>170500</v>
          </cell>
          <cell r="J385">
            <v>176700</v>
          </cell>
          <cell r="K385">
            <v>51600.46</v>
          </cell>
          <cell r="L385">
            <v>0</v>
          </cell>
          <cell r="M385">
            <v>406861</v>
          </cell>
          <cell r="N385">
            <v>8315</v>
          </cell>
          <cell r="O385">
            <v>3441</v>
          </cell>
          <cell r="P385">
            <v>130.38755399999999</v>
          </cell>
          <cell r="Q385">
            <v>0</v>
          </cell>
          <cell r="R385">
            <v>144265.78359929999</v>
          </cell>
          <cell r="S385">
            <v>8.7498973515278369</v>
          </cell>
          <cell r="T385">
            <v>4.3834999999999999E-2</v>
          </cell>
          <cell r="U385">
            <v>3.7469382438474626E-3</v>
          </cell>
          <cell r="V385">
            <v>1.7000000000000001E-2</v>
          </cell>
          <cell r="W385">
            <v>0.30760999999999999</v>
          </cell>
          <cell r="X385">
            <v>9.9570000000000007</v>
          </cell>
          <cell r="Y385">
            <v>10.55</v>
          </cell>
          <cell r="Z385">
            <v>0</v>
          </cell>
          <cell r="AB385">
            <v>0</v>
          </cell>
          <cell r="AC385">
            <v>0.21888901788773513</v>
          </cell>
          <cell r="AD385">
            <v>5.9238787247236982E-2</v>
          </cell>
          <cell r="AE385">
            <v>1.98050025</v>
          </cell>
          <cell r="AF385">
            <v>14.30843246580036</v>
          </cell>
          <cell r="AG385">
            <v>8.6385228741435949</v>
          </cell>
          <cell r="AH385">
            <v>202404</v>
          </cell>
          <cell r="AJ385" t="str">
            <v>_x000D_
CPO-5:Well Indico-3 added. Contribution750 bbl in 8 hrs.Well under stabilization. Also, the wells Indico-4&amp;5 reopened at 12 noon (as the maintenance in Ocensa pipeline has been completed)</v>
          </cell>
        </row>
        <row r="386">
          <cell r="C386">
            <v>45394</v>
          </cell>
          <cell r="D386">
            <v>349449</v>
          </cell>
          <cell r="E386">
            <v>3189</v>
          </cell>
          <cell r="F386">
            <v>29691</v>
          </cell>
          <cell r="G386">
            <v>3814</v>
          </cell>
          <cell r="H386">
            <v>2612</v>
          </cell>
          <cell r="I386">
            <v>170500</v>
          </cell>
          <cell r="J386">
            <v>164536</v>
          </cell>
          <cell r="K386">
            <v>51033.13</v>
          </cell>
          <cell r="L386">
            <v>43051</v>
          </cell>
          <cell r="M386">
            <v>408450</v>
          </cell>
          <cell r="N386">
            <v>8694</v>
          </cell>
          <cell r="O386">
            <v>4641</v>
          </cell>
          <cell r="P386">
            <v>99.001452</v>
          </cell>
          <cell r="Q386">
            <v>0</v>
          </cell>
          <cell r="R386">
            <v>153454.98880339999</v>
          </cell>
          <cell r="S386">
            <v>8.7453666603425741</v>
          </cell>
          <cell r="T386">
            <v>5.2230000000000002E-3</v>
          </cell>
          <cell r="U386">
            <v>3.9402005397185871E-3</v>
          </cell>
          <cell r="V386">
            <v>1.7000000000000001E-2</v>
          </cell>
          <cell r="W386">
            <v>0.30754999999999999</v>
          </cell>
          <cell r="X386">
            <v>9.9570000000000007</v>
          </cell>
          <cell r="Y386">
            <v>10.29</v>
          </cell>
          <cell r="Z386">
            <v>0</v>
          </cell>
          <cell r="AA386">
            <v>0</v>
          </cell>
          <cell r="AB386">
            <v>0</v>
          </cell>
          <cell r="AC386">
            <v>0.21577416769787086</v>
          </cell>
          <cell r="AD386">
            <v>6.3288092494060547E-2</v>
          </cell>
          <cell r="AE386">
            <v>1.9991002499999999</v>
          </cell>
          <cell r="AF386">
            <v>14.299201182510398</v>
          </cell>
          <cell r="AG386">
            <v>8.5685460292028743</v>
          </cell>
          <cell r="AH386">
            <v>202404</v>
          </cell>
        </row>
        <row r="387">
          <cell r="C387">
            <v>45395</v>
          </cell>
          <cell r="D387">
            <v>351467</v>
          </cell>
          <cell r="E387">
            <v>101</v>
          </cell>
          <cell r="F387">
            <v>29686</v>
          </cell>
          <cell r="G387">
            <v>3902</v>
          </cell>
          <cell r="H387">
            <v>2661</v>
          </cell>
          <cell r="I387">
            <v>170500</v>
          </cell>
          <cell r="J387">
            <v>175621</v>
          </cell>
          <cell r="K387">
            <v>51534.21</v>
          </cell>
          <cell r="L387">
            <v>21386</v>
          </cell>
          <cell r="M387">
            <v>402768</v>
          </cell>
          <cell r="N387">
            <v>8713</v>
          </cell>
          <cell r="O387">
            <v>2748</v>
          </cell>
          <cell r="P387">
            <v>175.61121600000001</v>
          </cell>
          <cell r="Q387">
            <v>0</v>
          </cell>
          <cell r="R387">
            <v>149590.11774720001</v>
          </cell>
          <cell r="S387">
            <v>8.8136101963205089</v>
          </cell>
          <cell r="T387">
            <v>2.9151E-2</v>
          </cell>
          <cell r="U387">
            <v>3.9921335874295973E-3</v>
          </cell>
          <cell r="V387">
            <v>1.7000000000000001E-2</v>
          </cell>
          <cell r="W387">
            <v>0.30898999999999999</v>
          </cell>
          <cell r="X387">
            <v>9.9570000000000007</v>
          </cell>
          <cell r="Y387">
            <v>10.26</v>
          </cell>
          <cell r="Z387">
            <v>0</v>
          </cell>
          <cell r="AA387">
            <v>0</v>
          </cell>
          <cell r="AB387">
            <v>0</v>
          </cell>
          <cell r="AC387">
            <v>0.22200386807759939</v>
          </cell>
          <cell r="AD387">
            <v>5.9521955446315548E-2</v>
          </cell>
          <cell r="AE387">
            <v>2.0059002499999998</v>
          </cell>
          <cell r="AF387">
            <v>14.175230144953801</v>
          </cell>
          <cell r="AG387">
            <v>8.5514231038554129</v>
          </cell>
          <cell r="AH387">
            <v>202404</v>
          </cell>
        </row>
        <row r="388">
          <cell r="C388">
            <v>45396</v>
          </cell>
          <cell r="D388">
            <v>353093</v>
          </cell>
          <cell r="E388">
            <v>38</v>
          </cell>
          <cell r="F388">
            <v>29651</v>
          </cell>
          <cell r="G388">
            <v>3934</v>
          </cell>
          <cell r="H388">
            <v>2654</v>
          </cell>
          <cell r="I388">
            <v>170500</v>
          </cell>
          <cell r="J388">
            <v>177846</v>
          </cell>
          <cell r="K388">
            <v>52987.62</v>
          </cell>
          <cell r="L388">
            <v>0</v>
          </cell>
          <cell r="M388">
            <v>396950</v>
          </cell>
          <cell r="N388">
            <v>8631</v>
          </cell>
          <cell r="O388">
            <v>3874</v>
          </cell>
          <cell r="P388">
            <v>113.21639999999999</v>
          </cell>
          <cell r="Q388">
            <v>0</v>
          </cell>
          <cell r="R388">
            <v>145558.23068000001</v>
          </cell>
          <cell r="S388">
            <v>8.7940715905840925</v>
          </cell>
          <cell r="T388">
            <v>4.0724999999999997E-2</v>
          </cell>
          <cell r="U388">
            <v>4.148130948301982E-3</v>
          </cell>
          <cell r="V388">
            <v>1.7000000000000001E-2</v>
          </cell>
          <cell r="W388">
            <v>0.30870999999999998</v>
          </cell>
          <cell r="X388">
            <v>9.9570000000000007</v>
          </cell>
          <cell r="Y388">
            <v>10.32</v>
          </cell>
          <cell r="Z388">
            <v>0</v>
          </cell>
          <cell r="AA388">
            <v>0</v>
          </cell>
          <cell r="AB388">
            <v>0</v>
          </cell>
          <cell r="AC388">
            <v>0.22653455926285654</v>
          </cell>
          <cell r="AD388">
            <v>5.8672450849079842E-2</v>
          </cell>
          <cell r="AE388">
            <v>2.0202002499999998</v>
          </cell>
          <cell r="AF388">
            <v>14.130149767660493</v>
          </cell>
          <cell r="AG388">
            <v>8.5684558502671351</v>
          </cell>
          <cell r="AH388">
            <v>202404</v>
          </cell>
          <cell r="AJ388" t="str">
            <v>BC-10:During ramp up after resoving the issuing of turbine trip, a a flame-out event was detected at the flaring system, which led to a full-field ESD.Ramp up planning ongoing after troubleshooting.
SPOC:Batching done on 12th and 13th April (total export 64k.). Present stock 125k (50k at Tj and 75k at Heglig)</v>
          </cell>
        </row>
        <row r="389">
          <cell r="C389">
            <v>45397</v>
          </cell>
          <cell r="D389">
            <v>349141</v>
          </cell>
          <cell r="E389">
            <v>3239</v>
          </cell>
          <cell r="F389">
            <v>29699</v>
          </cell>
          <cell r="G389">
            <v>3949</v>
          </cell>
          <cell r="H389">
            <v>2645</v>
          </cell>
          <cell r="I389">
            <v>162800</v>
          </cell>
          <cell r="J389">
            <v>177965</v>
          </cell>
          <cell r="K389">
            <v>52159.73</v>
          </cell>
          <cell r="L389">
            <v>0</v>
          </cell>
          <cell r="M389">
            <v>401862</v>
          </cell>
          <cell r="N389">
            <v>8612</v>
          </cell>
          <cell r="O389">
            <v>3713</v>
          </cell>
          <cell r="P389">
            <v>79.440173999999999</v>
          </cell>
          <cell r="Q389">
            <v>0</v>
          </cell>
          <cell r="R389">
            <v>144762.06767830002</v>
          </cell>
          <cell r="S389">
            <v>9.1369882796682393</v>
          </cell>
          <cell r="T389">
            <v>5.8379E-2</v>
          </cell>
          <cell r="U389">
            <v>4.5128232718952728E-3</v>
          </cell>
          <cell r="V389">
            <v>1.7000000000000001E-2</v>
          </cell>
          <cell r="W389">
            <v>0.30360000000000004</v>
          </cell>
          <cell r="X389">
            <v>9.9570000000000007</v>
          </cell>
          <cell r="Y389">
            <v>10.52</v>
          </cell>
          <cell r="Z389">
            <v>0</v>
          </cell>
          <cell r="AB389">
            <v>0</v>
          </cell>
          <cell r="AC389">
            <v>0.22228703627667795</v>
          </cell>
          <cell r="AD389">
            <v>5.9238787247236982E-2</v>
          </cell>
          <cell r="AE389">
            <v>2.0193002500000001</v>
          </cell>
          <cell r="AF389">
            <v>14.123353730882606</v>
          </cell>
          <cell r="AG389">
            <v>8.6264880711900354</v>
          </cell>
          <cell r="AH389">
            <v>202404</v>
          </cell>
          <cell r="AJ389" t="str">
            <v>BC-10:Ramp up ongoing.</v>
          </cell>
        </row>
        <row r="390">
          <cell r="C390">
            <v>45398</v>
          </cell>
          <cell r="D390">
            <v>349690</v>
          </cell>
          <cell r="E390">
            <v>23333</v>
          </cell>
          <cell r="F390">
            <v>29774</v>
          </cell>
          <cell r="G390">
            <v>4002</v>
          </cell>
          <cell r="H390">
            <v>2561</v>
          </cell>
          <cell r="I390">
            <v>162800</v>
          </cell>
          <cell r="J390">
            <v>175510</v>
          </cell>
          <cell r="K390">
            <v>49043.74</v>
          </cell>
          <cell r="L390">
            <v>0</v>
          </cell>
          <cell r="M390">
            <v>399920</v>
          </cell>
          <cell r="N390">
            <v>8499</v>
          </cell>
          <cell r="O390">
            <v>4081.0000000000005</v>
          </cell>
          <cell r="P390">
            <v>201.21070199999997</v>
          </cell>
          <cell r="Q390">
            <v>0</v>
          </cell>
          <cell r="R390">
            <v>148889.71881590001</v>
          </cell>
          <cell r="S390">
            <v>8.9891744797492272</v>
          </cell>
          <cell r="T390">
            <v>0.15385499999999999</v>
          </cell>
          <cell r="U390">
            <v>4.6429673761917839E-3</v>
          </cell>
          <cell r="V390">
            <v>1.7000000000000001E-2</v>
          </cell>
          <cell r="W390">
            <v>0.30249999999999999</v>
          </cell>
          <cell r="X390">
            <v>9.9570000000000007</v>
          </cell>
          <cell r="Y390">
            <v>10.45</v>
          </cell>
          <cell r="Z390">
            <v>0</v>
          </cell>
          <cell r="AA390">
            <v>0</v>
          </cell>
          <cell r="AB390">
            <v>0</v>
          </cell>
          <cell r="AC390">
            <v>0.26278008874491354</v>
          </cell>
          <cell r="AD390">
            <v>6.2353637437101261E-2</v>
          </cell>
          <cell r="AE390">
            <v>2.03900025</v>
          </cell>
          <cell r="AF390">
            <v>14.051259107397202</v>
          </cell>
          <cell r="AG390">
            <v>8.6319522831398459</v>
          </cell>
          <cell r="AH390">
            <v>202404</v>
          </cell>
        </row>
        <row r="391">
          <cell r="C391">
            <v>45399</v>
          </cell>
          <cell r="D391">
            <v>354195</v>
          </cell>
          <cell r="E391">
            <v>19289</v>
          </cell>
          <cell r="F391">
            <v>29357</v>
          </cell>
          <cell r="G391">
            <v>4001</v>
          </cell>
          <cell r="H391">
            <v>2571</v>
          </cell>
          <cell r="I391">
            <v>162800</v>
          </cell>
          <cell r="J391">
            <v>174148</v>
          </cell>
          <cell r="K391">
            <v>51626.95</v>
          </cell>
          <cell r="L391">
            <v>9453</v>
          </cell>
          <cell r="M391">
            <v>417131</v>
          </cell>
          <cell r="N391">
            <v>8530</v>
          </cell>
          <cell r="O391">
            <v>3612</v>
          </cell>
          <cell r="P391">
            <v>109.75700999999999</v>
          </cell>
          <cell r="Q391">
            <v>0</v>
          </cell>
          <cell r="R391">
            <v>150654.81890449996</v>
          </cell>
          <cell r="S391">
            <v>9.0509051471483541</v>
          </cell>
          <cell r="T391">
            <v>0.193271</v>
          </cell>
          <cell r="U391">
            <v>4.5765644335078589E-3</v>
          </cell>
          <cell r="V391">
            <v>1.7000000000000001E-2</v>
          </cell>
          <cell r="W391">
            <v>0.32377999999999996</v>
          </cell>
          <cell r="X391">
            <v>9.9570000000000007</v>
          </cell>
          <cell r="Y391">
            <v>10.18</v>
          </cell>
          <cell r="AA391">
            <v>0</v>
          </cell>
          <cell r="AB391">
            <v>0</v>
          </cell>
          <cell r="AC391">
            <v>0.23446326883705648</v>
          </cell>
          <cell r="AD391">
            <v>6.2183736517654124E-2</v>
          </cell>
          <cell r="AE391">
            <v>2.04700025</v>
          </cell>
          <cell r="AF391">
            <v>13.956624295265144</v>
          </cell>
          <cell r="AG391">
            <v>8.5793833708767941</v>
          </cell>
          <cell r="AH391">
            <v>202404</v>
          </cell>
          <cell r="AJ391" t="str">
            <v>BC-10:Ramp up ongoing.
SPOC: Export resumed under batching in 17th April evening.
Imperial:Production increase during last few days due to addition of well in South Maiskoye after WOJ.
MECL: Prod'n touched 4k bopd on 16th April.</v>
          </cell>
        </row>
        <row r="392">
          <cell r="C392">
            <v>45400</v>
          </cell>
          <cell r="D392">
            <v>350355</v>
          </cell>
          <cell r="E392">
            <v>21969</v>
          </cell>
          <cell r="F392">
            <v>30237</v>
          </cell>
          <cell r="G392">
            <v>3922</v>
          </cell>
          <cell r="H392">
            <v>2595</v>
          </cell>
          <cell r="I392">
            <v>162800</v>
          </cell>
          <cell r="J392">
            <v>176231</v>
          </cell>
          <cell r="K392">
            <v>51039.18</v>
          </cell>
          <cell r="L392">
            <v>45584</v>
          </cell>
          <cell r="M392">
            <v>405540</v>
          </cell>
          <cell r="N392">
            <v>8513</v>
          </cell>
          <cell r="O392">
            <v>3946</v>
          </cell>
          <cell r="P392">
            <v>205.04748000000001</v>
          </cell>
          <cell r="Q392">
            <v>0</v>
          </cell>
          <cell r="R392">
            <v>160712.42686599999</v>
          </cell>
          <cell r="S392">
            <v>8.7926557495886968</v>
          </cell>
          <cell r="T392">
            <v>0.214424</v>
          </cell>
          <cell r="U392">
            <v>4.2654758500001409E-3</v>
          </cell>
          <cell r="V392">
            <v>1.7000000000000001E-2</v>
          </cell>
          <cell r="W392">
            <v>0.33565</v>
          </cell>
          <cell r="X392">
            <v>9.9570000000000007</v>
          </cell>
          <cell r="Y392">
            <v>10.27</v>
          </cell>
          <cell r="Z392">
            <v>0</v>
          </cell>
          <cell r="AA392">
            <v>0</v>
          </cell>
          <cell r="AB392">
            <v>0</v>
          </cell>
          <cell r="AC392">
            <v>0.22257020447575654</v>
          </cell>
          <cell r="AD392">
            <v>6.357126069313912E-2</v>
          </cell>
          <cell r="AE392">
            <v>2.0372002500000002</v>
          </cell>
          <cell r="AF392">
            <v>14.172398462963015</v>
          </cell>
          <cell r="AG392">
            <v>8.6456997388838008</v>
          </cell>
          <cell r="AH392">
            <v>202404</v>
          </cell>
          <cell r="AJ392" t="str">
            <v xml:space="preserve">
CPO-5:Multi rate test ongoing in Indico-3 ( prod'n figure touching 30K+)
BC-10:Ramp up ongoing.
SPOC: Export resumed under batching in 17th April evening.</v>
          </cell>
        </row>
        <row r="393">
          <cell r="C393">
            <v>45401</v>
          </cell>
          <cell r="D393">
            <v>361908</v>
          </cell>
          <cell r="E393">
            <v>27478</v>
          </cell>
          <cell r="F393">
            <v>30955</v>
          </cell>
          <cell r="G393">
            <v>3904</v>
          </cell>
          <cell r="H393">
            <v>2613</v>
          </cell>
          <cell r="I393">
            <v>162800</v>
          </cell>
          <cell r="J393">
            <v>172385</v>
          </cell>
          <cell r="K393">
            <v>54274.63</v>
          </cell>
          <cell r="L393">
            <v>28441</v>
          </cell>
          <cell r="M393">
            <v>410670</v>
          </cell>
          <cell r="N393">
            <v>8556</v>
          </cell>
          <cell r="O393">
            <v>3117</v>
          </cell>
          <cell r="P393">
            <v>89.692547999999988</v>
          </cell>
          <cell r="Q393">
            <v>0</v>
          </cell>
          <cell r="R393">
            <v>158477.90519659998</v>
          </cell>
          <cell r="S393">
            <v>8.4559687608842804</v>
          </cell>
          <cell r="T393">
            <v>0.27236100000000002</v>
          </cell>
          <cell r="U393">
            <v>4.2952651445432068E-3</v>
          </cell>
          <cell r="V393">
            <v>1.7000000000000001E-2</v>
          </cell>
          <cell r="W393">
            <v>0.32772000000000001</v>
          </cell>
          <cell r="X393">
            <v>9.9570000000000007</v>
          </cell>
          <cell r="Y393">
            <v>10.039999999999999</v>
          </cell>
          <cell r="AB393">
            <v>0</v>
          </cell>
          <cell r="AC393">
            <v>0.22313654087391369</v>
          </cell>
          <cell r="AD393">
            <v>6.2438587896824833E-2</v>
          </cell>
          <cell r="AE393">
            <v>2.0335002499999999</v>
          </cell>
          <cell r="AF393">
            <v>14.168830543654625</v>
          </cell>
          <cell r="AG393">
            <v>8.5831937935537539</v>
          </cell>
          <cell r="AH393">
            <v>202404</v>
          </cell>
        </row>
        <row r="394">
          <cell r="C394">
            <v>45402</v>
          </cell>
          <cell r="D394">
            <v>356842</v>
          </cell>
          <cell r="E394">
            <v>25969</v>
          </cell>
          <cell r="F394">
            <v>26119</v>
          </cell>
          <cell r="G394">
            <v>3946</v>
          </cell>
          <cell r="H394">
            <v>2575</v>
          </cell>
          <cell r="I394">
            <v>162800</v>
          </cell>
          <cell r="J394">
            <v>170927</v>
          </cell>
          <cell r="K394">
            <v>54054.5</v>
          </cell>
          <cell r="L394">
            <v>0</v>
          </cell>
          <cell r="M394">
            <v>418637</v>
          </cell>
          <cell r="N394">
            <v>8340</v>
          </cell>
          <cell r="O394">
            <v>3435</v>
          </cell>
          <cell r="P394">
            <v>191.52440999999999</v>
          </cell>
          <cell r="Q394">
            <v>0</v>
          </cell>
          <cell r="R394">
            <v>147723.6911845</v>
          </cell>
          <cell r="S394">
            <v>10.5296094827366</v>
          </cell>
          <cell r="T394">
            <v>0.28990199999999999</v>
          </cell>
          <cell r="U394">
            <v>3.77089427348951E-3</v>
          </cell>
          <cell r="V394">
            <v>1.7000000000000001E-2</v>
          </cell>
          <cell r="W394">
            <v>0.31192999999999999</v>
          </cell>
          <cell r="X394">
            <v>9.9570000000000007</v>
          </cell>
          <cell r="Y394">
            <v>10.01</v>
          </cell>
          <cell r="AB394">
            <v>0</v>
          </cell>
          <cell r="AC394">
            <v>0.22172069987852083</v>
          </cell>
          <cell r="AD394">
            <v>6.4505715750098391E-2</v>
          </cell>
          <cell r="AE394">
            <v>1.96210025</v>
          </cell>
          <cell r="AF394">
            <v>14.154304015041895</v>
          </cell>
          <cell r="AG394">
            <v>8.5779455033864576</v>
          </cell>
          <cell r="AH394">
            <v>202404</v>
          </cell>
        </row>
        <row r="395">
          <cell r="C395">
            <v>45403</v>
          </cell>
          <cell r="D395">
            <v>376789</v>
          </cell>
          <cell r="E395">
            <v>27535</v>
          </cell>
          <cell r="F395">
            <v>29268</v>
          </cell>
          <cell r="G395">
            <v>4036</v>
          </cell>
          <cell r="H395">
            <v>2426</v>
          </cell>
          <cell r="I395">
            <v>162800</v>
          </cell>
          <cell r="J395">
            <v>169937</v>
          </cell>
          <cell r="K395">
            <v>53321.3</v>
          </cell>
          <cell r="L395">
            <v>0</v>
          </cell>
          <cell r="M395">
            <v>412590</v>
          </cell>
          <cell r="N395">
            <v>8286</v>
          </cell>
          <cell r="O395">
            <v>4177</v>
          </cell>
          <cell r="P395">
            <v>101.07708599999999</v>
          </cell>
          <cell r="Q395">
            <v>0</v>
          </cell>
          <cell r="R395">
            <v>150275.16558870001</v>
          </cell>
          <cell r="S395">
            <v>9.4229881607375958</v>
          </cell>
          <cell r="T395">
            <v>0.27974900000000003</v>
          </cell>
          <cell r="U395">
            <v>3.8838217512820439E-3</v>
          </cell>
          <cell r="V395">
            <v>1.7000000000000001E-2</v>
          </cell>
          <cell r="W395">
            <v>0.22453999999999999</v>
          </cell>
          <cell r="X395">
            <v>9.9570000000000007</v>
          </cell>
          <cell r="Y395">
            <v>9.92</v>
          </cell>
          <cell r="AB395">
            <v>0</v>
          </cell>
          <cell r="AC395">
            <v>0.23134841864719224</v>
          </cell>
          <cell r="AD395">
            <v>6.4788883949176965E-2</v>
          </cell>
          <cell r="AE395">
            <v>1.95370025</v>
          </cell>
          <cell r="AF395">
            <v>14.152859857226593</v>
          </cell>
          <cell r="AG395">
            <v>8.4360770995983181</v>
          </cell>
          <cell r="AH395">
            <v>202404</v>
          </cell>
          <cell r="AJ395" t="str">
            <v>Vankor:Reasons sought for prod'n deferment.</v>
          </cell>
        </row>
        <row r="396">
          <cell r="C396">
            <v>45404</v>
          </cell>
          <cell r="D396">
            <v>370662</v>
          </cell>
          <cell r="E396">
            <v>27799</v>
          </cell>
          <cell r="F396">
            <v>29668</v>
          </cell>
          <cell r="G396">
            <v>4075</v>
          </cell>
          <cell r="H396">
            <v>2535</v>
          </cell>
          <cell r="I396">
            <v>162800</v>
          </cell>
          <cell r="J396">
            <v>164283</v>
          </cell>
          <cell r="K396">
            <v>54183.63</v>
          </cell>
          <cell r="L396">
            <v>0</v>
          </cell>
          <cell r="M396">
            <v>412009</v>
          </cell>
          <cell r="N396">
            <v>8335</v>
          </cell>
          <cell r="O396">
            <v>3839</v>
          </cell>
          <cell r="P396">
            <v>168.12635399999999</v>
          </cell>
          <cell r="Q396">
            <v>0</v>
          </cell>
          <cell r="R396">
            <v>149236.07655930004</v>
          </cell>
          <cell r="S396">
            <v>8.5244954650612943</v>
          </cell>
          <cell r="T396">
            <v>0.29165200000000002</v>
          </cell>
          <cell r="U396">
            <v>3.6971289576295417E-3</v>
          </cell>
          <cell r="V396">
            <v>1.7000000000000001E-2</v>
          </cell>
          <cell r="W396">
            <v>0.31058999999999998</v>
          </cell>
          <cell r="X396">
            <v>9.9570000000000007</v>
          </cell>
          <cell r="Y396">
            <v>9.81</v>
          </cell>
          <cell r="Z396">
            <v>0</v>
          </cell>
          <cell r="AB396">
            <v>0</v>
          </cell>
          <cell r="AC396">
            <v>0.26532860253662072</v>
          </cell>
          <cell r="AD396">
            <v>6.572333900613625E-2</v>
          </cell>
          <cell r="AE396">
            <v>1.94980025</v>
          </cell>
          <cell r="AF396">
            <v>14.141986198381977</v>
          </cell>
          <cell r="AG396">
            <v>8.4763631236196755</v>
          </cell>
          <cell r="AH396">
            <v>202404</v>
          </cell>
        </row>
        <row r="397">
          <cell r="C397">
            <v>45405</v>
          </cell>
          <cell r="D397">
            <v>354455</v>
          </cell>
          <cell r="E397">
            <v>22478</v>
          </cell>
          <cell r="F397">
            <v>29620</v>
          </cell>
          <cell r="G397">
            <v>4057</v>
          </cell>
          <cell r="H397">
            <v>2459</v>
          </cell>
          <cell r="I397">
            <v>162800</v>
          </cell>
          <cell r="J397">
            <v>167943</v>
          </cell>
          <cell r="K397">
            <v>52772.49</v>
          </cell>
          <cell r="L397">
            <v>0</v>
          </cell>
          <cell r="M397">
            <v>407233</v>
          </cell>
          <cell r="N397">
            <v>8329</v>
          </cell>
          <cell r="O397">
            <v>3518</v>
          </cell>
          <cell r="P397">
            <v>127.49424599999999</v>
          </cell>
          <cell r="Q397">
            <v>0</v>
          </cell>
          <cell r="R397">
            <v>147566.85541069999</v>
          </cell>
          <cell r="S397">
            <v>8.7626399204863699</v>
          </cell>
          <cell r="T397">
            <v>0.25070900000000002</v>
          </cell>
          <cell r="U397">
            <v>3.9631937974837677E-3</v>
          </cell>
          <cell r="V397">
            <v>1.7000000000000001E-2</v>
          </cell>
          <cell r="W397">
            <v>0.24596999999999999</v>
          </cell>
          <cell r="X397">
            <v>9.9570000000000007</v>
          </cell>
          <cell r="Y397">
            <v>10.25</v>
          </cell>
          <cell r="Z397">
            <v>0</v>
          </cell>
          <cell r="AB397">
            <v>0</v>
          </cell>
          <cell r="AC397">
            <v>0.27354048030989925</v>
          </cell>
          <cell r="AD397">
            <v>6.5440170807057677E-2</v>
          </cell>
          <cell r="AE397">
            <v>2.0593002500000002</v>
          </cell>
          <cell r="AF397">
            <v>14.16228935825591</v>
          </cell>
          <cell r="AG397">
            <v>8.5742924723818916</v>
          </cell>
          <cell r="AH397">
            <v>202404</v>
          </cell>
          <cell r="AJ397" t="str">
            <v xml:space="preserve">Vankor:Production deferment as some wells were shut down due to safety reasons due to drilling. </v>
          </cell>
        </row>
        <row r="398">
          <cell r="C398">
            <v>45406</v>
          </cell>
          <cell r="D398">
            <v>352046</v>
          </cell>
          <cell r="E398">
            <v>15377</v>
          </cell>
          <cell r="F398">
            <v>29642</v>
          </cell>
          <cell r="G398">
            <v>4061</v>
          </cell>
          <cell r="H398">
            <v>2597</v>
          </cell>
          <cell r="I398">
            <v>162800</v>
          </cell>
          <cell r="J398">
            <v>168174</v>
          </cell>
          <cell r="K398">
            <v>51479.21</v>
          </cell>
          <cell r="L398">
            <v>0</v>
          </cell>
          <cell r="M398">
            <v>416373</v>
          </cell>
          <cell r="N398">
            <v>8237</v>
          </cell>
          <cell r="O398">
            <v>3237</v>
          </cell>
          <cell r="P398">
            <v>133.59535199999999</v>
          </cell>
          <cell r="Q398">
            <v>0</v>
          </cell>
          <cell r="R398">
            <v>145731.90300839997</v>
          </cell>
          <cell r="S398">
            <v>8.9254616349565481</v>
          </cell>
          <cell r="T398">
            <v>0.148228</v>
          </cell>
          <cell r="U398">
            <v>3.9949935862402903E-3</v>
          </cell>
          <cell r="V398">
            <v>1.7000000000000001E-2</v>
          </cell>
          <cell r="W398">
            <v>0.31854000000000005</v>
          </cell>
          <cell r="X398">
            <v>9.9570000000000007</v>
          </cell>
          <cell r="Y398">
            <v>10.37</v>
          </cell>
          <cell r="Z398">
            <v>0</v>
          </cell>
          <cell r="AB398">
            <v>0</v>
          </cell>
          <cell r="AC398">
            <v>0.25428504277255648</v>
          </cell>
          <cell r="AD398">
            <v>6.3373042953784112E-2</v>
          </cell>
          <cell r="AE398">
            <v>2.00600025</v>
          </cell>
          <cell r="AF398">
            <v>14.137965209955061</v>
          </cell>
          <cell r="AG398">
            <v>8.6231109893567197</v>
          </cell>
          <cell r="AH398">
            <v>202404</v>
          </cell>
          <cell r="AJ398" t="str">
            <v>BC-10:Deferment due to turbine trip on 23rd</v>
          </cell>
        </row>
        <row r="399">
          <cell r="C399">
            <v>45407</v>
          </cell>
          <cell r="D399">
            <v>303293</v>
          </cell>
          <cell r="E399">
            <v>15950</v>
          </cell>
          <cell r="F399">
            <v>29609</v>
          </cell>
          <cell r="G399">
            <v>4063</v>
          </cell>
          <cell r="H399">
            <v>2604</v>
          </cell>
          <cell r="I399">
            <v>162800</v>
          </cell>
          <cell r="J399">
            <v>170889</v>
          </cell>
          <cell r="K399">
            <v>52700.66</v>
          </cell>
          <cell r="L399">
            <v>35060</v>
          </cell>
          <cell r="M399">
            <v>404850</v>
          </cell>
          <cell r="N399">
            <v>8319</v>
          </cell>
          <cell r="O399">
            <v>4537</v>
          </cell>
          <cell r="P399">
            <v>172.843704</v>
          </cell>
          <cell r="Q399">
            <v>0</v>
          </cell>
          <cell r="R399">
            <v>154300.56796679998</v>
          </cell>
          <cell r="S399">
            <v>4.6683109300093193</v>
          </cell>
          <cell r="T399">
            <v>0.156329</v>
          </cell>
          <cell r="U399">
            <v>4.2414348698983709E-3</v>
          </cell>
          <cell r="V399">
            <v>1.7000000000000001E-2</v>
          </cell>
          <cell r="W399">
            <v>0.31724000000000002</v>
          </cell>
          <cell r="X399">
            <v>9.9570000000000007</v>
          </cell>
          <cell r="Y399">
            <v>10.35</v>
          </cell>
          <cell r="Z399">
            <v>0</v>
          </cell>
          <cell r="AB399">
            <v>0</v>
          </cell>
          <cell r="AC399">
            <v>0.24862167879098501</v>
          </cell>
          <cell r="AD399">
            <v>6.4222547551019818E-2</v>
          </cell>
          <cell r="AE399">
            <v>1.9071002500000001</v>
          </cell>
          <cell r="AF399">
            <v>14.145016098112116</v>
          </cell>
          <cell r="AG399">
            <v>8.47704106975862</v>
          </cell>
          <cell r="AH399">
            <v>202404</v>
          </cell>
          <cell r="AJ399" t="str">
            <v xml:space="preserve">
ACG:Planned TAR(turnaround ) at DWG platform. K01 well(at ACE platform)  producing @ approximate rate 8.1 mbd oil with 4.2 mmscfd gas
BC-10:Deferment due to turbine trip on 23rd</v>
          </cell>
        </row>
        <row r="400">
          <cell r="C400">
            <v>45408</v>
          </cell>
          <cell r="D400">
            <v>286721</v>
          </cell>
          <cell r="E400">
            <v>20214</v>
          </cell>
          <cell r="F400">
            <v>29614</v>
          </cell>
          <cell r="G400">
            <v>4069</v>
          </cell>
          <cell r="H400">
            <v>2603</v>
          </cell>
          <cell r="I400">
            <v>162800</v>
          </cell>
          <cell r="J400">
            <v>171544</v>
          </cell>
          <cell r="K400">
            <v>53390.67</v>
          </cell>
          <cell r="L400">
            <v>38840</v>
          </cell>
          <cell r="M400">
            <v>415010</v>
          </cell>
          <cell r="N400">
            <v>8186</v>
          </cell>
          <cell r="O400">
            <v>3694</v>
          </cell>
          <cell r="P400">
            <v>138.124008</v>
          </cell>
          <cell r="Q400">
            <v>0</v>
          </cell>
          <cell r="R400">
            <v>156368.2084036</v>
          </cell>
          <cell r="S400">
            <v>4.2653625827205097</v>
          </cell>
          <cell r="T400">
            <v>0.16882900000000001</v>
          </cell>
          <cell r="U400">
            <v>4.0004870493024151E-3</v>
          </cell>
          <cell r="V400">
            <v>1.7000000000000001E-2</v>
          </cell>
          <cell r="W400">
            <v>0.31739000000000001</v>
          </cell>
          <cell r="X400">
            <v>9.9570000000000007</v>
          </cell>
          <cell r="Y400">
            <v>10.47</v>
          </cell>
          <cell r="Z400">
            <v>0</v>
          </cell>
          <cell r="AB400">
            <v>0</v>
          </cell>
          <cell r="AC400">
            <v>0.2568335565642636</v>
          </cell>
          <cell r="AD400">
            <v>6.3288092494060547E-2</v>
          </cell>
          <cell r="AE400">
            <v>1.9267002499999999</v>
          </cell>
          <cell r="AF400">
            <v>14.14524263267138</v>
          </cell>
          <cell r="AG400">
            <v>8.5116773348691837</v>
          </cell>
          <cell r="AH400">
            <v>202404</v>
          </cell>
        </row>
        <row r="401">
          <cell r="C401">
            <v>45409</v>
          </cell>
          <cell r="D401">
            <v>294128</v>
          </cell>
          <cell r="E401">
            <v>18484</v>
          </cell>
          <cell r="F401">
            <v>29587</v>
          </cell>
          <cell r="G401">
            <v>4131</v>
          </cell>
          <cell r="H401">
            <v>2578</v>
          </cell>
          <cell r="I401">
            <v>162800</v>
          </cell>
          <cell r="J401">
            <v>171909</v>
          </cell>
          <cell r="K401">
            <v>53166.93</v>
          </cell>
          <cell r="L401">
            <v>0</v>
          </cell>
          <cell r="M401">
            <v>407486</v>
          </cell>
          <cell r="N401">
            <v>7998</v>
          </cell>
          <cell r="O401">
            <v>4301</v>
          </cell>
          <cell r="P401">
            <v>120.13518000000001</v>
          </cell>
          <cell r="Q401">
            <v>0</v>
          </cell>
          <cell r="R401">
            <v>146641.19013099998</v>
          </cell>
          <cell r="S401">
            <v>4.6111109537954427</v>
          </cell>
          <cell r="T401">
            <v>0.14290700000000001</v>
          </cell>
          <cell r="U401">
            <v>4.2151285442039712E-3</v>
          </cell>
          <cell r="V401">
            <v>1.7000000000000001E-2</v>
          </cell>
          <cell r="W401">
            <v>0.31823000000000001</v>
          </cell>
          <cell r="X401">
            <v>9.9570000000000007</v>
          </cell>
          <cell r="Y401">
            <v>10.4</v>
          </cell>
          <cell r="Z401">
            <v>0</v>
          </cell>
          <cell r="AB401">
            <v>0</v>
          </cell>
          <cell r="AC401">
            <v>0.2508870243836136</v>
          </cell>
          <cell r="AD401">
            <v>6.7337397740884111E-2</v>
          </cell>
          <cell r="AE401">
            <v>1.91960025</v>
          </cell>
          <cell r="AF401">
            <v>9.7775713796237813</v>
          </cell>
          <cell r="AG401">
            <v>7.7507219218282115</v>
          </cell>
          <cell r="AH401">
            <v>202404</v>
          </cell>
        </row>
        <row r="402">
          <cell r="C402">
            <v>45410</v>
          </cell>
          <cell r="D402">
            <v>296082</v>
          </cell>
          <cell r="E402">
            <v>20962</v>
          </cell>
          <cell r="F402">
            <v>29502</v>
          </cell>
          <cell r="G402">
            <v>4102</v>
          </cell>
          <cell r="H402">
            <v>2643</v>
          </cell>
          <cell r="I402">
            <v>162800</v>
          </cell>
          <cell r="J402">
            <v>172013</v>
          </cell>
          <cell r="K402">
            <v>53035.82</v>
          </cell>
          <cell r="L402">
            <v>0</v>
          </cell>
          <cell r="M402">
            <v>412828</v>
          </cell>
          <cell r="N402">
            <v>7190</v>
          </cell>
          <cell r="O402">
            <v>3934</v>
          </cell>
          <cell r="P402">
            <v>189.82616399999998</v>
          </cell>
          <cell r="Q402">
            <v>0</v>
          </cell>
          <cell r="R402">
            <v>147350.0109738</v>
          </cell>
          <cell r="S402">
            <v>4.5663703783410305</v>
          </cell>
          <cell r="T402">
            <v>0.206507</v>
          </cell>
          <cell r="U402">
            <v>4.1217963057876743E-3</v>
          </cell>
          <cell r="V402">
            <v>1.7000000000000001E-2</v>
          </cell>
          <cell r="W402">
            <v>0.31822</v>
          </cell>
          <cell r="X402">
            <v>9.9570000000000007</v>
          </cell>
          <cell r="Y402">
            <v>10.32</v>
          </cell>
          <cell r="Z402">
            <v>0</v>
          </cell>
          <cell r="AB402">
            <v>0</v>
          </cell>
          <cell r="AC402">
            <v>0.23389693243889936</v>
          </cell>
          <cell r="AD402">
            <v>6.5326903527426247E-2</v>
          </cell>
          <cell r="AE402">
            <v>1.91120025</v>
          </cell>
          <cell r="AF402">
            <v>9.4589788388404816</v>
          </cell>
          <cell r="AG402">
            <v>7.6853712422358624</v>
          </cell>
          <cell r="AH402">
            <v>202404</v>
          </cell>
          <cell r="AJ402" t="str">
            <v>ACG:Planned TAR of DWG.
A1-A3: Low nomination
PCB:Deferment due to theft of power cables at Macolla-1</v>
          </cell>
        </row>
        <row r="403">
          <cell r="C403">
            <v>45411</v>
          </cell>
          <cell r="D403">
            <v>285600</v>
          </cell>
          <cell r="E403">
            <v>21226</v>
          </cell>
          <cell r="F403">
            <v>29438</v>
          </cell>
          <cell r="G403">
            <v>4073</v>
          </cell>
          <cell r="H403">
            <v>2600</v>
          </cell>
          <cell r="I403">
            <v>155400</v>
          </cell>
          <cell r="J403">
            <v>169937</v>
          </cell>
          <cell r="K403">
            <v>50923.43</v>
          </cell>
          <cell r="L403">
            <v>0</v>
          </cell>
          <cell r="M403">
            <v>401993</v>
          </cell>
          <cell r="N403">
            <v>8157.9999999999991</v>
          </cell>
          <cell r="O403">
            <v>4167</v>
          </cell>
          <cell r="P403">
            <v>102.46084199999999</v>
          </cell>
          <cell r="Q403">
            <v>0</v>
          </cell>
          <cell r="R403">
            <v>144255.96487889998</v>
          </cell>
          <cell r="S403">
            <v>4.6428257920922489</v>
          </cell>
          <cell r="T403">
            <v>0.22859199999999999</v>
          </cell>
          <cell r="U403">
            <v>4.0383466375192197E-3</v>
          </cell>
          <cell r="V403">
            <v>1.7000000000000001E-2</v>
          </cell>
          <cell r="W403">
            <v>0.31968000000000002</v>
          </cell>
          <cell r="X403">
            <v>9.9570000000000007</v>
          </cell>
          <cell r="Y403">
            <v>10.38</v>
          </cell>
          <cell r="Z403">
            <v>0</v>
          </cell>
          <cell r="AB403">
            <v>0</v>
          </cell>
          <cell r="AC403">
            <v>0.25626722016610648</v>
          </cell>
          <cell r="AD403">
            <v>6.8356803257566962E-2</v>
          </cell>
          <cell r="AE403">
            <v>1.9088002500000001</v>
          </cell>
          <cell r="AF403">
            <v>10.951700000283166</v>
          </cell>
          <cell r="AG403">
            <v>7.9664571865130318</v>
          </cell>
          <cell r="AH403">
            <v>202404</v>
          </cell>
        </row>
        <row r="404">
          <cell r="C404">
            <v>45412</v>
          </cell>
          <cell r="D404">
            <v>279398</v>
          </cell>
          <cell r="E404">
            <v>31711</v>
          </cell>
          <cell r="F404">
            <v>29481</v>
          </cell>
          <cell r="G404">
            <v>4042</v>
          </cell>
          <cell r="H404">
            <v>2543</v>
          </cell>
          <cell r="I404">
            <v>155400</v>
          </cell>
          <cell r="J404">
            <v>171879</v>
          </cell>
          <cell r="K404">
            <v>46954.05</v>
          </cell>
          <cell r="L404">
            <v>7144</v>
          </cell>
          <cell r="M404">
            <v>391050</v>
          </cell>
          <cell r="N404">
            <v>8243</v>
          </cell>
          <cell r="O404">
            <v>3750</v>
          </cell>
          <cell r="P404">
            <v>121.39314</v>
          </cell>
          <cell r="Q404">
            <v>0</v>
          </cell>
          <cell r="R404">
            <v>147550.66321299999</v>
          </cell>
          <cell r="S404">
            <v>4.5139842615114976</v>
          </cell>
          <cell r="T404">
            <v>0.29845300000000002</v>
          </cell>
          <cell r="U404">
            <v>4.2406419989409506E-3</v>
          </cell>
          <cell r="V404">
            <v>1.7000000000000001E-2</v>
          </cell>
          <cell r="W404">
            <v>0.31807000000000002</v>
          </cell>
          <cell r="X404">
            <v>9.9570000000000007</v>
          </cell>
          <cell r="Y404">
            <v>10.33</v>
          </cell>
          <cell r="Z404">
            <v>0</v>
          </cell>
          <cell r="AA404">
            <v>0</v>
          </cell>
          <cell r="AB404">
            <v>0</v>
          </cell>
          <cell r="AC404">
            <v>0.23389693243889936</v>
          </cell>
          <cell r="AD404">
            <v>6.4505715750098391E-2</v>
          </cell>
          <cell r="AE404">
            <v>1.90800025</v>
          </cell>
          <cell r="AF404">
            <v>13.377205526310572</v>
          </cell>
          <cell r="AG404">
            <v>8.3758497966812904</v>
          </cell>
          <cell r="AH404">
            <v>202404</v>
          </cell>
          <cell r="AJ404" t="str">
            <v xml:space="preserve">
GPOC:Less production due to power trip in Toma South.
ACG:Planned TAR of DWG.
A1-A3: Low nomination</v>
          </cell>
        </row>
        <row r="405">
          <cell r="C405">
            <v>45413</v>
          </cell>
          <cell r="D405">
            <v>206981</v>
          </cell>
          <cell r="E405">
            <v>25723</v>
          </cell>
          <cell r="F405">
            <v>29542</v>
          </cell>
          <cell r="G405">
            <v>4036</v>
          </cell>
          <cell r="H405">
            <v>2551</v>
          </cell>
          <cell r="I405">
            <v>155400</v>
          </cell>
          <cell r="J405">
            <v>171351</v>
          </cell>
          <cell r="K405">
            <v>51793.26</v>
          </cell>
          <cell r="L405">
            <v>44540.92470602</v>
          </cell>
          <cell r="M405">
            <v>229430</v>
          </cell>
          <cell r="N405">
            <v>8213</v>
          </cell>
          <cell r="O405">
            <v>4058</v>
          </cell>
          <cell r="P405">
            <v>215.551446</v>
          </cell>
          <cell r="Q405">
            <v>0</v>
          </cell>
          <cell r="R405">
            <v>148100.77233602735</v>
          </cell>
          <cell r="S405">
            <v>3.391222352164962</v>
          </cell>
          <cell r="T405">
            <v>0.224443</v>
          </cell>
          <cell r="U405">
            <v>4.1471115427852987E-3</v>
          </cell>
          <cell r="V405">
            <v>1.7000000000000001E-2</v>
          </cell>
          <cell r="W405">
            <v>0.31756000000000001</v>
          </cell>
          <cell r="X405">
            <v>7.59</v>
          </cell>
          <cell r="Y405">
            <v>10.37</v>
          </cell>
          <cell r="Z405">
            <v>0</v>
          </cell>
          <cell r="AB405">
            <v>0</v>
          </cell>
          <cell r="AC405">
            <v>0.23644544623060648</v>
          </cell>
          <cell r="AD405">
            <v>6.2438587896824833E-2</v>
          </cell>
          <cell r="AE405">
            <v>1.9068002500000001</v>
          </cell>
          <cell r="AF405">
            <v>14.326215428702493</v>
          </cell>
          <cell r="AG405">
            <v>8.0266009940384819</v>
          </cell>
          <cell r="AH405">
            <v>202405</v>
          </cell>
          <cell r="AJ405" t="str">
            <v xml:space="preserve">LZC:Quota for the month is 225k bopd.
BC-10:Mobo-7 and 10 tripped during the day.Restarted.
SPOC: Batching ongoing, along with viscocity reducer injection.
ACG:Planned TAR ongoing at DWG(15 days)_x000D_
</v>
          </cell>
        </row>
        <row r="406">
          <cell r="C406">
            <v>45414</v>
          </cell>
          <cell r="D406">
            <v>186657</v>
          </cell>
          <cell r="E406">
            <v>29478</v>
          </cell>
          <cell r="F406">
            <v>29437</v>
          </cell>
          <cell r="G406">
            <v>4067</v>
          </cell>
          <cell r="H406">
            <v>2484</v>
          </cell>
          <cell r="I406">
            <v>155400</v>
          </cell>
          <cell r="J406">
            <v>172057</v>
          </cell>
          <cell r="K406">
            <v>51013.18</v>
          </cell>
          <cell r="L406">
            <v>373</v>
          </cell>
          <cell r="M406">
            <v>200362</v>
          </cell>
          <cell r="N406">
            <v>8220</v>
          </cell>
          <cell r="O406">
            <v>4303</v>
          </cell>
          <cell r="P406">
            <v>104.09618999999999</v>
          </cell>
          <cell r="Q406">
            <v>0</v>
          </cell>
          <cell r="R406">
            <v>136739.06123550003</v>
          </cell>
          <cell r="S406">
            <v>3.2349135062735916</v>
          </cell>
          <cell r="T406">
            <v>0.32151400000000002</v>
          </cell>
          <cell r="U406">
            <v>4.3605637312507254E-3</v>
          </cell>
          <cell r="V406">
            <v>1.7000000000000001E-2</v>
          </cell>
          <cell r="W406">
            <v>0.31736000000000003</v>
          </cell>
          <cell r="X406">
            <v>7.59</v>
          </cell>
          <cell r="Y406">
            <v>10.49</v>
          </cell>
          <cell r="AB406">
            <v>0</v>
          </cell>
          <cell r="AC406">
            <v>0.23446326883705648</v>
          </cell>
          <cell r="AD406">
            <v>6.357126069313912E-2</v>
          </cell>
          <cell r="AE406">
            <v>1.91120025</v>
          </cell>
          <cell r="AF406">
            <v>14.294302372666339</v>
          </cell>
          <cell r="AG406">
            <v>8.0771386563094048</v>
          </cell>
          <cell r="AH406">
            <v>202405</v>
          </cell>
          <cell r="AJ406" t="str">
            <v>ACG:Planned TAR ongoing at DWG.
LZC:Quota for the month is 225k bopd.</v>
          </cell>
        </row>
        <row r="407">
          <cell r="C407">
            <v>45415</v>
          </cell>
          <cell r="D407">
            <v>215991</v>
          </cell>
          <cell r="E407">
            <v>27233</v>
          </cell>
          <cell r="F407">
            <v>29312</v>
          </cell>
          <cell r="G407">
            <v>4119</v>
          </cell>
          <cell r="H407">
            <v>2501</v>
          </cell>
          <cell r="I407">
            <v>155400</v>
          </cell>
          <cell r="J407">
            <v>161299</v>
          </cell>
          <cell r="K407">
            <v>52803.79</v>
          </cell>
          <cell r="L407">
            <v>0</v>
          </cell>
          <cell r="M407">
            <v>198353</v>
          </cell>
          <cell r="N407">
            <v>8206</v>
          </cell>
          <cell r="O407">
            <v>4700</v>
          </cell>
          <cell r="P407">
            <v>205.61356199999997</v>
          </cell>
          <cell r="Q407">
            <v>0</v>
          </cell>
          <cell r="R407">
            <v>134449.1957029</v>
          </cell>
          <cell r="S407">
            <v>3.2974936782699569</v>
          </cell>
          <cell r="T407">
            <v>0.327123</v>
          </cell>
          <cell r="U407">
            <v>4.1641299515499212E-3</v>
          </cell>
          <cell r="V407">
            <v>1.7000000000000001E-2</v>
          </cell>
          <cell r="W407">
            <v>0.31580000000000003</v>
          </cell>
          <cell r="X407">
            <v>7.59</v>
          </cell>
          <cell r="Y407">
            <v>10.31</v>
          </cell>
          <cell r="AB407">
            <v>0</v>
          </cell>
          <cell r="AC407">
            <v>0.2336137642398208</v>
          </cell>
          <cell r="AD407">
            <v>6.4222547551019818E-2</v>
          </cell>
          <cell r="AE407">
            <v>1.90750025</v>
          </cell>
          <cell r="AF407">
            <v>14.308630683539715</v>
          </cell>
          <cell r="AG407">
            <v>8.0325390667226628</v>
          </cell>
          <cell r="AH407">
            <v>202405</v>
          </cell>
        </row>
        <row r="408">
          <cell r="C408">
            <v>45416</v>
          </cell>
          <cell r="D408">
            <v>167435</v>
          </cell>
          <cell r="E408">
            <v>26931</v>
          </cell>
          <cell r="F408">
            <v>29274</v>
          </cell>
          <cell r="G408">
            <v>4139</v>
          </cell>
          <cell r="H408">
            <v>2497</v>
          </cell>
          <cell r="I408">
            <v>155400</v>
          </cell>
          <cell r="J408">
            <v>169253</v>
          </cell>
          <cell r="K408">
            <v>52721.8</v>
          </cell>
          <cell r="L408">
            <v>0</v>
          </cell>
          <cell r="M408">
            <v>192021</v>
          </cell>
          <cell r="N408">
            <v>8194</v>
          </cell>
          <cell r="O408">
            <v>2367</v>
          </cell>
          <cell r="P408">
            <v>85.729973999999999</v>
          </cell>
          <cell r="Q408">
            <v>0</v>
          </cell>
          <cell r="R408">
            <v>134031.20698829999</v>
          </cell>
          <cell r="S408">
            <v>3.7579251699717124</v>
          </cell>
          <cell r="T408">
            <v>0.31705299999999997</v>
          </cell>
          <cell r="U408">
            <v>4.1737859871384996E-3</v>
          </cell>
          <cell r="V408">
            <v>1.7000000000000001E-2</v>
          </cell>
          <cell r="W408">
            <v>0.31460000000000005</v>
          </cell>
          <cell r="X408">
            <v>7.59</v>
          </cell>
          <cell r="Y408">
            <v>10.308142999999999</v>
          </cell>
          <cell r="AB408">
            <v>0</v>
          </cell>
          <cell r="AC408">
            <v>0.22398604547114939</v>
          </cell>
          <cell r="AD408">
            <v>6.4505715750098391E-2</v>
          </cell>
          <cell r="AE408">
            <v>1.9009002500000001</v>
          </cell>
          <cell r="AF408">
            <v>14.279266141295267</v>
          </cell>
          <cell r="AG408">
            <v>8.0298723194394057</v>
          </cell>
          <cell r="AH408">
            <v>202405</v>
          </cell>
        </row>
        <row r="409">
          <cell r="C409">
            <v>45417</v>
          </cell>
          <cell r="D409">
            <v>224741</v>
          </cell>
          <cell r="E409">
            <v>25604</v>
          </cell>
          <cell r="F409">
            <v>29294</v>
          </cell>
          <cell r="G409">
            <v>4145</v>
          </cell>
          <cell r="H409">
            <v>2532</v>
          </cell>
          <cell r="I409">
            <v>155400</v>
          </cell>
          <cell r="J409">
            <v>168308</v>
          </cell>
          <cell r="K409">
            <v>53498.34</v>
          </cell>
          <cell r="L409">
            <v>0</v>
          </cell>
          <cell r="M409">
            <v>183380</v>
          </cell>
          <cell r="N409">
            <v>8147</v>
          </cell>
          <cell r="O409">
            <v>6233</v>
          </cell>
          <cell r="P409">
            <v>204.98458200000002</v>
          </cell>
          <cell r="Q409">
            <v>0</v>
          </cell>
          <cell r="R409">
            <v>136246.37516190004</v>
          </cell>
          <cell r="S409">
            <v>2.4369455212701809</v>
          </cell>
          <cell r="T409">
            <v>0.30925799999999998</v>
          </cell>
          <cell r="U409">
            <v>4.1316505591156086E-3</v>
          </cell>
          <cell r="V409">
            <v>1.7000000000000001E-2</v>
          </cell>
          <cell r="W409">
            <v>0.31383</v>
          </cell>
          <cell r="X409">
            <v>7.59</v>
          </cell>
          <cell r="Y409">
            <v>10.126809</v>
          </cell>
          <cell r="AB409">
            <v>0</v>
          </cell>
          <cell r="AC409">
            <v>0.22908307305456366</v>
          </cell>
          <cell r="AD409">
            <v>5.9805123645394129E-2</v>
          </cell>
          <cell r="AE409">
            <v>1.8944002499999999</v>
          </cell>
          <cell r="AF409">
            <v>14.222519234199922</v>
          </cell>
          <cell r="AG409">
            <v>7.935415166740869</v>
          </cell>
          <cell r="AH409">
            <v>202405</v>
          </cell>
          <cell r="AJ409" t="str">
            <v>ACG:Planned TAR ongoing at DWG(15 days).
LZC:Quota for the month is 225k bopd.</v>
          </cell>
        </row>
        <row r="410">
          <cell r="C410">
            <v>45418</v>
          </cell>
          <cell r="D410">
            <v>264554</v>
          </cell>
          <cell r="E410">
            <v>26145</v>
          </cell>
          <cell r="F410">
            <v>29285</v>
          </cell>
          <cell r="G410">
            <v>4116</v>
          </cell>
          <cell r="H410">
            <v>2507</v>
          </cell>
          <cell r="I410">
            <v>148000</v>
          </cell>
          <cell r="J410">
            <v>166001</v>
          </cell>
          <cell r="K410">
            <v>54022.48</v>
          </cell>
          <cell r="L410">
            <v>6783</v>
          </cell>
          <cell r="M410">
            <v>198043</v>
          </cell>
          <cell r="N410">
            <v>8117.0000000000009</v>
          </cell>
          <cell r="O410">
            <v>3974</v>
          </cell>
          <cell r="P410">
            <v>80.886827999999994</v>
          </cell>
          <cell r="Q410">
            <v>0</v>
          </cell>
          <cell r="R410">
            <v>136577.7152226</v>
          </cell>
          <cell r="S410">
            <v>5.4036987430163617</v>
          </cell>
          <cell r="T410">
            <v>0.313745</v>
          </cell>
          <cell r="U410">
            <v>4.2969924705575863E-3</v>
          </cell>
          <cell r="V410">
            <v>1.7000000000000001E-2</v>
          </cell>
          <cell r="W410">
            <v>0.30992999999999998</v>
          </cell>
          <cell r="X410">
            <v>7.59</v>
          </cell>
          <cell r="Y410">
            <v>10.31</v>
          </cell>
          <cell r="Z410">
            <v>0</v>
          </cell>
          <cell r="AB410">
            <v>0</v>
          </cell>
          <cell r="AC410">
            <v>0.22795040025824939</v>
          </cell>
          <cell r="AD410">
            <v>5.8672450849079842E-2</v>
          </cell>
          <cell r="AE410">
            <v>1.8907002500000001</v>
          </cell>
          <cell r="AF410">
            <v>14.237612099210811</v>
          </cell>
          <cell r="AG410">
            <v>8.0493271794269461</v>
          </cell>
          <cell r="AH410">
            <v>202405</v>
          </cell>
          <cell r="AJ410" t="str">
            <v>ACG:Planned TAR ongoing at DWG(15 days).
LZC:Quota for the month is 225k bopd.(due to ongoing NMGL related works)</v>
          </cell>
        </row>
        <row r="411">
          <cell r="C411">
            <v>45419</v>
          </cell>
          <cell r="D411">
            <v>286661</v>
          </cell>
          <cell r="E411">
            <v>27447</v>
          </cell>
          <cell r="F411">
            <v>29257</v>
          </cell>
          <cell r="G411">
            <v>4050</v>
          </cell>
          <cell r="H411">
            <v>2059</v>
          </cell>
          <cell r="I411">
            <v>148000</v>
          </cell>
          <cell r="J411">
            <v>168189</v>
          </cell>
          <cell r="K411">
            <v>54010.78</v>
          </cell>
          <cell r="L411">
            <v>41675</v>
          </cell>
          <cell r="M411">
            <v>197195</v>
          </cell>
          <cell r="N411">
            <v>8010</v>
          </cell>
          <cell r="O411">
            <v>4041.0000000000005</v>
          </cell>
          <cell r="P411">
            <v>122.08501799999999</v>
          </cell>
          <cell r="Q411">
            <v>0</v>
          </cell>
          <cell r="R411">
            <v>145922.6261081</v>
          </cell>
          <cell r="S411">
            <v>6.9851931348701832</v>
          </cell>
          <cell r="T411">
            <v>0.33083099999999999</v>
          </cell>
          <cell r="U411">
            <v>4.3892769866372928E-3</v>
          </cell>
          <cell r="V411">
            <v>1.7000000000000001E-2</v>
          </cell>
          <cell r="W411">
            <v>0.10471999999999999</v>
          </cell>
          <cell r="X411">
            <v>7.59</v>
          </cell>
          <cell r="Y411">
            <v>10.48</v>
          </cell>
          <cell r="Z411">
            <v>0</v>
          </cell>
          <cell r="AB411">
            <v>0</v>
          </cell>
          <cell r="AC411">
            <v>0.2296494094527208</v>
          </cell>
          <cell r="AD411">
            <v>5.8927302228250551E-2</v>
          </cell>
          <cell r="AE411">
            <v>1.88130025</v>
          </cell>
          <cell r="AF411">
            <v>14.291215839296383</v>
          </cell>
          <cell r="AG411">
            <v>7.9346989864176329</v>
          </cell>
          <cell r="AH411">
            <v>202405</v>
          </cell>
          <cell r="AJ411" t="str">
            <v>IEC:Production deferment due to APG plant shutdown.
ACG:Production deferment due to DWG TAR and s/d at central Azeri due to false alarm</v>
          </cell>
        </row>
        <row r="412">
          <cell r="C412">
            <v>45420</v>
          </cell>
          <cell r="D412">
            <v>308635</v>
          </cell>
          <cell r="E412">
            <v>25918</v>
          </cell>
          <cell r="F412">
            <v>29208</v>
          </cell>
          <cell r="G412">
            <v>4089</v>
          </cell>
          <cell r="H412">
            <v>2003</v>
          </cell>
          <cell r="I412">
            <v>148000</v>
          </cell>
          <cell r="J412">
            <v>167750</v>
          </cell>
          <cell r="K412">
            <v>54078.03</v>
          </cell>
          <cell r="L412">
            <v>41849</v>
          </cell>
          <cell r="M412">
            <v>200911</v>
          </cell>
          <cell r="N412">
            <v>7901</v>
          </cell>
          <cell r="O412">
            <v>3466</v>
          </cell>
          <cell r="P412">
            <v>183.22187399999999</v>
          </cell>
          <cell r="Q412">
            <v>0</v>
          </cell>
          <cell r="R412">
            <v>145825.40709329999</v>
          </cell>
          <cell r="S412">
            <v>6.902508020739238</v>
          </cell>
          <cell r="T412">
            <v>0.27153500000000003</v>
          </cell>
          <cell r="U412">
            <v>4.1067600744166023E-3</v>
          </cell>
          <cell r="V412">
            <v>1.7000000000000001E-2</v>
          </cell>
          <cell r="W412">
            <v>7.9069999999999988E-2</v>
          </cell>
          <cell r="X412">
            <v>7.59</v>
          </cell>
          <cell r="Y412">
            <v>10.7</v>
          </cell>
          <cell r="AB412">
            <v>0</v>
          </cell>
          <cell r="AC412">
            <v>0.22936624125364222</v>
          </cell>
          <cell r="AD412">
            <v>5.9805123645394129E-2</v>
          </cell>
          <cell r="AE412">
            <v>1.87130025</v>
          </cell>
          <cell r="AF412">
            <v>14.259501000999583</v>
          </cell>
          <cell r="AG412">
            <v>7.9385597359971554</v>
          </cell>
          <cell r="AH412">
            <v>202405</v>
          </cell>
          <cell r="AJ412" t="str">
            <v xml:space="preserve">_x000D_
</v>
          </cell>
        </row>
        <row r="413">
          <cell r="C413">
            <v>45421</v>
          </cell>
          <cell r="D413">
            <v>345327</v>
          </cell>
          <cell r="E413">
            <v>26138</v>
          </cell>
          <cell r="F413">
            <v>11639</v>
          </cell>
          <cell r="G413">
            <v>4112</v>
          </cell>
          <cell r="H413">
            <v>1990</v>
          </cell>
          <cell r="I413">
            <v>148000</v>
          </cell>
          <cell r="J413">
            <v>168151</v>
          </cell>
          <cell r="K413">
            <v>54374.5</v>
          </cell>
          <cell r="L413">
            <v>9050</v>
          </cell>
          <cell r="M413">
            <v>197823</v>
          </cell>
          <cell r="N413">
            <v>7054</v>
          </cell>
          <cell r="O413">
            <v>4675</v>
          </cell>
          <cell r="P413">
            <v>85.855769999999993</v>
          </cell>
          <cell r="Q413">
            <v>0</v>
          </cell>
          <cell r="R413">
            <v>126921.3062965</v>
          </cell>
          <cell r="S413">
            <v>7.8335650593095814</v>
          </cell>
          <cell r="T413">
            <v>0.30024899999999999</v>
          </cell>
          <cell r="U413">
            <v>2.3464449648446682E-3</v>
          </cell>
          <cell r="V413">
            <v>1.7000000000000001E-2</v>
          </cell>
          <cell r="W413">
            <v>7.9920000000000005E-2</v>
          </cell>
          <cell r="X413">
            <v>7.59</v>
          </cell>
          <cell r="Y413">
            <v>10.55</v>
          </cell>
          <cell r="AB413">
            <v>0</v>
          </cell>
          <cell r="AC413">
            <v>0.22851673665640654</v>
          </cell>
          <cell r="AD413">
            <v>6.0059975024564838E-2</v>
          </cell>
          <cell r="AE413">
            <v>1.8763002499999999</v>
          </cell>
          <cell r="AF413">
            <v>14.250014866330451</v>
          </cell>
          <cell r="AG413">
            <v>7.9290835651636495</v>
          </cell>
          <cell r="AH413">
            <v>202405</v>
          </cell>
          <cell r="AJ413" t="str">
            <v>CPO-5:Production Deferment due to a community strike at indico pad.
IEC:Production deferment due to APG plant shutdown.
ACG:Production deferment due to DWG TAR and s/d at central Azeri due to false alarm
LZC:Quota for the month is 225k bopd.(due to ongoing NMGL related works)</v>
          </cell>
        </row>
        <row r="414">
          <cell r="C414">
            <v>45422</v>
          </cell>
          <cell r="D414">
            <v>313876</v>
          </cell>
          <cell r="E414">
            <v>25943</v>
          </cell>
          <cell r="F414">
            <v>4135</v>
          </cell>
          <cell r="G414">
            <v>4074</v>
          </cell>
          <cell r="H414">
            <v>1993</v>
          </cell>
          <cell r="I414">
            <v>148000</v>
          </cell>
          <cell r="J414">
            <v>168382</v>
          </cell>
          <cell r="K414">
            <v>55802.35</v>
          </cell>
          <cell r="L414">
            <v>0</v>
          </cell>
          <cell r="M414">
            <v>203850</v>
          </cell>
          <cell r="N414">
            <v>7653</v>
          </cell>
          <cell r="O414">
            <v>4277</v>
          </cell>
          <cell r="P414">
            <v>141.89788799999999</v>
          </cell>
          <cell r="Q414">
            <v>0</v>
          </cell>
          <cell r="R414">
            <v>119280.0371496</v>
          </cell>
          <cell r="S414">
            <v>8.161757002041643</v>
          </cell>
          <cell r="T414">
            <v>0.33354200000000001</v>
          </cell>
          <cell r="U414">
            <v>1.6224688302604862E-3</v>
          </cell>
          <cell r="V414">
            <v>1.7000000000000001E-2</v>
          </cell>
          <cell r="W414">
            <v>8.0110000000000001E-2</v>
          </cell>
          <cell r="X414">
            <v>7.59</v>
          </cell>
          <cell r="Y414">
            <v>10.76</v>
          </cell>
          <cell r="AC414">
            <v>0.22625139106377798</v>
          </cell>
          <cell r="AD414">
            <v>6.0937796441708408E-2</v>
          </cell>
          <cell r="AE414">
            <v>1.87320025</v>
          </cell>
          <cell r="AF414">
            <v>14.206322013212628</v>
          </cell>
          <cell r="AG414">
            <v>7.9912162812681897</v>
          </cell>
          <cell r="AH414">
            <v>202405</v>
          </cell>
        </row>
        <row r="415">
          <cell r="C415">
            <v>45423</v>
          </cell>
          <cell r="D415">
            <v>323953</v>
          </cell>
          <cell r="E415">
            <v>25019</v>
          </cell>
          <cell r="F415">
            <v>4141</v>
          </cell>
          <cell r="G415">
            <v>3829</v>
          </cell>
          <cell r="H415">
            <v>1948</v>
          </cell>
          <cell r="I415">
            <v>148000</v>
          </cell>
          <cell r="J415">
            <v>168501</v>
          </cell>
          <cell r="K415">
            <v>55446.54</v>
          </cell>
          <cell r="L415">
            <v>0</v>
          </cell>
          <cell r="M415">
            <v>202414</v>
          </cell>
          <cell r="N415">
            <v>7670</v>
          </cell>
          <cell r="O415">
            <v>4335</v>
          </cell>
          <cell r="P415">
            <v>94.221204</v>
          </cell>
          <cell r="Q415">
            <v>0</v>
          </cell>
          <cell r="R415">
            <v>118988.19884179998</v>
          </cell>
          <cell r="S415">
            <v>8.2186738100564352</v>
          </cell>
          <cell r="T415">
            <v>0.30094799999999999</v>
          </cell>
          <cell r="U415">
            <v>1.6594222802402397E-3</v>
          </cell>
          <cell r="V415">
            <v>1.7000000000000001E-2</v>
          </cell>
          <cell r="W415">
            <v>7.9000000000000001E-2</v>
          </cell>
          <cell r="X415">
            <v>7.59</v>
          </cell>
          <cell r="Y415">
            <v>10.64</v>
          </cell>
          <cell r="AC415">
            <v>0.2106771401144566</v>
          </cell>
          <cell r="AD415">
            <v>6.1787301038944115E-2</v>
          </cell>
          <cell r="AE415">
            <v>1.8718002499999999</v>
          </cell>
          <cell r="AF415">
            <v>14.19491033478976</v>
          </cell>
          <cell r="AG415">
            <v>7.9475031958508993</v>
          </cell>
          <cell r="AH415">
            <v>202405</v>
          </cell>
          <cell r="AJ415" t="str">
            <v>_x000D_
MECL:Prod'n deferment due to electrical issue.</v>
          </cell>
        </row>
        <row r="416">
          <cell r="C416">
            <v>45424</v>
          </cell>
          <cell r="D416">
            <v>349786</v>
          </cell>
          <cell r="E416">
            <v>25912</v>
          </cell>
          <cell r="F416">
            <v>4597.75</v>
          </cell>
          <cell r="G416">
            <v>3993</v>
          </cell>
          <cell r="H416">
            <v>2040</v>
          </cell>
          <cell r="I416">
            <v>148000</v>
          </cell>
          <cell r="J416">
            <v>168531</v>
          </cell>
          <cell r="K416">
            <v>55626.53</v>
          </cell>
          <cell r="L416">
            <v>0</v>
          </cell>
          <cell r="M416">
            <v>203681</v>
          </cell>
          <cell r="N416">
            <v>7677</v>
          </cell>
          <cell r="O416">
            <v>2831</v>
          </cell>
          <cell r="P416">
            <v>176.240196</v>
          </cell>
          <cell r="Q416">
            <v>0</v>
          </cell>
          <cell r="R416">
            <v>119859.33218820003</v>
          </cell>
          <cell r="S416">
            <v>9.1786140049327898</v>
          </cell>
          <cell r="T416">
            <v>0.29149999999999998</v>
          </cell>
          <cell r="U416">
            <v>1.6276791251235321E-3</v>
          </cell>
          <cell r="V416">
            <v>1.7000000000000001E-2</v>
          </cell>
          <cell r="W416">
            <v>7.9579999999999998E-2</v>
          </cell>
          <cell r="X416">
            <v>7.59</v>
          </cell>
          <cell r="Y416">
            <v>10.69</v>
          </cell>
          <cell r="Z416">
            <v>0</v>
          </cell>
          <cell r="AC416">
            <v>0.22398604547114939</v>
          </cell>
          <cell r="AD416">
            <v>6.1532449659773406E-2</v>
          </cell>
          <cell r="AE416">
            <v>1.86700025</v>
          </cell>
          <cell r="AF416">
            <v>14.146658473666772</v>
          </cell>
          <cell r="AG416">
            <v>7.9716838567906212</v>
          </cell>
          <cell r="AH416">
            <v>202405</v>
          </cell>
          <cell r="AJ416" t="str">
            <v>IEC:Production deferment due to APG plant shutdown._x000D_
MECL:Prod'n deferment due to electrical issue._x000D_
CPO-5:Production Deferment due to a community strike at indico pad.</v>
          </cell>
        </row>
        <row r="417">
          <cell r="C417">
            <v>45425</v>
          </cell>
          <cell r="D417">
            <v>357977</v>
          </cell>
          <cell r="E417">
            <v>30843</v>
          </cell>
          <cell r="F417">
            <v>4956</v>
          </cell>
          <cell r="G417">
            <v>4120</v>
          </cell>
          <cell r="H417">
            <v>1976</v>
          </cell>
          <cell r="I417">
            <v>155400</v>
          </cell>
          <cell r="J417">
            <v>168843</v>
          </cell>
          <cell r="K417">
            <v>54396.01</v>
          </cell>
          <cell r="L417">
            <v>7316</v>
          </cell>
          <cell r="M417">
            <v>215922</v>
          </cell>
          <cell r="N417">
            <v>7659</v>
          </cell>
          <cell r="O417">
            <v>4247</v>
          </cell>
          <cell r="P417">
            <v>95.038877999999997</v>
          </cell>
          <cell r="Q417">
            <v>0</v>
          </cell>
          <cell r="R417">
            <v>125666.18369510002</v>
          </cell>
          <cell r="S417">
            <v>8.6706102557858316</v>
          </cell>
          <cell r="T417">
            <v>0.26516200000000001</v>
          </cell>
          <cell r="U417">
            <v>1.6396571399445556E-3</v>
          </cell>
          <cell r="V417">
            <v>1.7000000000000001E-2</v>
          </cell>
          <cell r="W417">
            <v>7.9700000000000007E-2</v>
          </cell>
          <cell r="X417">
            <v>7.59</v>
          </cell>
          <cell r="Y417">
            <v>10.7</v>
          </cell>
          <cell r="Z417">
            <v>0</v>
          </cell>
          <cell r="AB417">
            <v>0</v>
          </cell>
          <cell r="AC417">
            <v>0.22030485888312798</v>
          </cell>
          <cell r="AD417">
            <v>6.1787301038944115E-2</v>
          </cell>
          <cell r="AE417">
            <v>1.8681002499999999</v>
          </cell>
          <cell r="AF417">
            <v>14.142156099301422</v>
          </cell>
          <cell r="AG417">
            <v>7.9549927011805774</v>
          </cell>
          <cell r="AH417">
            <v>202405</v>
          </cell>
          <cell r="AJ417" t="str">
            <v>IEC:Production deferment due to APG plant shutdown.
CPO-5:community blocked at indico pad.
LZC- Quota for the month is 225k due to NMGL related works._x000D_</v>
          </cell>
        </row>
        <row r="418">
          <cell r="C418">
            <v>45426</v>
          </cell>
          <cell r="D418">
            <v>357980</v>
          </cell>
          <cell r="E418">
            <v>23132</v>
          </cell>
          <cell r="F418">
            <v>4903</v>
          </cell>
          <cell r="G418">
            <v>4102</v>
          </cell>
          <cell r="H418">
            <v>2351</v>
          </cell>
          <cell r="I418">
            <v>155400</v>
          </cell>
          <cell r="J418">
            <v>168151</v>
          </cell>
          <cell r="K418">
            <v>53996.49</v>
          </cell>
          <cell r="L418">
            <v>45558</v>
          </cell>
          <cell r="M418">
            <v>221064</v>
          </cell>
          <cell r="N418">
            <v>7630</v>
          </cell>
          <cell r="O418">
            <v>3769</v>
          </cell>
          <cell r="P418">
            <v>101.768964</v>
          </cell>
          <cell r="Q418">
            <v>0</v>
          </cell>
          <cell r="R418">
            <v>132873.58403379997</v>
          </cell>
          <cell r="S418">
            <v>8.4842855807921378</v>
          </cell>
          <cell r="T418">
            <v>0.27100800000000003</v>
          </cell>
          <cell r="U418">
            <v>1.6439612965705498E-3</v>
          </cell>
          <cell r="V418">
            <v>1.7000000000000001E-2</v>
          </cell>
          <cell r="W418">
            <v>0.26491000000000003</v>
          </cell>
          <cell r="X418">
            <v>7.59</v>
          </cell>
          <cell r="Y418">
            <v>10.51</v>
          </cell>
          <cell r="AA418">
            <v>0</v>
          </cell>
          <cell r="AB418">
            <v>0</v>
          </cell>
          <cell r="AC418">
            <v>0.2287999048554851</v>
          </cell>
          <cell r="AD418">
            <v>6.1277598280602696E-2</v>
          </cell>
          <cell r="AE418">
            <v>1.8577002499999999</v>
          </cell>
          <cell r="AF418">
            <v>14.162657476914712</v>
          </cell>
          <cell r="AG418">
            <v>8.0876158422457429</v>
          </cell>
          <cell r="AH418">
            <v>202405</v>
          </cell>
          <cell r="AJ418" t="str">
            <v>CPO-5:community blocked at Indico Pad.</v>
          </cell>
        </row>
        <row r="419">
          <cell r="C419">
            <v>45427</v>
          </cell>
          <cell r="D419">
            <v>347817</v>
          </cell>
          <cell r="E419">
            <v>27616</v>
          </cell>
          <cell r="F419">
            <v>19674</v>
          </cell>
          <cell r="G419">
            <v>4095</v>
          </cell>
          <cell r="H419">
            <v>2666</v>
          </cell>
          <cell r="I419">
            <v>155400</v>
          </cell>
          <cell r="J419">
            <v>168337</v>
          </cell>
          <cell r="K419">
            <v>53472.34</v>
          </cell>
          <cell r="L419">
            <v>42693</v>
          </cell>
          <cell r="M419">
            <v>221442</v>
          </cell>
          <cell r="N419">
            <v>7614</v>
          </cell>
          <cell r="O419">
            <v>4713</v>
          </cell>
          <cell r="P419">
            <v>166.113618</v>
          </cell>
          <cell r="Q419">
            <v>0</v>
          </cell>
          <cell r="R419">
            <v>144146.75507810002</v>
          </cell>
          <cell r="S419">
            <v>9.2024001336553862</v>
          </cell>
          <cell r="T419">
            <v>0.26385900000000001</v>
          </cell>
          <cell r="U419">
            <v>2.6914287817820905E-3</v>
          </cell>
          <cell r="V419">
            <v>1.7000000000000001E-2</v>
          </cell>
          <cell r="W419">
            <v>0.34785000000000005</v>
          </cell>
          <cell r="X419">
            <v>7.59</v>
          </cell>
          <cell r="Y419">
            <v>10.3</v>
          </cell>
          <cell r="Z419">
            <v>0</v>
          </cell>
          <cell r="AC419">
            <v>0.22738406386009222</v>
          </cell>
          <cell r="AD419">
            <v>6.1532449659773406E-2</v>
          </cell>
          <cell r="AE419">
            <v>1.8662002499999999</v>
          </cell>
          <cell r="AF419">
            <v>14.180893508935371</v>
          </cell>
          <cell r="AG419">
            <v>8.1382186091422213</v>
          </cell>
          <cell r="AH419">
            <v>202405</v>
          </cell>
          <cell r="AJ419" t="str">
            <v>CPO-5:Indico wells progressively opened.</v>
          </cell>
        </row>
        <row r="420">
          <cell r="C420">
            <v>45428</v>
          </cell>
          <cell r="D420">
            <v>357917</v>
          </cell>
          <cell r="E420">
            <v>27704</v>
          </cell>
          <cell r="F420">
            <v>29981</v>
          </cell>
          <cell r="G420">
            <v>4146</v>
          </cell>
          <cell r="H420">
            <v>2579</v>
          </cell>
          <cell r="I420">
            <v>155400</v>
          </cell>
          <cell r="J420">
            <v>169215</v>
          </cell>
          <cell r="K420">
            <v>55334.11</v>
          </cell>
          <cell r="L420">
            <v>0</v>
          </cell>
          <cell r="M420">
            <v>216422</v>
          </cell>
          <cell r="N420">
            <v>7632</v>
          </cell>
          <cell r="O420">
            <v>3218</v>
          </cell>
          <cell r="P420">
            <v>80.069153999999997</v>
          </cell>
          <cell r="Q420">
            <v>0</v>
          </cell>
          <cell r="R420">
            <v>141115.72131930001</v>
          </cell>
          <cell r="S420">
            <v>10.811928177217982</v>
          </cell>
          <cell r="T420">
            <v>0.27315600000000001</v>
          </cell>
          <cell r="U420">
            <v>3.9721135957547418E-3</v>
          </cell>
          <cell r="V420">
            <v>1.7000000000000001E-2</v>
          </cell>
          <cell r="W420">
            <v>0.32064999999999999</v>
          </cell>
          <cell r="X420">
            <v>7.59</v>
          </cell>
          <cell r="Y420">
            <v>10.39</v>
          </cell>
          <cell r="AA420">
            <v>0</v>
          </cell>
          <cell r="AB420">
            <v>0</v>
          </cell>
          <cell r="AC420">
            <v>0.22200386807759939</v>
          </cell>
          <cell r="AD420">
            <v>6.1787301038944115E-2</v>
          </cell>
          <cell r="AE420">
            <v>1.8802002499999999</v>
          </cell>
          <cell r="AF420">
            <v>14.187463011153994</v>
          </cell>
          <cell r="AG420">
            <v>8.1819323107110566</v>
          </cell>
          <cell r="AH420">
            <v>202405</v>
          </cell>
          <cell r="AJ420" t="str">
            <v>LZC:Quota for the month is 225k bopd.(due to ongoing NMGL related works)</v>
          </cell>
        </row>
        <row r="421">
          <cell r="C421">
            <v>45429</v>
          </cell>
          <cell r="D421">
            <v>350220</v>
          </cell>
          <cell r="E421">
            <v>27151</v>
          </cell>
          <cell r="F421">
            <v>29667</v>
          </cell>
          <cell r="G421">
            <v>4150</v>
          </cell>
          <cell r="H421">
            <v>2502</v>
          </cell>
          <cell r="I421">
            <v>155400</v>
          </cell>
          <cell r="J421">
            <v>169818</v>
          </cell>
          <cell r="K421">
            <v>44205.11</v>
          </cell>
          <cell r="L421">
            <v>0</v>
          </cell>
          <cell r="M421">
            <v>215607</v>
          </cell>
          <cell r="N421">
            <v>7642</v>
          </cell>
          <cell r="O421">
            <v>4441</v>
          </cell>
          <cell r="P421">
            <v>186.681264</v>
          </cell>
          <cell r="Q421">
            <v>0</v>
          </cell>
          <cell r="R421">
            <v>138374.01606879997</v>
          </cell>
          <cell r="S421">
            <v>12.721614511803866</v>
          </cell>
          <cell r="T421">
            <v>0.27106999999999998</v>
          </cell>
          <cell r="U421">
            <v>4.4085041073547273E-3</v>
          </cell>
          <cell r="V421">
            <v>1.7000000000000001E-2</v>
          </cell>
          <cell r="W421">
            <v>0.31201999999999996</v>
          </cell>
          <cell r="X421">
            <v>7.59</v>
          </cell>
          <cell r="Y421">
            <v>10.36</v>
          </cell>
          <cell r="AC421">
            <v>0.22087119528128513</v>
          </cell>
          <cell r="AD421">
            <v>6.7167496821436953E-2</v>
          </cell>
          <cell r="AE421">
            <v>1.8720002499999999</v>
          </cell>
          <cell r="AF421">
            <v>14.139324417310638</v>
          </cell>
          <cell r="AG421">
            <v>8.199512241750142</v>
          </cell>
          <cell r="AH421">
            <v>202405</v>
          </cell>
        </row>
        <row r="422">
          <cell r="C422">
            <v>45430</v>
          </cell>
          <cell r="D422">
            <v>379542</v>
          </cell>
          <cell r="E422">
            <v>24157</v>
          </cell>
          <cell r="F422">
            <v>29513</v>
          </cell>
          <cell r="G422">
            <v>4232</v>
          </cell>
          <cell r="H422">
            <v>2527</v>
          </cell>
          <cell r="I422">
            <v>155400</v>
          </cell>
          <cell r="J422">
            <v>169818</v>
          </cell>
          <cell r="K422">
            <v>52677.2</v>
          </cell>
          <cell r="L422">
            <v>0</v>
          </cell>
          <cell r="M422">
            <v>194900</v>
          </cell>
          <cell r="N422">
            <v>7636</v>
          </cell>
          <cell r="O422">
            <v>4455</v>
          </cell>
          <cell r="P422">
            <v>134.60171999999997</v>
          </cell>
          <cell r="Q422">
            <v>0</v>
          </cell>
          <cell r="R422">
            <v>139472.42097400001</v>
          </cell>
          <cell r="S422">
            <v>11.232999289247822</v>
          </cell>
          <cell r="T422">
            <v>0.28178599999999998</v>
          </cell>
          <cell r="U422">
            <v>4.2168275533984428E-3</v>
          </cell>
          <cell r="V422">
            <v>1.7000000000000001E-2</v>
          </cell>
          <cell r="W422">
            <v>0.30582999999999999</v>
          </cell>
          <cell r="X422">
            <v>7.59</v>
          </cell>
          <cell r="Y422">
            <v>10.1</v>
          </cell>
          <cell r="AC422">
            <v>0.22455238186930654</v>
          </cell>
          <cell r="AD422">
            <v>6.572333900613625E-2</v>
          </cell>
          <cell r="AE422">
            <v>1.88110025</v>
          </cell>
          <cell r="AF422">
            <v>14.171435691086147</v>
          </cell>
          <cell r="AG422">
            <v>8.1034755604617263</v>
          </cell>
          <cell r="AH422">
            <v>202405</v>
          </cell>
          <cell r="AJ422" t="str">
            <v>LZC:Quota for the month is 225k due to NMGL related works.</v>
          </cell>
        </row>
        <row r="423">
          <cell r="C423">
            <v>45431</v>
          </cell>
          <cell r="D423">
            <v>379760</v>
          </cell>
          <cell r="E423">
            <v>22541</v>
          </cell>
          <cell r="F423">
            <v>29393</v>
          </cell>
          <cell r="G423">
            <v>4260</v>
          </cell>
          <cell r="H423">
            <v>2504</v>
          </cell>
          <cell r="I423">
            <v>155400</v>
          </cell>
          <cell r="J423">
            <v>170755</v>
          </cell>
          <cell r="K423">
            <v>54152.52</v>
          </cell>
          <cell r="L423">
            <v>0</v>
          </cell>
          <cell r="M423">
            <v>214670</v>
          </cell>
          <cell r="N423">
            <v>7642</v>
          </cell>
          <cell r="O423">
            <v>3383</v>
          </cell>
          <cell r="P423">
            <v>165.799128</v>
          </cell>
          <cell r="Q423">
            <v>0</v>
          </cell>
          <cell r="R423">
            <v>139937.2856076</v>
          </cell>
          <cell r="S423">
            <v>11.168436939857909</v>
          </cell>
          <cell r="T423">
            <v>0.283165</v>
          </cell>
          <cell r="U423">
            <v>4.5398941517271838E-3</v>
          </cell>
          <cell r="V423">
            <v>1.7000000000000001E-2</v>
          </cell>
          <cell r="W423">
            <v>0.30351999999999996</v>
          </cell>
          <cell r="X423">
            <v>7.59</v>
          </cell>
          <cell r="Y423">
            <v>10.46</v>
          </cell>
          <cell r="Z423">
            <v>0</v>
          </cell>
          <cell r="AC423">
            <v>0.22313654087391369</v>
          </cell>
          <cell r="AD423">
            <v>6.9461159233973377E-2</v>
          </cell>
          <cell r="AE423">
            <v>1.87110025</v>
          </cell>
          <cell r="AF423">
            <v>14.13731392309718</v>
          </cell>
          <cell r="AG423">
            <v>8.1849113318331685</v>
          </cell>
          <cell r="AH423">
            <v>202405</v>
          </cell>
        </row>
        <row r="424">
          <cell r="C424">
            <v>45432</v>
          </cell>
          <cell r="D424">
            <v>344641</v>
          </cell>
          <cell r="E424">
            <v>19937</v>
          </cell>
          <cell r="F424">
            <v>29228</v>
          </cell>
          <cell r="G424">
            <v>4257</v>
          </cell>
          <cell r="H424">
            <v>2467</v>
          </cell>
          <cell r="I424">
            <v>148000</v>
          </cell>
          <cell r="J424">
            <v>171127</v>
          </cell>
          <cell r="K424">
            <v>54519.64</v>
          </cell>
          <cell r="L424">
            <v>15488</v>
          </cell>
          <cell r="M424">
            <v>210126</v>
          </cell>
          <cell r="N424">
            <v>7714</v>
          </cell>
          <cell r="O424">
            <v>3841</v>
          </cell>
          <cell r="P424">
            <v>60.256283999999994</v>
          </cell>
          <cell r="Q424">
            <v>0</v>
          </cell>
          <cell r="R424">
            <v>140675.80242780002</v>
          </cell>
          <cell r="S424">
            <v>11.393272489926288</v>
          </cell>
          <cell r="T424">
            <v>0.217777</v>
          </cell>
          <cell r="U424">
            <v>4.4694135869765284E-3</v>
          </cell>
          <cell r="V424">
            <v>1.7000000000000001E-2</v>
          </cell>
          <cell r="W424">
            <v>0.30231999999999998</v>
          </cell>
          <cell r="X424">
            <v>7.59</v>
          </cell>
          <cell r="Y424">
            <v>10.15</v>
          </cell>
          <cell r="AB424">
            <v>0</v>
          </cell>
          <cell r="AC424">
            <v>0.21973852248497083</v>
          </cell>
          <cell r="AD424">
            <v>6.9177991034894817E-2</v>
          </cell>
          <cell r="AE424">
            <v>1.86330025</v>
          </cell>
          <cell r="AF424">
            <v>14.148329166041336</v>
          </cell>
          <cell r="AG424">
            <v>8.0884764786425123</v>
          </cell>
          <cell r="AH424">
            <v>202405</v>
          </cell>
          <cell r="AJ424" t="str">
            <v>BC-10:Production Deferment due to mobo 6 trip and module fault._x000D_
LZC:Quota for the month is 225k due to NMGL related works.
Sakhalin-1:Less production due to ongoing maintenance work of GTC1 &amp; GIC1 in Train 1 of Odoptu.</v>
          </cell>
        </row>
        <row r="425">
          <cell r="C425">
            <v>45433</v>
          </cell>
          <cell r="D425">
            <v>315723</v>
          </cell>
          <cell r="E425">
            <v>16616</v>
          </cell>
          <cell r="F425">
            <v>28466</v>
          </cell>
          <cell r="G425">
            <v>3926</v>
          </cell>
          <cell r="H425">
            <v>2469</v>
          </cell>
          <cell r="I425">
            <v>148000</v>
          </cell>
          <cell r="J425">
            <v>170614</v>
          </cell>
          <cell r="K425">
            <v>51821.93</v>
          </cell>
          <cell r="L425">
            <v>41853</v>
          </cell>
          <cell r="M425">
            <v>221330</v>
          </cell>
          <cell r="N425">
            <v>7847</v>
          </cell>
          <cell r="O425">
            <v>4226</v>
          </cell>
          <cell r="P425">
            <v>203.34923399999997</v>
          </cell>
          <cell r="Q425">
            <v>0</v>
          </cell>
          <cell r="R425">
            <v>144648.15720530003</v>
          </cell>
          <cell r="S425">
            <v>10.799751944657606</v>
          </cell>
          <cell r="T425">
            <v>0.17602400000000001</v>
          </cell>
          <cell r="U425">
            <v>4.473887644521969E-3</v>
          </cell>
          <cell r="V425">
            <v>1.7000000000000001E-2</v>
          </cell>
          <cell r="W425">
            <v>0.30129</v>
          </cell>
          <cell r="X425">
            <v>7.59</v>
          </cell>
          <cell r="Y425">
            <v>10.36</v>
          </cell>
          <cell r="AC425">
            <v>0.22540188646654225</v>
          </cell>
          <cell r="AD425">
            <v>6.5638388546412685E-2</v>
          </cell>
          <cell r="AE425">
            <v>1.84740025</v>
          </cell>
          <cell r="AF425">
            <v>14.113952546673199</v>
          </cell>
          <cell r="AG425">
            <v>8.1032740796370835</v>
          </cell>
          <cell r="AH425">
            <v>202405</v>
          </cell>
          <cell r="AJ425" t="str">
            <v>BC-10:Production Deferment due to mobo 6 trip.</v>
          </cell>
        </row>
        <row r="426">
          <cell r="C426">
            <v>45434</v>
          </cell>
          <cell r="D426">
            <v>328575</v>
          </cell>
          <cell r="E426">
            <v>18962</v>
          </cell>
          <cell r="F426">
            <v>28732</v>
          </cell>
          <cell r="G426">
            <v>4103</v>
          </cell>
          <cell r="H426">
            <v>2475</v>
          </cell>
          <cell r="I426">
            <v>148000</v>
          </cell>
          <cell r="J426">
            <v>170309</v>
          </cell>
          <cell r="K426">
            <v>53682.92</v>
          </cell>
          <cell r="L426">
            <v>41812</v>
          </cell>
          <cell r="M426">
            <v>208786</v>
          </cell>
          <cell r="N426">
            <v>7854</v>
          </cell>
          <cell r="O426">
            <v>3876</v>
          </cell>
          <cell r="P426">
            <v>75.980784</v>
          </cell>
          <cell r="Q426">
            <v>0</v>
          </cell>
          <cell r="R426">
            <v>145536.9088528</v>
          </cell>
          <cell r="S426">
            <v>8.8481567166080985</v>
          </cell>
          <cell r="T426">
            <v>0.21050099999999999</v>
          </cell>
          <cell r="U426">
            <v>4.3886823334192276E-3</v>
          </cell>
          <cell r="V426">
            <v>1.7000000000000001E-2</v>
          </cell>
          <cell r="W426">
            <v>0.30122000000000004</v>
          </cell>
          <cell r="X426">
            <v>7.59</v>
          </cell>
          <cell r="Y426">
            <v>10.51</v>
          </cell>
          <cell r="AC426">
            <v>0.22313654087391369</v>
          </cell>
          <cell r="AD426">
            <v>6.572333900613625E-2</v>
          </cell>
          <cell r="AE426">
            <v>1.8587002500000001</v>
          </cell>
          <cell r="AF426">
            <v>14.075979691176761</v>
          </cell>
          <cell r="AG426">
            <v>8.104785782885676</v>
          </cell>
          <cell r="AH426">
            <v>202405</v>
          </cell>
        </row>
        <row r="427">
          <cell r="C427">
            <v>45435</v>
          </cell>
          <cell r="D427">
            <v>334091</v>
          </cell>
          <cell r="E427">
            <v>25208</v>
          </cell>
          <cell r="F427">
            <v>29009</v>
          </cell>
          <cell r="G427">
            <v>4101</v>
          </cell>
          <cell r="H427">
            <v>2504</v>
          </cell>
          <cell r="I427">
            <v>148000</v>
          </cell>
          <cell r="J427">
            <v>171671</v>
          </cell>
          <cell r="K427">
            <v>51121.97</v>
          </cell>
          <cell r="L427">
            <v>12281</v>
          </cell>
          <cell r="M427">
            <v>219816</v>
          </cell>
          <cell r="N427">
            <v>7841</v>
          </cell>
          <cell r="O427">
            <v>4380</v>
          </cell>
          <cell r="P427">
            <v>205.04748000000001</v>
          </cell>
          <cell r="Q427">
            <v>0</v>
          </cell>
          <cell r="R427">
            <v>140861.62721599999</v>
          </cell>
          <cell r="S427">
            <v>8.9130022341970907</v>
          </cell>
          <cell r="T427">
            <v>0.22914300000000001</v>
          </cell>
          <cell r="U427">
            <v>4.4218696463512366E-3</v>
          </cell>
          <cell r="V427">
            <v>1.7000000000000001E-2</v>
          </cell>
          <cell r="W427">
            <v>0.29932999999999998</v>
          </cell>
          <cell r="X427">
            <v>7.59</v>
          </cell>
          <cell r="Y427">
            <v>9.98</v>
          </cell>
          <cell r="AC427">
            <v>0.21775634509142086</v>
          </cell>
          <cell r="AD427">
            <v>6.9631060153420535E-2</v>
          </cell>
          <cell r="AE427">
            <v>1.8720002499999999</v>
          </cell>
          <cell r="AF427">
            <v>14.067796130223391</v>
          </cell>
          <cell r="AG427">
            <v>7.9772153470218008</v>
          </cell>
          <cell r="AH427">
            <v>202405</v>
          </cell>
        </row>
        <row r="428">
          <cell r="C428">
            <v>45436</v>
          </cell>
          <cell r="D428">
            <v>341698</v>
          </cell>
          <cell r="E428">
            <v>34409</v>
          </cell>
          <cell r="F428">
            <v>28862</v>
          </cell>
          <cell r="G428">
            <v>4136</v>
          </cell>
          <cell r="H428">
            <v>2415</v>
          </cell>
          <cell r="I428">
            <v>148000</v>
          </cell>
          <cell r="J428">
            <v>175882</v>
          </cell>
          <cell r="K428">
            <v>54073.39</v>
          </cell>
          <cell r="L428">
            <v>0</v>
          </cell>
          <cell r="M428">
            <v>215247</v>
          </cell>
          <cell r="N428">
            <v>7563</v>
          </cell>
          <cell r="O428">
            <v>3097</v>
          </cell>
          <cell r="P428">
            <v>103.02692399999999</v>
          </cell>
          <cell r="Q428">
            <v>0</v>
          </cell>
          <cell r="R428">
            <v>141444.69341579999</v>
          </cell>
          <cell r="S428">
            <v>8.7626399204863699</v>
          </cell>
          <cell r="T428">
            <v>0.23775399999999999</v>
          </cell>
          <cell r="U428">
            <v>4.5082359470701994E-3</v>
          </cell>
          <cell r="V428">
            <v>1.7000000000000001E-2</v>
          </cell>
          <cell r="W428">
            <v>0.29669999999999996</v>
          </cell>
          <cell r="X428">
            <v>7.59</v>
          </cell>
          <cell r="Y428">
            <v>9.92</v>
          </cell>
          <cell r="AC428">
            <v>0.21662367229510657</v>
          </cell>
          <cell r="AD428">
            <v>6.9772644252959815E-2</v>
          </cell>
          <cell r="AE428">
            <v>1.8643002500000001</v>
          </cell>
          <cell r="AF428">
            <v>14.045567426595722</v>
          </cell>
          <cell r="AG428">
            <v>7.9505855640011021</v>
          </cell>
          <cell r="AH428">
            <v>202405</v>
          </cell>
          <cell r="AJ428" t="str">
            <v>LZC:LZGPF under s/d and LTDP project activities planned for 28 days from 1st May 24.</v>
          </cell>
        </row>
        <row r="429">
          <cell r="C429">
            <v>45437</v>
          </cell>
          <cell r="D429">
            <v>353180</v>
          </cell>
          <cell r="E429">
            <v>31472</v>
          </cell>
          <cell r="F429">
            <v>28693</v>
          </cell>
          <cell r="G429">
            <v>4172</v>
          </cell>
          <cell r="H429">
            <v>2466</v>
          </cell>
          <cell r="I429">
            <v>148000</v>
          </cell>
          <cell r="J429">
            <v>177667</v>
          </cell>
          <cell r="K429">
            <v>53869.279999999999</v>
          </cell>
          <cell r="L429">
            <v>0</v>
          </cell>
          <cell r="M429">
            <v>214702</v>
          </cell>
          <cell r="N429">
            <v>7750</v>
          </cell>
          <cell r="O429">
            <v>4297</v>
          </cell>
          <cell r="P429">
            <v>103.02692399999999</v>
          </cell>
          <cell r="Q429">
            <v>0</v>
          </cell>
          <cell r="R429">
            <v>141759.48011579996</v>
          </cell>
          <cell r="S429">
            <v>8.9481150908828333</v>
          </cell>
          <cell r="T429">
            <v>0.27437499999999998</v>
          </cell>
          <cell r="U429">
            <v>4.1484990669607832E-3</v>
          </cell>
          <cell r="V429">
            <v>1.7000000000000001E-2</v>
          </cell>
          <cell r="W429">
            <v>0.29304000000000002</v>
          </cell>
          <cell r="X429">
            <v>7.59</v>
          </cell>
          <cell r="Y429">
            <v>10.33</v>
          </cell>
          <cell r="AC429">
            <v>0.21662367229510657</v>
          </cell>
          <cell r="AD429">
            <v>6.4505715750098391E-2</v>
          </cell>
          <cell r="AE429">
            <v>1.8643002500000001</v>
          </cell>
          <cell r="AF429">
            <v>13.924144902830831</v>
          </cell>
          <cell r="AG429">
            <v>8.0446972941800077</v>
          </cell>
          <cell r="AH429">
            <v>202405</v>
          </cell>
          <cell r="AJ429" t="str">
            <v>LZC:LZGPF under s/d and LTDP project activities planned for 28 days from 1st May 24.</v>
          </cell>
        </row>
        <row r="430">
          <cell r="C430">
            <v>45438</v>
          </cell>
          <cell r="D430">
            <v>348462</v>
          </cell>
          <cell r="E430">
            <v>28063</v>
          </cell>
          <cell r="F430">
            <v>28602.07</v>
          </cell>
          <cell r="G430">
            <v>4213</v>
          </cell>
          <cell r="H430">
            <v>2486</v>
          </cell>
          <cell r="I430">
            <v>148000</v>
          </cell>
          <cell r="J430">
            <v>175056</v>
          </cell>
          <cell r="K430">
            <v>52766.66</v>
          </cell>
          <cell r="L430">
            <v>0</v>
          </cell>
          <cell r="M430">
            <v>231400</v>
          </cell>
          <cell r="N430">
            <v>7607</v>
          </cell>
          <cell r="O430">
            <v>4021</v>
          </cell>
          <cell r="P430">
            <v>124.34934599999998</v>
          </cell>
          <cell r="Q430">
            <v>0</v>
          </cell>
          <cell r="R430">
            <v>140303.78340569997</v>
          </cell>
          <cell r="S430">
            <v>9.1661546041733342</v>
          </cell>
          <cell r="T430">
            <v>0.27740399999999998</v>
          </cell>
          <cell r="U430">
            <v>4.4832038782716549E-3</v>
          </cell>
          <cell r="V430">
            <v>1.7000000000000001E-2</v>
          </cell>
          <cell r="W430">
            <v>0.28425</v>
          </cell>
          <cell r="X430">
            <v>7.59</v>
          </cell>
          <cell r="Y430">
            <v>10.29</v>
          </cell>
          <cell r="AC430">
            <v>0.21719000869326369</v>
          </cell>
          <cell r="AD430">
            <v>6.5921556745491244E-2</v>
          </cell>
          <cell r="AE430">
            <v>1.85140024</v>
          </cell>
          <cell r="AF430">
            <v>1.7585028330978316</v>
          </cell>
          <cell r="AG430">
            <v>5.9582606073522806</v>
          </cell>
          <cell r="AH430">
            <v>202405</v>
          </cell>
          <cell r="AJ430" t="str">
            <v>A1-A3: s/d due to HP/LP mode switching of compressor.</v>
          </cell>
        </row>
        <row r="431">
          <cell r="C431">
            <v>45439</v>
          </cell>
          <cell r="D431">
            <v>344246</v>
          </cell>
          <cell r="E431">
            <v>27711</v>
          </cell>
          <cell r="F431">
            <v>28503.08</v>
          </cell>
          <cell r="G431">
            <v>4241</v>
          </cell>
          <cell r="H431">
            <v>2050</v>
          </cell>
          <cell r="I431">
            <v>148000</v>
          </cell>
          <cell r="J431">
            <v>176544</v>
          </cell>
          <cell r="K431">
            <v>53817.95</v>
          </cell>
          <cell r="L431">
            <v>0</v>
          </cell>
          <cell r="M431">
            <v>226741</v>
          </cell>
          <cell r="N431">
            <v>7625</v>
          </cell>
          <cell r="O431">
            <v>4227</v>
          </cell>
          <cell r="P431">
            <v>160.830186</v>
          </cell>
          <cell r="Q431">
            <v>0</v>
          </cell>
          <cell r="R431">
            <v>140184.19968370002</v>
          </cell>
          <cell r="S431">
            <v>9.0053150670967064</v>
          </cell>
          <cell r="T431">
            <v>0.27925</v>
          </cell>
          <cell r="U431">
            <v>4.5507961273917093E-3</v>
          </cell>
          <cell r="V431">
            <v>1.7000000000000001E-2</v>
          </cell>
          <cell r="W431">
            <v>0.15606</v>
          </cell>
          <cell r="X431">
            <v>7.59</v>
          </cell>
          <cell r="Y431">
            <v>10.44</v>
          </cell>
          <cell r="AC431">
            <v>0.21520783129971369</v>
          </cell>
          <cell r="AD431">
            <v>6.9461159233973377E-2</v>
          </cell>
          <cell r="AE431">
            <v>1.8313002</v>
          </cell>
          <cell r="AF431">
            <v>11.319450540426507</v>
          </cell>
          <cell r="AG431">
            <v>7.4834148423481732</v>
          </cell>
          <cell r="AH431">
            <v>202405</v>
          </cell>
          <cell r="AJ431" t="str">
            <v>IEC:APG plant s/d due to non evacuation of LPG (through tankers) from plant.
B-06.1:Lower Prod'n  due to well testing of well LD P2(under s/d).
LZC: LZ GPF under s/d and LTDP project activities planned for 28 days from 1st May 24.</v>
          </cell>
        </row>
        <row r="432">
          <cell r="C432">
            <v>45440</v>
          </cell>
          <cell r="D432">
            <v>346652</v>
          </cell>
          <cell r="E432">
            <v>29371</v>
          </cell>
          <cell r="F432">
            <v>28326.48</v>
          </cell>
          <cell r="G432">
            <v>4275</v>
          </cell>
          <cell r="H432">
            <v>1887</v>
          </cell>
          <cell r="I432">
            <v>148000</v>
          </cell>
          <cell r="J432">
            <v>177556</v>
          </cell>
          <cell r="K432">
            <v>53415.64</v>
          </cell>
          <cell r="L432">
            <v>16539</v>
          </cell>
          <cell r="M432">
            <v>256825</v>
          </cell>
          <cell r="N432">
            <v>7700</v>
          </cell>
          <cell r="O432">
            <v>4216</v>
          </cell>
          <cell r="P432">
            <v>85.16389199999999</v>
          </cell>
          <cell r="Q432">
            <v>0</v>
          </cell>
          <cell r="R432">
            <v>145744.0947014</v>
          </cell>
          <cell r="S432">
            <v>8.9931388345363228</v>
          </cell>
          <cell r="T432">
            <v>0.27632499999999999</v>
          </cell>
          <cell r="U432">
            <v>4.4490537934627787E-3</v>
          </cell>
          <cell r="V432">
            <v>1.7000000000000001E-2</v>
          </cell>
          <cell r="W432">
            <v>7.8950000000000006E-2</v>
          </cell>
          <cell r="X432">
            <v>7.59</v>
          </cell>
          <cell r="Y432">
            <v>10.63</v>
          </cell>
          <cell r="AC432">
            <v>0.21152664471169227</v>
          </cell>
          <cell r="AD432">
            <v>7.0792049769642665E-2</v>
          </cell>
          <cell r="AE432">
            <v>1.7656002500000001</v>
          </cell>
          <cell r="AF432">
            <v>14.323157212152401</v>
          </cell>
          <cell r="AG432">
            <v>7.9357551841252647</v>
          </cell>
          <cell r="AH432">
            <v>202405</v>
          </cell>
          <cell r="AJ432" t="str">
            <v>_x000D_IEC:APG plant s/d due to non evacuation of LPG (through tankers) from plant.
B-06.1:Lower Prod'n  due to well testing of well LD P2(under s/d).
LZC: LZ GPF under s/d and LTDP project activities planned for 28 days from 1st May 24.</v>
          </cell>
        </row>
        <row r="433">
          <cell r="C433">
            <v>45441</v>
          </cell>
          <cell r="D433">
            <v>350419</v>
          </cell>
          <cell r="E433">
            <v>31962</v>
          </cell>
          <cell r="F433">
            <v>28256.66</v>
          </cell>
          <cell r="G433">
            <v>4213</v>
          </cell>
          <cell r="H433">
            <v>1871</v>
          </cell>
          <cell r="I433">
            <v>148000</v>
          </cell>
          <cell r="J433">
            <v>177496</v>
          </cell>
          <cell r="K433">
            <v>54692.45</v>
          </cell>
          <cell r="L433">
            <v>39274</v>
          </cell>
          <cell r="M433">
            <v>320853</v>
          </cell>
          <cell r="N433">
            <v>7777</v>
          </cell>
          <cell r="O433">
            <v>4216</v>
          </cell>
          <cell r="P433">
            <v>160.95598199999998</v>
          </cell>
          <cell r="Q433">
            <v>0</v>
          </cell>
          <cell r="R433">
            <v>154826.92609189998</v>
          </cell>
          <cell r="S433">
            <v>8.8883666008772568</v>
          </cell>
          <cell r="T433">
            <v>0.27711400000000003</v>
          </cell>
          <cell r="U433">
            <v>4.2335911107838943E-3</v>
          </cell>
          <cell r="V433">
            <v>1.7000000000000001E-2</v>
          </cell>
          <cell r="W433">
            <v>7.9430000000000001E-2</v>
          </cell>
          <cell r="X433">
            <v>7.59</v>
          </cell>
          <cell r="Y433">
            <v>10.55</v>
          </cell>
          <cell r="Z433">
            <v>0</v>
          </cell>
          <cell r="AC433">
            <v>0.21265931750800657</v>
          </cell>
          <cell r="AD433">
            <v>7.1075217968721224E-2</v>
          </cell>
          <cell r="AE433">
            <v>1.75400025</v>
          </cell>
          <cell r="AF433">
            <v>15.1699150778571</v>
          </cell>
          <cell r="AG433">
            <v>8.0520438501068909</v>
          </cell>
          <cell r="AH433">
            <v>202405</v>
          </cell>
          <cell r="AJ433" t="str">
            <v>IEC:Production deferment due to APG plant s/d.
Sakhalin-1:Less production due to ongoing maintenance work of GTC1 &amp; GIC1 in Train 1 of Odoptu.
B-06.1:Lower Prod'n  due to well testing of well LD P2(under s/d).
LZC:Prod'n being restored after planned s/d(LTDP project activities) of 28 days from 1st May.</v>
          </cell>
        </row>
        <row r="434">
          <cell r="C434">
            <v>45442</v>
          </cell>
          <cell r="D434">
            <v>368282</v>
          </cell>
          <cell r="E434">
            <v>31742</v>
          </cell>
          <cell r="F434">
            <v>28160.73</v>
          </cell>
          <cell r="G434">
            <v>4281</v>
          </cell>
          <cell r="H434">
            <v>1898</v>
          </cell>
          <cell r="I434">
            <v>148000</v>
          </cell>
          <cell r="J434">
            <v>177526</v>
          </cell>
          <cell r="K434">
            <v>55661.23</v>
          </cell>
          <cell r="L434">
            <v>37358</v>
          </cell>
          <cell r="M434">
            <v>326698</v>
          </cell>
          <cell r="N434">
            <v>7818</v>
          </cell>
          <cell r="O434">
            <v>4005</v>
          </cell>
          <cell r="P434">
            <v>112.58741999999998</v>
          </cell>
          <cell r="Q434">
            <v>0</v>
          </cell>
          <cell r="R434">
            <v>155093.91453900002</v>
          </cell>
          <cell r="S434">
            <v>7.8565016834349413</v>
          </cell>
          <cell r="T434">
            <v>0.27857900000000002</v>
          </cell>
          <cell r="U434">
            <v>4.4298833063851593E-3</v>
          </cell>
          <cell r="V434">
            <v>1.7000000000000001E-2</v>
          </cell>
          <cell r="W434">
            <v>7.8370000000000009E-2</v>
          </cell>
          <cell r="X434">
            <v>7.59</v>
          </cell>
          <cell r="Y434">
            <v>10.61</v>
          </cell>
          <cell r="AC434">
            <v>0.21492466310063513</v>
          </cell>
          <cell r="AD434">
            <v>7.2094623485404088E-2</v>
          </cell>
          <cell r="AE434">
            <v>1.84740025</v>
          </cell>
          <cell r="AF434">
            <v>14.557847015548765</v>
          </cell>
          <cell r="AG434">
            <v>7.9819161046803391</v>
          </cell>
          <cell r="AH434">
            <v>202405</v>
          </cell>
          <cell r="AJ434" t="str">
            <v>Sakhalin-1:Less production due to ongoing maintenance work of GTC1 &amp; GIC1 in Train 1 of Odoptu.
LZC:Prod'n being restored after planned s/d(LTDP project activities) of 28 days from 1st May.
IEC:Production deferment due to APG plant s/d.</v>
          </cell>
        </row>
        <row r="435">
          <cell r="C435">
            <v>45443</v>
          </cell>
          <cell r="D435">
            <v>371751</v>
          </cell>
          <cell r="E435">
            <v>31509</v>
          </cell>
          <cell r="F435">
            <v>28063.02</v>
          </cell>
          <cell r="G435">
            <v>4304</v>
          </cell>
          <cell r="H435">
            <v>1903</v>
          </cell>
          <cell r="I435">
            <v>148000</v>
          </cell>
          <cell r="J435">
            <v>177496</v>
          </cell>
          <cell r="K435">
            <v>56600</v>
          </cell>
          <cell r="L435">
            <v>16994</v>
          </cell>
          <cell r="M435">
            <v>358528</v>
          </cell>
          <cell r="N435">
            <v>7831</v>
          </cell>
          <cell r="O435">
            <v>4014.0000000000005</v>
          </cell>
          <cell r="P435">
            <v>91.831079999999986</v>
          </cell>
          <cell r="Q435">
            <v>0</v>
          </cell>
          <cell r="R435">
            <v>151642.20858599999</v>
          </cell>
          <cell r="S435">
            <v>9.0712932574820115</v>
          </cell>
          <cell r="T435">
            <v>0.28636899999999998</v>
          </cell>
          <cell r="U435">
            <v>4.4670916077440836E-3</v>
          </cell>
          <cell r="V435">
            <v>1.7000000000000001E-2</v>
          </cell>
          <cell r="W435">
            <v>7.7980000000000008E-2</v>
          </cell>
          <cell r="X435">
            <v>7.59</v>
          </cell>
          <cell r="Y435">
            <v>10.7</v>
          </cell>
          <cell r="AC435">
            <v>0.21322565390616371</v>
          </cell>
          <cell r="AD435">
            <v>6.9064723755263388E-2</v>
          </cell>
          <cell r="AE435">
            <v>1.8362002500000001</v>
          </cell>
          <cell r="AF435">
            <v>16.008007996669942</v>
          </cell>
          <cell r="AG435">
            <v>8.2752056517389292</v>
          </cell>
          <cell r="AH435">
            <v>202405</v>
          </cell>
          <cell r="AJ435" t="str">
            <v>IEC:APG plant s/d due to non evacuation of LPG (through tankers) from plant.
LZC:Prod'n being restored after planned s/d(LTDP project activities) of 28 days from 1st May.</v>
          </cell>
        </row>
        <row r="436">
          <cell r="C436">
            <v>45444</v>
          </cell>
          <cell r="D436">
            <v>339127</v>
          </cell>
          <cell r="E436">
            <v>31604</v>
          </cell>
          <cell r="F436">
            <v>27943.35</v>
          </cell>
          <cell r="G436">
            <v>4317</v>
          </cell>
          <cell r="H436">
            <v>1894</v>
          </cell>
          <cell r="I436">
            <v>148000</v>
          </cell>
          <cell r="J436">
            <v>176254</v>
          </cell>
          <cell r="K436">
            <v>54340.45</v>
          </cell>
          <cell r="L436">
            <v>9292</v>
          </cell>
          <cell r="M436">
            <v>354475</v>
          </cell>
          <cell r="N436">
            <v>7862</v>
          </cell>
          <cell r="O436">
            <v>3826</v>
          </cell>
          <cell r="P436">
            <v>141.83499</v>
          </cell>
          <cell r="Q436">
            <v>0</v>
          </cell>
          <cell r="R436">
            <v>147870.65194550002</v>
          </cell>
          <cell r="S436">
            <v>9.1788971731318707</v>
          </cell>
          <cell r="T436">
            <v>0.27870499999999998</v>
          </cell>
          <cell r="U436">
            <v>4.5216581197065247E-3</v>
          </cell>
          <cell r="V436">
            <v>1.7000000000000001E-2</v>
          </cell>
          <cell r="W436">
            <v>7.8599999999999989E-2</v>
          </cell>
          <cell r="X436">
            <v>6.77</v>
          </cell>
          <cell r="Y436">
            <v>10.66</v>
          </cell>
          <cell r="AC436">
            <v>0.22426921367022795</v>
          </cell>
          <cell r="AD436">
            <v>6.2438587896824833E-2</v>
          </cell>
          <cell r="AE436">
            <v>1.8032002499999999</v>
          </cell>
          <cell r="AF436">
            <v>16.008007996669942</v>
          </cell>
          <cell r="AG436">
            <v>8.0855945559794868</v>
          </cell>
          <cell r="AH436">
            <v>202406</v>
          </cell>
          <cell r="AJ436" t="str">
            <v>LZC:Prod'n being restored after planned s/d(LTDP project activities) of 28 days from 1st May. Quota for the June month is 417K bopd.
IEC:APG plant s/d due to non evacuation of LPG (through tankers) from plant.</v>
          </cell>
        </row>
        <row r="437">
          <cell r="C437">
            <v>45445</v>
          </cell>
          <cell r="D437">
            <v>357345</v>
          </cell>
          <cell r="E437">
            <v>31000</v>
          </cell>
          <cell r="F437">
            <v>27870.46</v>
          </cell>
          <cell r="G437">
            <v>4305</v>
          </cell>
          <cell r="H437">
            <v>1953</v>
          </cell>
          <cell r="I437">
            <v>148000</v>
          </cell>
          <cell r="J437">
            <v>176893</v>
          </cell>
          <cell r="K437">
            <v>51922.69</v>
          </cell>
          <cell r="L437">
            <v>13453</v>
          </cell>
          <cell r="M437">
            <v>367314</v>
          </cell>
          <cell r="N437">
            <v>7945</v>
          </cell>
          <cell r="O437">
            <v>4303</v>
          </cell>
          <cell r="P437">
            <v>143.91062399999998</v>
          </cell>
          <cell r="Q437">
            <v>0</v>
          </cell>
          <cell r="R437">
            <v>149410.35003080001</v>
          </cell>
          <cell r="S437">
            <v>8.7878418902043656</v>
          </cell>
          <cell r="T437">
            <v>2.6366540000000001E-2</v>
          </cell>
          <cell r="U437">
            <v>4.53757217249474E-3</v>
          </cell>
          <cell r="V437">
            <v>1.7000000000000001E-2</v>
          </cell>
          <cell r="W437">
            <v>7.6249999999999998E-2</v>
          </cell>
          <cell r="X437">
            <v>6.77</v>
          </cell>
          <cell r="Y437">
            <v>10.64</v>
          </cell>
          <cell r="AC437">
            <v>0.21549099949879227</v>
          </cell>
          <cell r="AD437">
            <v>6.3373042953784112E-2</v>
          </cell>
          <cell r="AE437">
            <v>1.78080025</v>
          </cell>
          <cell r="AF437">
            <v>15.8860474533268</v>
          </cell>
          <cell r="AG437">
            <v>7.9694858206764057</v>
          </cell>
          <cell r="AH437">
            <v>202406</v>
          </cell>
          <cell r="AJ437" t="str">
            <v>IEC:APG plant s/d due to non evacuation of LPG (through tankers) from plant.
LZC:Prod'n being restored after planned s/d(LTDP project activities) of 28 days from 1st May. Quota for the June month is 417k bopd.</v>
          </cell>
        </row>
        <row r="438">
          <cell r="C438">
            <v>45446</v>
          </cell>
          <cell r="D438">
            <v>356665</v>
          </cell>
          <cell r="E438">
            <v>25321</v>
          </cell>
          <cell r="F438">
            <v>27741.85</v>
          </cell>
          <cell r="G438">
            <v>4314</v>
          </cell>
          <cell r="H438">
            <v>1905</v>
          </cell>
          <cell r="I438">
            <v>155480</v>
          </cell>
          <cell r="J438">
            <v>175651</v>
          </cell>
          <cell r="K438">
            <v>54615.85</v>
          </cell>
          <cell r="L438">
            <v>13380</v>
          </cell>
          <cell r="M438">
            <v>384749</v>
          </cell>
          <cell r="N438">
            <v>7758</v>
          </cell>
          <cell r="O438">
            <v>3087</v>
          </cell>
          <cell r="P438">
            <v>94.975979999999993</v>
          </cell>
          <cell r="Q438">
            <v>0</v>
          </cell>
          <cell r="R438">
            <v>149724.95319099998</v>
          </cell>
          <cell r="S438">
            <v>8.6734419377766176</v>
          </cell>
          <cell r="T438">
            <v>0.25343700000000002</v>
          </cell>
          <cell r="U438">
            <v>4.549606820955579E-3</v>
          </cell>
          <cell r="V438">
            <v>1.7000000000000001E-2</v>
          </cell>
          <cell r="W438">
            <v>7.6599999999999988E-2</v>
          </cell>
          <cell r="X438">
            <v>6.77</v>
          </cell>
          <cell r="Y438">
            <v>10.32</v>
          </cell>
          <cell r="AB438">
            <v>0</v>
          </cell>
          <cell r="AC438">
            <v>0.21634050409602798</v>
          </cell>
          <cell r="AD438">
            <v>6.459066620982197E-2</v>
          </cell>
          <cell r="AE438">
            <v>1.77880025</v>
          </cell>
          <cell r="AF438">
            <v>13.125837115988526</v>
          </cell>
          <cell r="AG438">
            <v>7.4757553676898496</v>
          </cell>
          <cell r="AH438">
            <v>202406</v>
          </cell>
          <cell r="AJ438" t="str">
            <v>A1&amp;A3: Prod'n deferment due to Buyer's Nomination.
IEC:APG plant s/d due to non evacuation of LPG (through tankers) from plant.
LZC:Prod'n being restored after planned s/d(LTDP project activities) of 28 days from 1st May. Quota for the June month is 417K bopd.</v>
          </cell>
        </row>
        <row r="439">
          <cell r="C439">
            <v>45447</v>
          </cell>
          <cell r="D439">
            <v>355511</v>
          </cell>
          <cell r="E439">
            <v>25553</v>
          </cell>
          <cell r="F439">
            <v>27777.599999999999</v>
          </cell>
          <cell r="G439">
            <v>4207</v>
          </cell>
          <cell r="H439">
            <v>1909</v>
          </cell>
          <cell r="I439">
            <v>155480</v>
          </cell>
          <cell r="J439">
            <v>173731</v>
          </cell>
          <cell r="K439">
            <v>54486.720000000001</v>
          </cell>
          <cell r="L439">
            <v>13490</v>
          </cell>
          <cell r="M439">
            <v>386119</v>
          </cell>
          <cell r="N439">
            <v>7321</v>
          </cell>
          <cell r="O439">
            <v>4232</v>
          </cell>
          <cell r="P439">
            <v>194.73220799999999</v>
          </cell>
          <cell r="Q439">
            <v>0</v>
          </cell>
          <cell r="R439">
            <v>149741.13609359998</v>
          </cell>
          <cell r="S439">
            <v>8.7705686300605699</v>
          </cell>
          <cell r="T439">
            <v>0.25049900000000003</v>
          </cell>
          <cell r="U439">
            <v>4.3808102574848431E-3</v>
          </cell>
          <cell r="V439">
            <v>1.7000000000000001E-2</v>
          </cell>
          <cell r="W439">
            <v>7.6480000000000006E-2</v>
          </cell>
          <cell r="X439">
            <v>6.77</v>
          </cell>
          <cell r="Y439">
            <v>10.71</v>
          </cell>
          <cell r="Z439">
            <v>0</v>
          </cell>
          <cell r="AA439">
            <v>0</v>
          </cell>
          <cell r="AB439">
            <v>0</v>
          </cell>
          <cell r="AC439">
            <v>0.21011080371629942</v>
          </cell>
          <cell r="AD439">
            <v>6.5525121266781255E-2</v>
          </cell>
          <cell r="AE439">
            <v>1.7997002499999999</v>
          </cell>
          <cell r="AF439">
            <v>13.100776730370072</v>
          </cell>
          <cell r="AG439">
            <v>7.5832008261130568</v>
          </cell>
          <cell r="AH439">
            <v>202406</v>
          </cell>
          <cell r="AJ439" t="str">
            <v>A1&amp;A3: Prod'n deferment due to Buyer's Nomination.
IEC:Prod'n deferment due to APG plant s/d.
LZC:Prod'n being restored after planned s/d(LTDP project activities) of 28 days from 1st May.</v>
          </cell>
        </row>
        <row r="440">
          <cell r="C440">
            <v>45448</v>
          </cell>
          <cell r="D440">
            <v>353167</v>
          </cell>
          <cell r="E440">
            <v>20396</v>
          </cell>
          <cell r="F440">
            <v>27723.21</v>
          </cell>
          <cell r="G440">
            <v>4229</v>
          </cell>
          <cell r="H440">
            <v>1913</v>
          </cell>
          <cell r="I440">
            <v>155480</v>
          </cell>
          <cell r="J440">
            <v>173144</v>
          </cell>
          <cell r="K440">
            <v>53562.59</v>
          </cell>
          <cell r="L440">
            <v>14498</v>
          </cell>
          <cell r="M440">
            <v>385780</v>
          </cell>
          <cell r="N440">
            <v>8547</v>
          </cell>
          <cell r="O440">
            <v>4062.0000000000005</v>
          </cell>
          <cell r="P440">
            <v>95.227571999999995</v>
          </cell>
          <cell r="Q440">
            <v>0</v>
          </cell>
          <cell r="R440">
            <v>148139.57710739999</v>
          </cell>
          <cell r="S440">
            <v>8.814176532718669</v>
          </cell>
          <cell r="T440">
            <v>0.24458299999999999</v>
          </cell>
          <cell r="U440">
            <v>4.4422294398649854E-3</v>
          </cell>
          <cell r="V440">
            <v>1.7000000000000001E-2</v>
          </cell>
          <cell r="W440">
            <v>8.0349999999999991E-2</v>
          </cell>
          <cell r="X440">
            <v>6.77</v>
          </cell>
          <cell r="Y440">
            <v>10.81</v>
          </cell>
          <cell r="AB440">
            <v>0</v>
          </cell>
          <cell r="AC440">
            <v>0.23587910983244936</v>
          </cell>
          <cell r="AD440">
            <v>6.8356803257566962E-2</v>
          </cell>
          <cell r="AE440">
            <v>1.78240025</v>
          </cell>
          <cell r="AF440">
            <v>13.125497314149632</v>
          </cell>
          <cell r="AG440">
            <v>7.6129085278037412</v>
          </cell>
          <cell r="AH440">
            <v>202406</v>
          </cell>
          <cell r="AJ440" t="str">
            <v>Sakhalin-1: Less prod'n due to Turbine replacement works of GTC1 in Train 1 of Odoptu.
IEC:APG plant s/d due to non evacuation of LPG (through tankers) from plant.
A1&amp;A3: Prod'n deferment due to Buyer's Nomination.
LZC:Prod'n being restored after planned s/d(LTDP project activities) of 28 days from 1st May.</v>
          </cell>
        </row>
        <row r="441">
          <cell r="C441">
            <v>45449</v>
          </cell>
          <cell r="D441">
            <v>351401</v>
          </cell>
          <cell r="E441">
            <v>25440</v>
          </cell>
          <cell r="F441">
            <v>27401.62</v>
          </cell>
          <cell r="G441">
            <v>4161</v>
          </cell>
          <cell r="H441">
            <v>1891</v>
          </cell>
          <cell r="I441">
            <v>155480</v>
          </cell>
          <cell r="J441">
            <v>171633</v>
          </cell>
          <cell r="K441">
            <v>53560.29</v>
          </cell>
          <cell r="L441">
            <v>14861</v>
          </cell>
          <cell r="M441">
            <v>400267</v>
          </cell>
          <cell r="N441">
            <v>7917</v>
          </cell>
          <cell r="O441">
            <v>4518</v>
          </cell>
          <cell r="P441">
            <v>133.09216799999999</v>
          </cell>
          <cell r="Q441">
            <v>0</v>
          </cell>
          <cell r="R441">
            <v>149583.30732559998</v>
          </cell>
          <cell r="S441">
            <v>8.8036993093527638</v>
          </cell>
          <cell r="T441">
            <v>0.24413099999999999</v>
          </cell>
          <cell r="U441">
            <v>4.6439584648885592E-3</v>
          </cell>
          <cell r="V441">
            <v>1.7000000000000001E-2</v>
          </cell>
          <cell r="W441">
            <v>7.2469999999999993E-2</v>
          </cell>
          <cell r="X441">
            <v>6.77</v>
          </cell>
          <cell r="Y441">
            <v>10.71</v>
          </cell>
          <cell r="AB441">
            <v>0</v>
          </cell>
          <cell r="AC441">
            <v>0.21492466310063513</v>
          </cell>
          <cell r="AD441">
            <v>6.9347891954341948E-2</v>
          </cell>
          <cell r="AE441">
            <v>1.77050025</v>
          </cell>
          <cell r="AF441">
            <v>13.071978524523781</v>
          </cell>
          <cell r="AG441">
            <v>7.5624439263633203</v>
          </cell>
          <cell r="AH441">
            <v>202406</v>
          </cell>
          <cell r="AJ441" t="str">
            <v>A1&amp;A3: Prod'n deferment due to Buyer's Nomination(CNUOC- 322 MMscf, MOGE - 125 MMscf).
LZC:Prod'n being restored after planned s/d(LTDP project activities) of 28 days from 1st May.
IEC:APG plant s/d due to non evacuation of LPG (through tankers) from plant.</v>
          </cell>
        </row>
        <row r="442">
          <cell r="C442">
            <v>45450</v>
          </cell>
          <cell r="D442">
            <v>348927</v>
          </cell>
          <cell r="E442">
            <v>33774</v>
          </cell>
          <cell r="F442">
            <v>27568.560000000001</v>
          </cell>
          <cell r="G442">
            <v>4168</v>
          </cell>
          <cell r="H442">
            <v>1869</v>
          </cell>
          <cell r="I442">
            <v>155480</v>
          </cell>
          <cell r="J442">
            <v>169758</v>
          </cell>
          <cell r="K442">
            <v>54344.46</v>
          </cell>
          <cell r="L442">
            <v>14513</v>
          </cell>
          <cell r="M442">
            <v>391018</v>
          </cell>
          <cell r="N442">
            <v>5514</v>
          </cell>
          <cell r="O442">
            <v>3606</v>
          </cell>
          <cell r="P442">
            <v>175.92570599999999</v>
          </cell>
          <cell r="Q442">
            <v>0</v>
          </cell>
          <cell r="R442">
            <v>150519.46851770004</v>
          </cell>
          <cell r="S442">
            <v>9.0568516793290055</v>
          </cell>
          <cell r="T442">
            <v>0.28365899999999999</v>
          </cell>
          <cell r="U442">
            <v>4.6938810183861108E-3</v>
          </cell>
          <cell r="V442">
            <v>1.7000000000000001E-2</v>
          </cell>
          <cell r="W442">
            <v>6.4310000000000006E-2</v>
          </cell>
          <cell r="X442">
            <v>6.77</v>
          </cell>
          <cell r="Y442">
            <v>10.68</v>
          </cell>
          <cell r="AB442">
            <v>0</v>
          </cell>
          <cell r="AC442">
            <v>0.18490883399830665</v>
          </cell>
          <cell r="AD442">
            <v>6.8356803257566962E-2</v>
          </cell>
          <cell r="AE442">
            <v>1.7733002499999999</v>
          </cell>
          <cell r="AF442">
            <v>13.067419516518616</v>
          </cell>
          <cell r="AG442">
            <v>7.5598260438563756</v>
          </cell>
          <cell r="AH442">
            <v>202406</v>
          </cell>
          <cell r="AJ442" t="str">
            <v>PCB: Prod'n Deferment due to s/d at Electrical substation.
A1&amp;A3: Prod'n deferment due to Buyer's Nomination.
LZC:Prod'n being restored after planned s/d(LTDP project activities) of 28 days from 1st May.
IEC:APG plant s/d due to non evacuation of LPG (through tankers) from plant.</v>
          </cell>
        </row>
        <row r="443">
          <cell r="C443">
            <v>45451</v>
          </cell>
          <cell r="D443">
            <v>342834</v>
          </cell>
          <cell r="E443">
            <v>32333</v>
          </cell>
          <cell r="F443">
            <v>27379.22</v>
          </cell>
          <cell r="G443">
            <v>4177</v>
          </cell>
          <cell r="H443">
            <v>1860</v>
          </cell>
          <cell r="I443">
            <v>155480</v>
          </cell>
          <cell r="J443">
            <v>168174</v>
          </cell>
          <cell r="K443">
            <v>53088.17</v>
          </cell>
          <cell r="L443">
            <v>14255</v>
          </cell>
          <cell r="M443">
            <v>394060</v>
          </cell>
          <cell r="N443">
            <v>7354</v>
          </cell>
          <cell r="O443">
            <v>3696</v>
          </cell>
          <cell r="P443">
            <v>107.99586600000001</v>
          </cell>
          <cell r="Q443">
            <v>0</v>
          </cell>
          <cell r="R443">
            <v>149393.96878970001</v>
          </cell>
          <cell r="S443">
            <v>8.7283765683978594</v>
          </cell>
          <cell r="T443">
            <v>0.29070699999999999</v>
          </cell>
          <cell r="U443">
            <v>4.5818596788306278E-3</v>
          </cell>
          <cell r="V443">
            <v>1.7000000000000001E-2</v>
          </cell>
          <cell r="W443">
            <v>6.4250000000000002E-2</v>
          </cell>
          <cell r="X443">
            <v>6.77</v>
          </cell>
          <cell r="Y443">
            <v>11.04</v>
          </cell>
          <cell r="AB443">
            <v>0</v>
          </cell>
          <cell r="AC443">
            <v>0.24069296921678507</v>
          </cell>
          <cell r="AD443">
            <v>6.5921556745491244E-2</v>
          </cell>
          <cell r="AE443">
            <v>1.7737002500000001</v>
          </cell>
          <cell r="AF443">
            <v>12.721331343604787</v>
          </cell>
          <cell r="AG443">
            <v>7.5941099807300301</v>
          </cell>
          <cell r="AH443">
            <v>202406</v>
          </cell>
          <cell r="AJ443" t="str">
            <v>A1-A3:Prod'n low due to low nomination.
LZC:Prod'n being restored after planned s/d(LTDP project activities) of 28 days from 1st May.
IEC:APG plant s/d due to non evacuation of LPG (through tankers) from plant.</v>
          </cell>
        </row>
        <row r="444">
          <cell r="C444">
            <v>45452</v>
          </cell>
          <cell r="D444">
            <v>333761</v>
          </cell>
          <cell r="E444">
            <v>30981</v>
          </cell>
          <cell r="F444">
            <v>26980.46</v>
          </cell>
          <cell r="G444">
            <v>4212</v>
          </cell>
          <cell r="H444">
            <v>2046</v>
          </cell>
          <cell r="I444">
            <v>155480</v>
          </cell>
          <cell r="J444">
            <v>167214</v>
          </cell>
          <cell r="K444">
            <v>53284.58</v>
          </cell>
          <cell r="L444">
            <v>13749</v>
          </cell>
          <cell r="M444">
            <v>386222</v>
          </cell>
          <cell r="N444">
            <v>7710</v>
          </cell>
          <cell r="O444">
            <v>3416</v>
          </cell>
          <cell r="P444">
            <v>118.75142399999999</v>
          </cell>
          <cell r="Q444">
            <v>0</v>
          </cell>
          <cell r="R444">
            <v>148039.62049079998</v>
          </cell>
          <cell r="S444">
            <v>8.9005428334376351</v>
          </cell>
          <cell r="T444">
            <v>0.285078</v>
          </cell>
          <cell r="U444">
            <v>4.5399507853669998E-3</v>
          </cell>
          <cell r="V444">
            <v>1.7000000000000001E-2</v>
          </cell>
          <cell r="W444">
            <v>0.16764999999999999</v>
          </cell>
          <cell r="X444">
            <v>6.77</v>
          </cell>
          <cell r="Y444">
            <v>10.87</v>
          </cell>
          <cell r="AB444">
            <v>0</v>
          </cell>
          <cell r="AC444">
            <v>0.21888901788773513</v>
          </cell>
          <cell r="AD444">
            <v>6.5440170807057677E-2</v>
          </cell>
          <cell r="AE444">
            <v>1.7571002499999999</v>
          </cell>
          <cell r="AF444">
            <v>13.184509566837606</v>
          </cell>
          <cell r="AG444">
            <v>7.7244171641550334</v>
          </cell>
          <cell r="AH444">
            <v>202406</v>
          </cell>
          <cell r="AJ444" t="str">
            <v>A1&amp;A3: Prod'n deferment due to Buyer's Nomination
LZC:Prod'n being restored after planned s/d(LTDP project activities) of 28 days from 1st May.
IEC:Prod'n Deferment due to APG Plant s/d.</v>
          </cell>
        </row>
        <row r="445">
          <cell r="C445">
            <v>45453</v>
          </cell>
          <cell r="D445">
            <v>331972</v>
          </cell>
          <cell r="E445">
            <v>26289</v>
          </cell>
          <cell r="F445">
            <v>27436.23</v>
          </cell>
          <cell r="G445">
            <v>4260</v>
          </cell>
          <cell r="H445">
            <v>2118</v>
          </cell>
          <cell r="I445">
            <v>155480</v>
          </cell>
          <cell r="J445">
            <v>165823</v>
          </cell>
          <cell r="K445">
            <v>54111.89</v>
          </cell>
          <cell r="L445">
            <v>14134</v>
          </cell>
          <cell r="M445">
            <v>398111</v>
          </cell>
          <cell r="N445">
            <v>7529</v>
          </cell>
          <cell r="O445">
            <v>4509</v>
          </cell>
          <cell r="P445">
            <v>122.713998</v>
          </cell>
          <cell r="Q445">
            <v>0</v>
          </cell>
          <cell r="R445">
            <v>147979.17549910001</v>
          </cell>
          <cell r="S445">
            <v>8.7649052660789941</v>
          </cell>
          <cell r="T445">
            <v>0.28218500000000002</v>
          </cell>
          <cell r="U445">
            <v>4.5403189040258019E-3</v>
          </cell>
          <cell r="V445">
            <v>1.7000000000000001E-2</v>
          </cell>
          <cell r="W445">
            <v>0.19714999999999999</v>
          </cell>
          <cell r="X445">
            <v>6.77</v>
          </cell>
          <cell r="Y445">
            <v>10.52</v>
          </cell>
          <cell r="AB445">
            <v>0</v>
          </cell>
          <cell r="AC445">
            <v>0.21011080371629942</v>
          </cell>
          <cell r="AD445">
            <v>6.572333900613625E-2</v>
          </cell>
          <cell r="AE445">
            <v>1.74200025</v>
          </cell>
          <cell r="AF445">
            <v>13.0673628828788</v>
          </cell>
          <cell r="AG445">
            <v>7.6314408114798864</v>
          </cell>
          <cell r="AH445">
            <v>202406</v>
          </cell>
          <cell r="AJ445" t="str">
            <v xml:space="preserve">A1-A3: Prod'n deferment due to Buyer's Nomination.
LZC:Prod'n being restored after planned s/d(LTDP project activities) of 28 days from 1st May.
IEC:Prod'n Deferment due to APG Plant s/d.
Sakhalin-1: Fresh Prod'n figures for June'24 received from the operator. </v>
          </cell>
        </row>
        <row r="446">
          <cell r="C446">
            <v>45454</v>
          </cell>
          <cell r="D446">
            <v>347310</v>
          </cell>
          <cell r="E446">
            <v>27786</v>
          </cell>
          <cell r="F446">
            <v>27434.41</v>
          </cell>
          <cell r="G446">
            <v>4251</v>
          </cell>
          <cell r="H446">
            <v>2106</v>
          </cell>
          <cell r="I446">
            <v>155480</v>
          </cell>
          <cell r="J446">
            <v>166671</v>
          </cell>
          <cell r="K446">
            <v>50081.22</v>
          </cell>
          <cell r="L446">
            <v>13898</v>
          </cell>
          <cell r="M446">
            <v>379971</v>
          </cell>
          <cell r="N446">
            <v>7756</v>
          </cell>
          <cell r="O446">
            <v>4195</v>
          </cell>
          <cell r="P446">
            <v>159.63512399999999</v>
          </cell>
          <cell r="Q446">
            <v>0</v>
          </cell>
          <cell r="R446">
            <v>147066.16130579999</v>
          </cell>
          <cell r="S446">
            <v>8.8005844591628968</v>
          </cell>
          <cell r="T446">
            <v>0.28406500000000001</v>
          </cell>
          <cell r="U446">
            <v>4.3468583904153228E-3</v>
          </cell>
          <cell r="V446">
            <v>1.7000000000000001E-2</v>
          </cell>
          <cell r="W446">
            <v>0.19187000000000001</v>
          </cell>
          <cell r="X446">
            <v>6.77</v>
          </cell>
          <cell r="Y446">
            <v>10.52</v>
          </cell>
          <cell r="AB446">
            <v>0</v>
          </cell>
          <cell r="AC446">
            <v>0.21350882210524227</v>
          </cell>
          <cell r="AD446">
            <v>6.6657794063095535E-2</v>
          </cell>
          <cell r="AE446">
            <v>1.73590025</v>
          </cell>
          <cell r="AF446">
            <v>13.133086221884936</v>
          </cell>
          <cell r="AG446">
            <v>7.6365327101572085</v>
          </cell>
          <cell r="AH446">
            <v>202406</v>
          </cell>
          <cell r="AJ446" t="str">
            <v>LZC:Prod'n being restored after planned s/d(LTDP project activities) of 28 days from 1st May.
IEC:Prod'n Deferment due to APG Plant s/d.
A1-A3: Prod'n deferment due to Buyer's Nomination.
Sakhalin-1: Less production is due to Odoptu plant shutdown on 10th June due to activation of fire detector. No fire was detected and production was reinstated within two hours.</v>
          </cell>
        </row>
        <row r="447">
          <cell r="C447">
            <v>45455</v>
          </cell>
          <cell r="D447">
            <v>353641</v>
          </cell>
          <cell r="E447">
            <v>31868</v>
          </cell>
          <cell r="F447">
            <v>27364.73</v>
          </cell>
          <cell r="G447">
            <v>4109</v>
          </cell>
          <cell r="H447">
            <v>1927</v>
          </cell>
          <cell r="I447">
            <v>155480</v>
          </cell>
          <cell r="J447">
            <v>166336</v>
          </cell>
          <cell r="K447">
            <v>51860.38</v>
          </cell>
          <cell r="L447">
            <v>11968</v>
          </cell>
          <cell r="M447">
            <v>377125</v>
          </cell>
          <cell r="N447">
            <v>7404</v>
          </cell>
          <cell r="O447">
            <v>256</v>
          </cell>
          <cell r="P447">
            <v>173.47268399999999</v>
          </cell>
          <cell r="Q447">
            <v>0</v>
          </cell>
          <cell r="R447">
            <v>146185.91580779999</v>
          </cell>
          <cell r="S447">
            <v>8.7156339994393246</v>
          </cell>
          <cell r="T447">
            <v>0.27775100000000003</v>
          </cell>
          <cell r="U447">
            <v>4.5974905634197658E-3</v>
          </cell>
          <cell r="V447">
            <v>1.7000000000000001E-2</v>
          </cell>
          <cell r="W447">
            <v>0.10665999999999999</v>
          </cell>
          <cell r="X447">
            <v>6.77</v>
          </cell>
          <cell r="Y447">
            <v>10.67</v>
          </cell>
          <cell r="AB447">
            <v>0</v>
          </cell>
          <cell r="AC447">
            <v>0.20897813091998516</v>
          </cell>
          <cell r="AD447">
            <v>6.6940962262174108E-2</v>
          </cell>
          <cell r="AE447">
            <v>1.71820025</v>
          </cell>
          <cell r="AF447">
            <v>1.260976307316783</v>
          </cell>
          <cell r="AG447">
            <v>5.5602222228313636</v>
          </cell>
          <cell r="AH447">
            <v>202406</v>
          </cell>
          <cell r="AJ447" t="str">
            <v>SCB:Prod'n deferment due to Fluctuation in Power Grid resulting in tripping of PCPs.
IEC:Prod'n Deferment due to APG Plant s/d.
LZC: Lower Prod'n due to Barge Movement For Rigless Jobs.
A1-A3:Opertor informed major corrective maintenance job on 12th &amp; 13th June'24.</v>
          </cell>
        </row>
        <row r="448">
          <cell r="C448">
            <v>45456</v>
          </cell>
          <cell r="D448">
            <v>349954</v>
          </cell>
          <cell r="E448">
            <v>34868</v>
          </cell>
          <cell r="F448">
            <v>27261.119999999999</v>
          </cell>
          <cell r="G448">
            <v>4203</v>
          </cell>
          <cell r="H448">
            <v>1845</v>
          </cell>
          <cell r="I448">
            <v>155480</v>
          </cell>
          <cell r="J448">
            <v>167653</v>
          </cell>
          <cell r="K448">
            <v>54123.09</v>
          </cell>
          <cell r="L448">
            <v>13683</v>
          </cell>
          <cell r="M448">
            <v>374770</v>
          </cell>
          <cell r="N448">
            <v>7706</v>
          </cell>
          <cell r="O448">
            <v>3573</v>
          </cell>
          <cell r="P448">
            <v>96.737123999999994</v>
          </cell>
          <cell r="Q448">
            <v>0</v>
          </cell>
          <cell r="R448">
            <v>149356.34935579999</v>
          </cell>
          <cell r="S448">
            <v>8.8294676154689142</v>
          </cell>
          <cell r="T448">
            <v>0.29266900000000001</v>
          </cell>
          <cell r="U448">
            <v>4.7264453612801465E-3</v>
          </cell>
          <cell r="V448">
            <v>1.7000000000000001E-2</v>
          </cell>
          <cell r="W448">
            <v>6.4420000000000005E-2</v>
          </cell>
          <cell r="X448">
            <v>6.77</v>
          </cell>
          <cell r="Y448">
            <v>10.7</v>
          </cell>
          <cell r="Z448">
            <v>0</v>
          </cell>
          <cell r="AB448">
            <v>0</v>
          </cell>
          <cell r="AC448">
            <v>0.20982763551722086</v>
          </cell>
          <cell r="AD448">
            <v>6.5779972645951965E-2</v>
          </cell>
          <cell r="AE448">
            <v>1.71400025</v>
          </cell>
          <cell r="AF448">
            <v>13.094575346810251</v>
          </cell>
          <cell r="AG448">
            <v>7.5419807940932451</v>
          </cell>
          <cell r="AH448">
            <v>202406</v>
          </cell>
          <cell r="AJ448" t="str">
            <v>A1-A3: Prod'n deferment due to Buyer's Nomination.
IEC:APG plant s/d due to non evacuation of LPG (through tankers) from plant.
LZC: Lower Prod'n due to Barge Movement For Rigless Jobs.</v>
          </cell>
        </row>
        <row r="449">
          <cell r="C449">
            <v>45457</v>
          </cell>
          <cell r="D449">
            <v>343373</v>
          </cell>
          <cell r="E449">
            <v>33384</v>
          </cell>
          <cell r="F449">
            <v>27170.11</v>
          </cell>
          <cell r="G449">
            <v>4206</v>
          </cell>
          <cell r="H449">
            <v>1806</v>
          </cell>
          <cell r="I449">
            <v>155480</v>
          </cell>
          <cell r="J449">
            <v>167616</v>
          </cell>
          <cell r="K449">
            <v>52920.35</v>
          </cell>
          <cell r="L449">
            <v>13375</v>
          </cell>
          <cell r="M449">
            <v>400774</v>
          </cell>
          <cell r="N449">
            <v>7921</v>
          </cell>
          <cell r="O449">
            <v>6949</v>
          </cell>
          <cell r="P449">
            <v>108.24745799999999</v>
          </cell>
          <cell r="Q449">
            <v>0</v>
          </cell>
          <cell r="R449">
            <v>150737.22090609997</v>
          </cell>
          <cell r="S449">
            <v>8.8611824537657142</v>
          </cell>
          <cell r="T449">
            <v>0.27756399999999998</v>
          </cell>
          <cell r="U449">
            <v>4.7264453612801465E-3</v>
          </cell>
          <cell r="V449">
            <v>1.7000000000000001E-2</v>
          </cell>
          <cell r="W449">
            <v>6.3350000000000004E-2</v>
          </cell>
          <cell r="X449">
            <v>6.77</v>
          </cell>
          <cell r="Y449">
            <v>10.49</v>
          </cell>
          <cell r="AB449">
            <v>0</v>
          </cell>
          <cell r="AC449">
            <v>0.2095444673181423</v>
          </cell>
          <cell r="AD449">
            <v>6.1787301038944115E-2</v>
          </cell>
          <cell r="AE449">
            <v>1.6992002500000001</v>
          </cell>
          <cell r="AF449">
            <v>13.202604014758725</v>
          </cell>
          <cell r="AG449">
            <v>7.4930417132644411</v>
          </cell>
          <cell r="AH449">
            <v>202406</v>
          </cell>
          <cell r="AJ449" t="str">
            <v xml:space="preserve">A1-A3: Prod'n deferment due to Buyer's Nomination.
IEC:APG plant s/d due to non evacuation of LPG (through tankers) from plant.
LZC: Lower Prod'n due to Barge Movement For Rigless Jobs.
BC-10: Operator informed s/d from 17th Jun'24 to meet NR 13 compliance.Ramp down activities started from 14th June and s/d duration approx 6 days. </v>
          </cell>
        </row>
        <row r="450">
          <cell r="C450">
            <v>45458</v>
          </cell>
          <cell r="D450">
            <v>346668</v>
          </cell>
          <cell r="E450">
            <v>26302</v>
          </cell>
          <cell r="F450">
            <v>27141.33</v>
          </cell>
          <cell r="G450">
            <v>4224</v>
          </cell>
          <cell r="H450">
            <v>1895</v>
          </cell>
          <cell r="I450">
            <v>155480</v>
          </cell>
          <cell r="J450">
            <v>167467</v>
          </cell>
          <cell r="K450">
            <v>52243.02</v>
          </cell>
          <cell r="L450">
            <v>14001</v>
          </cell>
          <cell r="M450">
            <v>427232</v>
          </cell>
          <cell r="N450">
            <v>6502</v>
          </cell>
          <cell r="O450">
            <v>6339</v>
          </cell>
          <cell r="P450">
            <v>133.59535199999999</v>
          </cell>
          <cell r="Q450">
            <v>0</v>
          </cell>
          <cell r="R450">
            <v>149591.6359584</v>
          </cell>
          <cell r="S450">
            <v>8.5652716857286055</v>
          </cell>
          <cell r="T450">
            <v>0.20821600000000001</v>
          </cell>
          <cell r="U450">
            <v>4.6817614194655487E-3</v>
          </cell>
          <cell r="V450">
            <v>1.7000000000000001E-2</v>
          </cell>
          <cell r="W450">
            <v>6.3649999999999998E-2</v>
          </cell>
          <cell r="X450">
            <v>6.77</v>
          </cell>
          <cell r="Y450">
            <v>10.72</v>
          </cell>
          <cell r="AB450">
            <v>0</v>
          </cell>
          <cell r="AC450">
            <v>0.34829688486664195</v>
          </cell>
          <cell r="AD450">
            <v>6.2693439275995549E-2</v>
          </cell>
          <cell r="AE450">
            <v>1.6891002500000001</v>
          </cell>
          <cell r="AF450">
            <v>13.201188173763335</v>
          </cell>
          <cell r="AG450">
            <v>7.5383904640194528</v>
          </cell>
          <cell r="AH450">
            <v>202406</v>
          </cell>
          <cell r="AJ450" t="str">
            <v>A1-A3: Prod'n deferment due to Buyer's Nomination.
IEC:APG plant s/d due to non evacuation of LPG (through tankers) from plant.
BC-10: Operator informed s/d from 17th Jun'24 to meet NR 13 compliance.Ramp down activities started from 14th June and s/d duration approx 6 days. 
LZC: Lower Prod'n due to Oil pipeline (ZK-22 to ZK-39)pigging operation carried out.</v>
          </cell>
        </row>
        <row r="451">
          <cell r="C451">
            <v>45459</v>
          </cell>
          <cell r="D451">
            <v>342999</v>
          </cell>
          <cell r="E451">
            <v>14314</v>
          </cell>
          <cell r="F451">
            <v>27117.81</v>
          </cell>
          <cell r="G451">
            <v>4161</v>
          </cell>
          <cell r="H451">
            <v>1810</v>
          </cell>
          <cell r="I451">
            <v>155480</v>
          </cell>
          <cell r="J451">
            <v>171544</v>
          </cell>
          <cell r="K451">
            <v>53441.58</v>
          </cell>
          <cell r="L451">
            <v>13990</v>
          </cell>
          <cell r="M451">
            <v>427275</v>
          </cell>
          <cell r="N451">
            <v>7955</v>
          </cell>
          <cell r="O451">
            <v>4557</v>
          </cell>
          <cell r="P451">
            <v>149.31985199999997</v>
          </cell>
          <cell r="Q451">
            <v>0</v>
          </cell>
          <cell r="R451">
            <v>146949.9903334</v>
          </cell>
          <cell r="S451">
            <v>8.807380495940782</v>
          </cell>
          <cell r="T451">
            <v>9.7346000000000002E-2</v>
          </cell>
          <cell r="U451">
            <v>4.8649429274494754E-3</v>
          </cell>
          <cell r="V451">
            <v>1.7000000000000001E-2</v>
          </cell>
          <cell r="W451">
            <v>6.3619999999999996E-2</v>
          </cell>
          <cell r="X451">
            <v>6.77</v>
          </cell>
          <cell r="Y451">
            <v>10.97</v>
          </cell>
          <cell r="AB451">
            <v>0</v>
          </cell>
          <cell r="AC451">
            <v>0.2016157577439423</v>
          </cell>
          <cell r="AD451">
            <v>6.5525121266781255E-2</v>
          </cell>
          <cell r="AE451">
            <v>1.6725002499999999</v>
          </cell>
          <cell r="AF451">
            <v>13.232393309301791</v>
          </cell>
          <cell r="AG451">
            <v>7.5619791264452978</v>
          </cell>
          <cell r="AH451">
            <v>202406</v>
          </cell>
          <cell r="AJ451" t="str">
            <v xml:space="preserve">IEC:APG plant s/d due to non evacuation of LPG (through tankers) from plant.
A1-A3: Prod'n deferment due to Buyer's Nomination.
BC-10: Operator informed s/d from 17th Jun'24 to meet NR 13 compliance.Ramp down activities started from 14th June and s/d duration approx 6 days. </v>
          </cell>
        </row>
        <row r="452">
          <cell r="C452">
            <v>45460</v>
          </cell>
          <cell r="D452">
            <v>340506</v>
          </cell>
          <cell r="E452">
            <v>13</v>
          </cell>
          <cell r="F452">
            <v>27124.29</v>
          </cell>
          <cell r="G452">
            <v>4180</v>
          </cell>
          <cell r="H452">
            <v>1782</v>
          </cell>
          <cell r="I452">
            <v>148000</v>
          </cell>
          <cell r="J452">
            <v>173687</v>
          </cell>
          <cell r="K452">
            <v>45928.35</v>
          </cell>
          <cell r="L452">
            <v>13969</v>
          </cell>
          <cell r="M452">
            <v>452631</v>
          </cell>
          <cell r="N452">
            <v>7991</v>
          </cell>
          <cell r="O452">
            <v>3744</v>
          </cell>
          <cell r="P452">
            <v>124.978326</v>
          </cell>
          <cell r="Q452">
            <v>0</v>
          </cell>
          <cell r="R452">
            <v>140877.02059670002</v>
          </cell>
          <cell r="S452">
            <v>8.3679034509708448</v>
          </cell>
          <cell r="T452">
            <v>1.3942E-2</v>
          </cell>
          <cell r="U452">
            <v>4.788062761399643E-3</v>
          </cell>
          <cell r="V452">
            <v>1.7000000000000001E-2</v>
          </cell>
          <cell r="W452">
            <v>6.3329999999999997E-2</v>
          </cell>
          <cell r="X452">
            <v>6.77</v>
          </cell>
          <cell r="Y452">
            <v>10.87</v>
          </cell>
          <cell r="AB452">
            <v>0</v>
          </cell>
          <cell r="AC452">
            <v>0.20388110333657089</v>
          </cell>
          <cell r="AD452">
            <v>6.2976607475074123E-2</v>
          </cell>
          <cell r="AE452">
            <v>1.6651002500000001</v>
          </cell>
          <cell r="AF452">
            <v>13.235253308112485</v>
          </cell>
          <cell r="AG452">
            <v>7.4993502928865805</v>
          </cell>
          <cell r="AH452">
            <v>202406</v>
          </cell>
          <cell r="AJ452" t="str">
            <v>IEC:APG plant s/d due to non evacuation of LPG (through tankers) from plant.
A1-A3: Prod'n deferment due to Buyer's Nomination.
BC-10: Operator informed s/d from 17th Jun'24 to meet NR 13 compliance.Ramp down activities started from 14th June and s/d duration approx 6 days.
GPOC:Less production due to power trip in Toma South,El Nar &amp; El Toor.</v>
          </cell>
        </row>
        <row r="453">
          <cell r="C453">
            <v>45461</v>
          </cell>
          <cell r="D453">
            <v>349712</v>
          </cell>
          <cell r="E453">
            <v>0</v>
          </cell>
          <cell r="F453">
            <v>27076.02</v>
          </cell>
          <cell r="G453">
            <v>4152</v>
          </cell>
          <cell r="H453">
            <v>1787</v>
          </cell>
          <cell r="I453">
            <v>148000</v>
          </cell>
          <cell r="J453">
            <v>173821</v>
          </cell>
          <cell r="K453">
            <v>49964.33</v>
          </cell>
          <cell r="L453">
            <v>13943</v>
          </cell>
          <cell r="M453">
            <v>435480</v>
          </cell>
          <cell r="N453">
            <v>8023</v>
          </cell>
          <cell r="O453">
            <v>4698</v>
          </cell>
          <cell r="P453">
            <v>96.296837999999994</v>
          </cell>
          <cell r="Q453">
            <v>0</v>
          </cell>
          <cell r="R453">
            <v>141767.11602710001</v>
          </cell>
          <cell r="S453">
            <v>8.751879528921382</v>
          </cell>
          <cell r="T453">
            <v>8.4869999999999998E-3</v>
          </cell>
          <cell r="U453">
            <v>4.9586716013444825E-3</v>
          </cell>
          <cell r="V453">
            <v>1.7000000000000001E-2</v>
          </cell>
          <cell r="W453">
            <v>6.3189999999999996E-2</v>
          </cell>
          <cell r="X453">
            <v>6.77</v>
          </cell>
          <cell r="Y453">
            <v>10.83</v>
          </cell>
          <cell r="AB453">
            <v>0</v>
          </cell>
          <cell r="AC453">
            <v>0.20727912172551374</v>
          </cell>
          <cell r="AD453">
            <v>6.6006507205214823E-2</v>
          </cell>
          <cell r="AE453">
            <v>1.65570025</v>
          </cell>
          <cell r="AF453">
            <v>13.052609819706808</v>
          </cell>
          <cell r="AG453">
            <v>7.4626330653610751</v>
          </cell>
          <cell r="AH453">
            <v>202406</v>
          </cell>
          <cell r="AJ453" t="str">
            <v>IEC:APG plant s/d due to non evacuation of LPG (through tankers) from plant.
A1-A3: Prod'n deferment due to Buyer's Nomination.
BC-10: Operator informed s/d from 17th Jun'24 to meet NR 13 compliance.Ramp down activities started from 14th June and s/d duration approx 6 days.</v>
          </cell>
        </row>
        <row r="454">
          <cell r="C454">
            <v>45462</v>
          </cell>
          <cell r="D454">
            <v>350780</v>
          </cell>
          <cell r="E454">
            <v>0</v>
          </cell>
          <cell r="F454">
            <v>27126.17</v>
          </cell>
          <cell r="G454">
            <v>4135</v>
          </cell>
          <cell r="H454">
            <v>1813</v>
          </cell>
          <cell r="I454">
            <v>148000</v>
          </cell>
          <cell r="J454">
            <v>173464</v>
          </cell>
          <cell r="K454">
            <v>52259.95</v>
          </cell>
          <cell r="L454">
            <v>13928</v>
          </cell>
          <cell r="M454">
            <v>435961</v>
          </cell>
          <cell r="N454">
            <v>7994</v>
          </cell>
          <cell r="O454">
            <v>4741</v>
          </cell>
          <cell r="P454">
            <v>111.20366399999999</v>
          </cell>
          <cell r="Q454">
            <v>0</v>
          </cell>
          <cell r="R454">
            <v>142361.81614879999</v>
          </cell>
          <cell r="S454">
            <v>8.6468241270632369</v>
          </cell>
          <cell r="T454">
            <v>8.09E-3</v>
          </cell>
          <cell r="U454">
            <v>4.8202589856348767E-3</v>
          </cell>
          <cell r="V454">
            <v>1.7000000000000001E-2</v>
          </cell>
          <cell r="W454">
            <v>6.3140000000000002E-2</v>
          </cell>
          <cell r="X454">
            <v>6.77</v>
          </cell>
          <cell r="Y454">
            <v>10.64</v>
          </cell>
          <cell r="AB454">
            <v>0</v>
          </cell>
          <cell r="AC454">
            <v>0.20841179452182801</v>
          </cell>
          <cell r="AD454">
            <v>6.974432743305195E-2</v>
          </cell>
          <cell r="AE454">
            <v>1.6510002500000001</v>
          </cell>
          <cell r="AF454">
            <v>13.023556762481345</v>
          </cell>
          <cell r="AG454">
            <v>7.405117909117557</v>
          </cell>
          <cell r="AH454">
            <v>202406</v>
          </cell>
          <cell r="AJ454" t="str">
            <v>IEC:APG plant s/d due to non evacuation of LPG (through tankers) from plant.
BC-10: Operator informed s/d from 17th Jun'24 to meet NR 13 compliance.Ramp down activities started from 14th June and s/d duration approx 6 days.
A1-A3: Prod'n deferment due to Buyer's Nomination.</v>
          </cell>
        </row>
        <row r="455">
          <cell r="C455">
            <v>45463</v>
          </cell>
          <cell r="D455">
            <v>349242</v>
          </cell>
          <cell r="E455">
            <v>0</v>
          </cell>
          <cell r="F455">
            <v>27099.26</v>
          </cell>
          <cell r="G455">
            <v>4150</v>
          </cell>
          <cell r="H455">
            <v>1795</v>
          </cell>
          <cell r="I455">
            <v>148000</v>
          </cell>
          <cell r="J455">
            <v>175152</v>
          </cell>
          <cell r="K455">
            <v>52846.21</v>
          </cell>
          <cell r="L455">
            <v>13507</v>
          </cell>
          <cell r="M455">
            <v>420689</v>
          </cell>
          <cell r="N455">
            <v>8016.9999999999991</v>
          </cell>
          <cell r="O455">
            <v>3469</v>
          </cell>
          <cell r="P455">
            <v>183.34766999999999</v>
          </cell>
          <cell r="Q455">
            <v>0</v>
          </cell>
          <cell r="R455">
            <v>141696.14490150003</v>
          </cell>
          <cell r="S455">
            <v>8.7705686300605699</v>
          </cell>
          <cell r="T455">
            <v>2.3969999999999998E-3</v>
          </cell>
          <cell r="U455">
            <v>4.8198908669760746E-3</v>
          </cell>
          <cell r="V455">
            <v>1.7000000000000001E-2</v>
          </cell>
          <cell r="W455">
            <v>6.2729999999999994E-2</v>
          </cell>
          <cell r="X455">
            <v>6.77</v>
          </cell>
          <cell r="Y455">
            <v>10.78</v>
          </cell>
          <cell r="Z455">
            <v>0</v>
          </cell>
          <cell r="AB455">
            <v>0</v>
          </cell>
          <cell r="AC455">
            <v>0.20416427153564945</v>
          </cell>
          <cell r="AD455">
            <v>6.77338332195941E-2</v>
          </cell>
          <cell r="AE455">
            <v>1.64570025</v>
          </cell>
          <cell r="AF455">
            <v>12.783826565141428</v>
          </cell>
          <cell r="AG455">
            <v>7.3980184806920839</v>
          </cell>
          <cell r="AH455">
            <v>202406</v>
          </cell>
          <cell r="AJ455" t="str">
            <v>IEC:APG plant s/d due to non evacuation of LPG (through tankers) from plant.
BC-10: Operator informed s/d from 17th Jun'24 to meet NR 13 compliance.Ramp down activities started from 14th June and s/d duration approx 6 days.
A1-A3: Prod'n deferment due to Buyer's Nomination.</v>
          </cell>
        </row>
        <row r="456">
          <cell r="C456">
            <v>45464</v>
          </cell>
          <cell r="D456">
            <v>338054</v>
          </cell>
          <cell r="E456">
            <v>396</v>
          </cell>
          <cell r="F456">
            <v>27047.13</v>
          </cell>
          <cell r="G456">
            <v>4168</v>
          </cell>
          <cell r="H456">
            <v>1793</v>
          </cell>
          <cell r="I456">
            <v>148000</v>
          </cell>
          <cell r="J456">
            <v>177318</v>
          </cell>
          <cell r="K456">
            <v>53237.65</v>
          </cell>
          <cell r="L456">
            <v>13167</v>
          </cell>
          <cell r="M456">
            <v>430418</v>
          </cell>
          <cell r="N456">
            <v>7673</v>
          </cell>
          <cell r="O456">
            <v>3887</v>
          </cell>
          <cell r="P456">
            <v>96.862920000000003</v>
          </cell>
          <cell r="Q456">
            <v>0</v>
          </cell>
          <cell r="R456">
            <v>142573.72796399999</v>
          </cell>
          <cell r="S456">
            <v>9.0854516674359402</v>
          </cell>
          <cell r="T456">
            <v>1.5848999999999999E-2</v>
          </cell>
          <cell r="U456">
            <v>4.909117166505733E-3</v>
          </cell>
          <cell r="V456">
            <v>1.7000000000000001E-2</v>
          </cell>
          <cell r="W456">
            <v>6.3920000000000005E-2</v>
          </cell>
          <cell r="X456">
            <v>6.77</v>
          </cell>
          <cell r="Y456">
            <v>10.76</v>
          </cell>
          <cell r="AB456">
            <v>0</v>
          </cell>
          <cell r="AC456">
            <v>0.19595239376237089</v>
          </cell>
          <cell r="AD456">
            <v>6.875323873627695E-2</v>
          </cell>
          <cell r="AE456">
            <v>1.6349002500000001</v>
          </cell>
          <cell r="AF456">
            <v>12.661384635859854</v>
          </cell>
          <cell r="AG456">
            <v>7.3788061049388718</v>
          </cell>
          <cell r="AH456">
            <v>202406</v>
          </cell>
          <cell r="AJ456" t="str">
            <v>A1-A3: Prod'n deferment due to Buyer's Nomination.
IEC:APG plant s/d due to non evacuation of LPG (through tankers) from plant.
BC-10: Operator informed s/d from 17th Jun'24 to meet NR 13 compliance.Ramp down activities started from 14th June and s/d duration approx 6 days.</v>
          </cell>
        </row>
        <row r="457">
          <cell r="C457">
            <v>45465</v>
          </cell>
          <cell r="D457">
            <v>348533</v>
          </cell>
          <cell r="E457">
            <v>15541</v>
          </cell>
          <cell r="F457">
            <v>27005.01</v>
          </cell>
          <cell r="G457">
            <v>4211</v>
          </cell>
          <cell r="H457">
            <v>1761</v>
          </cell>
          <cell r="I457">
            <v>148000</v>
          </cell>
          <cell r="J457">
            <v>176254</v>
          </cell>
          <cell r="K457">
            <v>53034.99</v>
          </cell>
          <cell r="L457">
            <v>13287</v>
          </cell>
          <cell r="M457">
            <v>435111</v>
          </cell>
          <cell r="N457">
            <v>8019</v>
          </cell>
          <cell r="O457">
            <v>3489</v>
          </cell>
          <cell r="P457">
            <v>93.340631999999999</v>
          </cell>
          <cell r="Q457">
            <v>0</v>
          </cell>
          <cell r="R457">
            <v>146631.59883440001</v>
          </cell>
          <cell r="S457">
            <v>10.838545987931367</v>
          </cell>
          <cell r="T457">
            <v>7.7491000000000004E-2</v>
          </cell>
          <cell r="U457">
            <v>4.7635120785395318E-3</v>
          </cell>
          <cell r="V457">
            <v>1.7000000000000001E-2</v>
          </cell>
          <cell r="W457">
            <v>6.3500000000000001E-2</v>
          </cell>
          <cell r="X457">
            <v>6.77</v>
          </cell>
          <cell r="Y457">
            <v>10.7</v>
          </cell>
          <cell r="Z457">
            <v>0</v>
          </cell>
          <cell r="AB457">
            <v>0</v>
          </cell>
          <cell r="AC457">
            <v>0.2106771401144566</v>
          </cell>
          <cell r="AD457">
            <v>6.974432743305195E-2</v>
          </cell>
          <cell r="AE457">
            <v>1.6181002499999999</v>
          </cell>
          <cell r="AF457">
            <v>12.671578691026681</v>
          </cell>
          <cell r="AG457">
            <v>7.4160131471365389</v>
          </cell>
          <cell r="AH457">
            <v>202406</v>
          </cell>
          <cell r="AJ457" t="str">
            <v>A1-A3: Prod'n deferment due to Buyer's Nomination.
IEC:APG plant s/d due to non evacuation of LPG (through tankers) from plant.
BC-10: Prod'n Ramp up has started. MOBO-6 &amp; MOBO-7 startup pending.</v>
          </cell>
        </row>
        <row r="458">
          <cell r="C458">
            <v>45466</v>
          </cell>
          <cell r="D458">
            <v>344931</v>
          </cell>
          <cell r="E458">
            <v>19428</v>
          </cell>
          <cell r="F458">
            <v>26885.7</v>
          </cell>
          <cell r="G458">
            <v>4181</v>
          </cell>
          <cell r="H458">
            <v>1814</v>
          </cell>
          <cell r="I458">
            <v>148000</v>
          </cell>
          <cell r="J458">
            <v>175495</v>
          </cell>
          <cell r="K458">
            <v>39067.08</v>
          </cell>
          <cell r="L458">
            <v>13204</v>
          </cell>
          <cell r="M458">
            <v>436744</v>
          </cell>
          <cell r="N458">
            <v>7844</v>
          </cell>
          <cell r="O458">
            <v>2998</v>
          </cell>
          <cell r="P458">
            <v>174.290358</v>
          </cell>
          <cell r="Q458">
            <v>0</v>
          </cell>
          <cell r="R458">
            <v>143729.12176109999</v>
          </cell>
          <cell r="S458">
            <v>11.037046895485451</v>
          </cell>
          <cell r="T458">
            <v>0.18557100000000001</v>
          </cell>
          <cell r="U458">
            <v>4.7635120785395318E-3</v>
          </cell>
          <cell r="V458">
            <v>1.7000000000000001E-2</v>
          </cell>
          <cell r="W458">
            <v>6.3210000000000002E-2</v>
          </cell>
          <cell r="X458">
            <v>6.77</v>
          </cell>
          <cell r="Y458">
            <v>10.59</v>
          </cell>
          <cell r="Z458">
            <v>0</v>
          </cell>
          <cell r="AB458">
            <v>0</v>
          </cell>
          <cell r="AC458">
            <v>0.20926129911906372</v>
          </cell>
          <cell r="AD458">
            <v>6.671442770291125E-2</v>
          </cell>
          <cell r="AE458">
            <v>1.6003002500000001</v>
          </cell>
          <cell r="AF458">
            <v>12.673759086159587</v>
          </cell>
          <cell r="AG458">
            <v>7.4118830828720839</v>
          </cell>
          <cell r="AH458">
            <v>202406</v>
          </cell>
          <cell r="AJ458" t="str">
            <v xml:space="preserve">A1-A3: Prod'n deferment due to Buyer's Nomination.
SCB:Prod'n deferment due to Heating system out of service due to internal plugging.
IEC:APG plant s/d due to non evacuation of LPG (through tankers) from plant.
BC-10: Prod'n Ramp up has started. MOBO-6 &amp; MOBO-7 startup pending._x000D_
</v>
          </cell>
        </row>
        <row r="459">
          <cell r="C459">
            <v>45467</v>
          </cell>
          <cell r="D459">
            <v>350466</v>
          </cell>
          <cell r="E459">
            <v>25711</v>
          </cell>
          <cell r="F459">
            <v>26904.23</v>
          </cell>
          <cell r="G459">
            <v>4222</v>
          </cell>
          <cell r="H459">
            <v>1773</v>
          </cell>
          <cell r="I459">
            <v>155480</v>
          </cell>
          <cell r="J459">
            <v>179788</v>
          </cell>
          <cell r="K459">
            <v>26254.03</v>
          </cell>
          <cell r="L459">
            <v>13169</v>
          </cell>
          <cell r="M459">
            <v>431008</v>
          </cell>
          <cell r="N459">
            <v>8018.0000000000009</v>
          </cell>
          <cell r="O459">
            <v>4335</v>
          </cell>
          <cell r="P459">
            <v>118.75142399999999</v>
          </cell>
          <cell r="Q459">
            <v>0</v>
          </cell>
          <cell r="R459">
            <v>145245.84249080002</v>
          </cell>
          <cell r="S459">
            <v>11.206098310335356</v>
          </cell>
          <cell r="T459">
            <v>0.225276</v>
          </cell>
          <cell r="U459">
            <v>4.7308344683658649E-3</v>
          </cell>
          <cell r="V459">
            <v>1.7000000000000001E-2</v>
          </cell>
          <cell r="W459">
            <v>6.6129999999999994E-2</v>
          </cell>
          <cell r="X459">
            <v>6.77</v>
          </cell>
          <cell r="Y459">
            <v>10.17</v>
          </cell>
          <cell r="Z459">
            <v>0</v>
          </cell>
          <cell r="AA459">
            <v>0</v>
          </cell>
          <cell r="AB459">
            <v>0</v>
          </cell>
          <cell r="AC459">
            <v>0.20982763551722086</v>
          </cell>
          <cell r="AD459">
            <v>6.7478981840423391E-2</v>
          </cell>
          <cell r="AE459">
            <v>1.61100025</v>
          </cell>
          <cell r="AF459">
            <v>12.65402226268381</v>
          </cell>
          <cell r="AG459">
            <v>7.3220335048959146</v>
          </cell>
          <cell r="AH459">
            <v>202406</v>
          </cell>
          <cell r="AJ459" t="str">
            <v>A1-A3: Prod'n deferment due to Buyer's Nomination.
IEC:APG plant s/d due to non evacuation of LPG (through tankers) from plant.
BC-10: Prod'n Ramp up has started. MOBO-6 &amp; MOBO-7 startup pending.
GPOC: Due to internal civil disturbance, North field was evacuated.</v>
          </cell>
        </row>
        <row r="460">
          <cell r="C460">
            <v>45468</v>
          </cell>
          <cell r="D460">
            <v>348402</v>
          </cell>
          <cell r="E460">
            <v>23107</v>
          </cell>
          <cell r="F460">
            <v>26921.16</v>
          </cell>
          <cell r="G460">
            <v>4205</v>
          </cell>
          <cell r="H460">
            <v>1783</v>
          </cell>
          <cell r="I460">
            <v>155480</v>
          </cell>
          <cell r="J460">
            <v>178396</v>
          </cell>
          <cell r="K460">
            <v>45492.9</v>
          </cell>
          <cell r="L460">
            <v>13372</v>
          </cell>
          <cell r="M460">
            <v>424942</v>
          </cell>
          <cell r="N460">
            <v>7958</v>
          </cell>
          <cell r="O460">
            <v>3100</v>
          </cell>
          <cell r="P460">
            <v>102.649536</v>
          </cell>
          <cell r="Q460">
            <v>0</v>
          </cell>
          <cell r="R460">
            <v>148254.72049119999</v>
          </cell>
          <cell r="S460">
            <v>9.8715265880780532</v>
          </cell>
          <cell r="T460">
            <v>0.29528599999999999</v>
          </cell>
          <cell r="U460">
            <v>5.0857858059108526E-3</v>
          </cell>
          <cell r="V460">
            <v>1.7000000000000001E-2</v>
          </cell>
          <cell r="W460">
            <v>6.6420000000000007E-2</v>
          </cell>
          <cell r="X460">
            <v>6.77</v>
          </cell>
          <cell r="Y460">
            <v>10.25</v>
          </cell>
          <cell r="AA460">
            <v>0</v>
          </cell>
          <cell r="AB460">
            <v>0</v>
          </cell>
          <cell r="AC460">
            <v>0.20926129911906372</v>
          </cell>
          <cell r="AD460">
            <v>6.8498387357106241E-2</v>
          </cell>
          <cell r="AE460">
            <v>1.59920025</v>
          </cell>
          <cell r="AF460">
            <v>12.671267206007697</v>
          </cell>
          <cell r="AG460">
            <v>7.3294131696159877</v>
          </cell>
          <cell r="AH460">
            <v>202406</v>
          </cell>
          <cell r="AJ460" t="str">
            <v>A1-A3: Prod'n deferment due to Buyer's Nomination.
IEC:APG plant s/d due to non evacuation of LPG (through tankers) from plant.
BC-10: Prod'n Ramp up has started. MOBO-6 &amp; MOBO-7 startup pending.
GPOC: Prodn ramp up of all fields except El-Nar completed.</v>
          </cell>
        </row>
        <row r="461">
          <cell r="C461">
            <v>45469</v>
          </cell>
          <cell r="D461">
            <v>344356</v>
          </cell>
          <cell r="E461">
            <v>23289</v>
          </cell>
          <cell r="F461">
            <v>26877.040000000001</v>
          </cell>
          <cell r="G461">
            <v>4225</v>
          </cell>
          <cell r="H461">
            <v>1774</v>
          </cell>
          <cell r="I461">
            <v>155480</v>
          </cell>
          <cell r="J461">
            <v>179334</v>
          </cell>
          <cell r="K461">
            <v>44566.17</v>
          </cell>
          <cell r="L461">
            <v>13313</v>
          </cell>
          <cell r="M461">
            <v>423045</v>
          </cell>
          <cell r="N461">
            <v>7922</v>
          </cell>
          <cell r="O461">
            <v>4610</v>
          </cell>
          <cell r="P461">
            <v>111.518154</v>
          </cell>
          <cell r="Q461">
            <v>0</v>
          </cell>
          <cell r="R461">
            <v>148706.62851929999</v>
          </cell>
          <cell r="S461">
            <v>8.2297173698205022</v>
          </cell>
          <cell r="T461">
            <v>0.29354999999999998</v>
          </cell>
          <cell r="U461">
            <v>4.691445771874035E-3</v>
          </cell>
          <cell r="V461">
            <v>1.7000000000000001E-2</v>
          </cell>
          <cell r="W461">
            <v>6.515E-2</v>
          </cell>
          <cell r="X461">
            <v>6.77</v>
          </cell>
          <cell r="Y461">
            <v>10.44</v>
          </cell>
          <cell r="AB461">
            <v>0</v>
          </cell>
          <cell r="AC461">
            <v>0.2075622899245923</v>
          </cell>
          <cell r="AD461">
            <v>6.572333900613625E-2</v>
          </cell>
          <cell r="AE461">
            <v>1.60080025</v>
          </cell>
          <cell r="AF461">
            <v>12.633889003729324</v>
          </cell>
          <cell r="AG461">
            <v>7.3319414139113102</v>
          </cell>
          <cell r="AH461">
            <v>202406</v>
          </cell>
          <cell r="AJ461" t="str">
            <v>A1-A3: Prod'n deferment due to Buyer's Nomination.
IEC:APG plant s/d due to non evacuation of LPG (through tankers) from plant.
BC-10: Prod'n Ramp up has started.
GPOC: Prod'n ramp up of all fields except El-Nar completed.</v>
          </cell>
        </row>
        <row r="462">
          <cell r="C462">
            <v>45470</v>
          </cell>
          <cell r="D462">
            <v>343697</v>
          </cell>
          <cell r="E462">
            <v>27629</v>
          </cell>
          <cell r="F462">
            <v>26858.37</v>
          </cell>
          <cell r="G462">
            <v>4289</v>
          </cell>
          <cell r="H462">
            <v>1781</v>
          </cell>
          <cell r="I462">
            <v>155480</v>
          </cell>
          <cell r="J462">
            <v>179416</v>
          </cell>
          <cell r="K462">
            <v>43184.87</v>
          </cell>
          <cell r="L462">
            <v>13276</v>
          </cell>
          <cell r="M462">
            <v>435162</v>
          </cell>
          <cell r="N462">
            <v>8113</v>
          </cell>
          <cell r="O462">
            <v>4571</v>
          </cell>
          <cell r="P462">
            <v>108.49905</v>
          </cell>
          <cell r="Q462">
            <v>0</v>
          </cell>
          <cell r="R462">
            <v>150044.93677249999</v>
          </cell>
          <cell r="S462">
            <v>8.046507545016663</v>
          </cell>
          <cell r="T462">
            <v>0.31567499999999998</v>
          </cell>
          <cell r="U462">
            <v>4.9923686170348326E-3</v>
          </cell>
          <cell r="V462">
            <v>1.7000000000000001E-2</v>
          </cell>
          <cell r="W462">
            <v>6.3920000000000005E-2</v>
          </cell>
          <cell r="X462">
            <v>6.77</v>
          </cell>
          <cell r="Y462">
            <v>10.43</v>
          </cell>
          <cell r="AB462">
            <v>0</v>
          </cell>
          <cell r="AC462">
            <v>0.20812862632274942</v>
          </cell>
          <cell r="AD462">
            <v>6.6884328622358394E-2</v>
          </cell>
          <cell r="AE462">
            <v>1.59690025</v>
          </cell>
          <cell r="AF462">
            <v>12.636550784800662</v>
          </cell>
          <cell r="AG462">
            <v>7.3292878585823669</v>
          </cell>
          <cell r="AH462">
            <v>202406</v>
          </cell>
          <cell r="AJ462" t="str">
            <v>IEC:APG plant s/d due to non evacuation of LPG (through tankers) from plant.
A1-A3: Prod'n deferment due to Buyer's Nomination.
Sakhalin-1:New daily Prod'n data received from the Operator.
GPOC: Prod'n ramp up of all fields except El-Nar completed.</v>
          </cell>
        </row>
        <row r="463">
          <cell r="C463">
            <v>45471</v>
          </cell>
          <cell r="D463">
            <v>347491</v>
          </cell>
          <cell r="E463">
            <v>29472</v>
          </cell>
          <cell r="F463">
            <v>26818.09</v>
          </cell>
          <cell r="G463">
            <v>4217</v>
          </cell>
          <cell r="H463">
            <v>1762</v>
          </cell>
          <cell r="I463">
            <v>155480</v>
          </cell>
          <cell r="J463">
            <v>179706</v>
          </cell>
          <cell r="K463">
            <v>44356.51</v>
          </cell>
          <cell r="L463">
            <v>12674</v>
          </cell>
          <cell r="M463">
            <v>432396</v>
          </cell>
          <cell r="N463">
            <v>8135.9999999999991</v>
          </cell>
          <cell r="O463">
            <v>3290</v>
          </cell>
          <cell r="P463">
            <v>102.90112799999999</v>
          </cell>
          <cell r="Q463">
            <v>0</v>
          </cell>
          <cell r="R463">
            <v>150147.04060759998</v>
          </cell>
          <cell r="S463">
            <v>7.9069056228709327</v>
          </cell>
          <cell r="T463">
            <v>0.320913</v>
          </cell>
          <cell r="U463">
            <v>4.8494253101399694E-3</v>
          </cell>
          <cell r="V463">
            <v>1.7000000000000001E-2</v>
          </cell>
          <cell r="W463">
            <v>6.5180000000000002E-2</v>
          </cell>
          <cell r="X463">
            <v>6.77</v>
          </cell>
          <cell r="Y463">
            <v>10.47</v>
          </cell>
          <cell r="AB463">
            <v>0</v>
          </cell>
          <cell r="AC463">
            <v>0.2095444673181423</v>
          </cell>
          <cell r="AD463">
            <v>6.7167496821436953E-2</v>
          </cell>
          <cell r="AE463">
            <v>1.59880025</v>
          </cell>
          <cell r="AF463">
            <v>12.623893166301851</v>
          </cell>
          <cell r="AG463">
            <v>7.3380094685103021</v>
          </cell>
          <cell r="AH463">
            <v>202406</v>
          </cell>
          <cell r="AJ463" t="str">
            <v>IEC:APG plant s/d due to non evacuation of LPG (through tankers) from plant.
A1-A3: Prod'n deferment due to Buyer's Nomination.
GPOC:Prod'n Low due to EL Nar FPF was shutdown due to security reason and vandalism.,restarted on 28.06.24.
Sakhalin-1:New Gas Prod'n data received from the Operator.</v>
          </cell>
        </row>
        <row r="464">
          <cell r="C464">
            <v>45472</v>
          </cell>
          <cell r="D464">
            <v>333441</v>
          </cell>
          <cell r="E464">
            <v>31434</v>
          </cell>
          <cell r="F464">
            <v>26761.38</v>
          </cell>
          <cell r="G464">
            <v>4251</v>
          </cell>
          <cell r="H464">
            <v>1786</v>
          </cell>
          <cell r="I464">
            <v>155480</v>
          </cell>
          <cell r="J464">
            <v>179743</v>
          </cell>
          <cell r="K464">
            <v>48046.12</v>
          </cell>
          <cell r="L464">
            <v>13352</v>
          </cell>
          <cell r="M464">
            <v>427981</v>
          </cell>
          <cell r="N464">
            <v>8211</v>
          </cell>
          <cell r="O464">
            <v>4081.0000000000005</v>
          </cell>
          <cell r="P464">
            <v>114.97754399999999</v>
          </cell>
          <cell r="Q464">
            <v>0</v>
          </cell>
          <cell r="R464">
            <v>151602.60299479999</v>
          </cell>
          <cell r="S464">
            <v>7.4127771154788249</v>
          </cell>
          <cell r="T464">
            <v>0.30761500000000003</v>
          </cell>
          <cell r="U464">
            <v>4.9316856719722945E-3</v>
          </cell>
          <cell r="V464">
            <v>1.7000000000000001E-2</v>
          </cell>
          <cell r="W464">
            <v>6.4360000000000001E-2</v>
          </cell>
          <cell r="X464">
            <v>6.77</v>
          </cell>
          <cell r="Y464">
            <v>10.48</v>
          </cell>
          <cell r="AB464">
            <v>0</v>
          </cell>
          <cell r="AC464">
            <v>0.20133258954486374</v>
          </cell>
          <cell r="AD464">
            <v>7.0480564750656241E-2</v>
          </cell>
          <cell r="AE464">
            <v>1.58480025</v>
          </cell>
          <cell r="AF464">
            <v>12.62100485067125</v>
          </cell>
          <cell r="AG464">
            <v>7.3184731292022516</v>
          </cell>
          <cell r="AH464">
            <v>202406</v>
          </cell>
          <cell r="AJ464" t="str">
            <v>IEC:APG plant s/d due to non evacuation of LPG (through tankers) from plant.
A1-A3: Prod'n deferment due to Buyer's Nomination.
GPOC:After the s/d of EL Nar FPF, the production ramp-up has started.</v>
          </cell>
        </row>
        <row r="465">
          <cell r="C465">
            <v>45473</v>
          </cell>
          <cell r="D465">
            <v>321049</v>
          </cell>
          <cell r="E465">
            <v>34176</v>
          </cell>
          <cell r="F465">
            <v>26709.35</v>
          </cell>
          <cell r="G465">
            <v>4264</v>
          </cell>
          <cell r="H465">
            <v>1815</v>
          </cell>
          <cell r="I465">
            <v>155480</v>
          </cell>
          <cell r="J465">
            <v>179795</v>
          </cell>
          <cell r="K465">
            <v>48122.9</v>
          </cell>
          <cell r="L465">
            <v>13366</v>
          </cell>
          <cell r="M465">
            <v>428198</v>
          </cell>
          <cell r="N465">
            <v>7693</v>
          </cell>
          <cell r="O465">
            <v>5188</v>
          </cell>
          <cell r="P465">
            <v>127.11685799999999</v>
          </cell>
          <cell r="Q465">
            <v>0</v>
          </cell>
          <cell r="R465">
            <v>152491.82198610003</v>
          </cell>
          <cell r="S465">
            <v>7.3139514140004005</v>
          </cell>
          <cell r="T465">
            <v>0.32888000000000001</v>
          </cell>
          <cell r="U465">
            <v>4.9543391278985809E-3</v>
          </cell>
          <cell r="V465">
            <v>1.7000000000000001E-2</v>
          </cell>
          <cell r="W465">
            <v>6.5189999999999998E-2</v>
          </cell>
          <cell r="X465">
            <v>6.77</v>
          </cell>
          <cell r="Y465">
            <v>10.41</v>
          </cell>
          <cell r="AB465">
            <v>0</v>
          </cell>
          <cell r="AC465">
            <v>0.19142170257711377</v>
          </cell>
          <cell r="AD465">
            <v>6.6884328622358394E-2</v>
          </cell>
          <cell r="AE465">
            <v>1.57910025</v>
          </cell>
          <cell r="AF465">
            <v>12.632869598212642</v>
          </cell>
          <cell r="AG465">
            <v>7.3015009779815134</v>
          </cell>
          <cell r="AH465">
            <v>202406</v>
          </cell>
          <cell r="AJ465" t="str">
            <v>IEC:APG plant s/d due to non evacuation of LPG (through tankers) from plant.
A1-A3: Prod'n deferment due to Buyer's Nomination.
GPOC:Due to leakage at OGM at EL Nar, 19 wells are being shut down, resulting in low production.
ACG:Production is low due to the Gas Compressor being offline due to maintenance.</v>
          </cell>
        </row>
        <row r="466">
          <cell r="C466">
            <v>45474</v>
          </cell>
          <cell r="D466">
            <v>326613</v>
          </cell>
          <cell r="E466">
            <v>30711</v>
          </cell>
          <cell r="F466">
            <v>26668.28</v>
          </cell>
          <cell r="G466">
            <v>4273</v>
          </cell>
          <cell r="H466">
            <v>2038</v>
          </cell>
          <cell r="I466">
            <v>149000</v>
          </cell>
          <cell r="J466">
            <v>179192</v>
          </cell>
          <cell r="K466">
            <v>46355.91</v>
          </cell>
          <cell r="L466">
            <v>13323</v>
          </cell>
          <cell r="M466">
            <v>425198</v>
          </cell>
          <cell r="N466">
            <v>7751</v>
          </cell>
          <cell r="O466">
            <v>3936</v>
          </cell>
          <cell r="P466">
            <v>124.16065199999998</v>
          </cell>
          <cell r="Q466">
            <v>0</v>
          </cell>
          <cell r="R466">
            <v>149362.89984339997</v>
          </cell>
          <cell r="S466">
            <v>7.3550108028667944</v>
          </cell>
          <cell r="T466">
            <v>0.39022800000000002</v>
          </cell>
          <cell r="U466">
            <v>4.6971940863153299E-3</v>
          </cell>
          <cell r="V466">
            <v>1.7000000000000001E-2</v>
          </cell>
          <cell r="W466">
            <v>0.14061999999999999</v>
          </cell>
          <cell r="X466">
            <v>6.9710000000000001</v>
          </cell>
          <cell r="Y466">
            <v>10.63</v>
          </cell>
          <cell r="AA466">
            <v>0</v>
          </cell>
          <cell r="AB466">
            <v>0</v>
          </cell>
          <cell r="AC466">
            <v>0.19906724395223518</v>
          </cell>
          <cell r="AD466">
            <v>6.4505715750098391E-2</v>
          </cell>
          <cell r="AE466">
            <v>1.56570013</v>
          </cell>
          <cell r="AF466">
            <v>14.499287831979316</v>
          </cell>
          <cell r="AG466">
            <v>7.8028140184779131</v>
          </cell>
          <cell r="AH466">
            <v>202407</v>
          </cell>
          <cell r="AJ466" t="str">
            <v>IEC:APG plant s/d due to non evacuation of LPG (through tankers) from plant.
GPOC:Due to leakage at OGM at EL Nar, 19 wells are being shut down, resulting in low production.
ACG:Production is low due to the Gas Compressor being offline due to maintenance.
LZC:Quota for the month is 415k BOPD.</v>
          </cell>
        </row>
        <row r="467">
          <cell r="C467">
            <v>45475</v>
          </cell>
          <cell r="D467">
            <v>337445</v>
          </cell>
          <cell r="E467">
            <v>26673</v>
          </cell>
          <cell r="F467">
            <v>26689.37</v>
          </cell>
          <cell r="G467">
            <v>4234</v>
          </cell>
          <cell r="H467">
            <v>2419</v>
          </cell>
          <cell r="I467">
            <v>149000</v>
          </cell>
          <cell r="J467">
            <v>178099</v>
          </cell>
          <cell r="K467">
            <v>45947.96</v>
          </cell>
          <cell r="L467">
            <v>13297</v>
          </cell>
          <cell r="M467">
            <v>405107</v>
          </cell>
          <cell r="N467">
            <v>7729</v>
          </cell>
          <cell r="O467">
            <v>4929</v>
          </cell>
          <cell r="P467">
            <v>131.83420799999999</v>
          </cell>
          <cell r="Q467">
            <v>0</v>
          </cell>
          <cell r="R467">
            <v>148101.27514360004</v>
          </cell>
          <cell r="S467">
            <v>7.3923890051451639</v>
          </cell>
          <cell r="T467">
            <v>0.43415799999999999</v>
          </cell>
          <cell r="U467">
            <v>4.9656941726816308E-3</v>
          </cell>
          <cell r="V467">
            <v>1.7000000000000001E-2</v>
          </cell>
          <cell r="W467">
            <v>0.26800999999999997</v>
          </cell>
          <cell r="X467">
            <v>6.9710000000000001</v>
          </cell>
          <cell r="Y467">
            <v>10.47</v>
          </cell>
          <cell r="AB467">
            <v>0</v>
          </cell>
          <cell r="AC467">
            <v>0.19923714487168231</v>
          </cell>
          <cell r="AD467">
            <v>6.3373042953784112E-2</v>
          </cell>
          <cell r="AE467">
            <v>1.5591001299999998</v>
          </cell>
          <cell r="AF467">
            <v>14.614877090843189</v>
          </cell>
          <cell r="AG467">
            <v>7.9177622990004721</v>
          </cell>
          <cell r="AH467">
            <v>202407</v>
          </cell>
          <cell r="AJ467" t="str">
            <v>IEC:APG plant started on load at 11:30 hrs on 2nd Jul-24 after starting the evacuations of LPG through alternative option (Barge).
GPOC:Due to leakage at OGM at EL Nar, 9 wells are being s/d, resulting in low prod'n.
LZC:Prod'n deferment due to AGI EPS-1: ZK-401 s/d for facility capacity test of Upper Zakum.
ACG:Production is low due to the Gas Compressor being offline due to maintenance.</v>
          </cell>
        </row>
        <row r="468">
          <cell r="C468">
            <v>45476</v>
          </cell>
          <cell r="D468">
            <v>349269</v>
          </cell>
          <cell r="E468">
            <v>27981</v>
          </cell>
          <cell r="F468">
            <v>26691.040000000001</v>
          </cell>
          <cell r="G468">
            <v>4184</v>
          </cell>
          <cell r="H468">
            <v>2556</v>
          </cell>
          <cell r="I468">
            <v>149000</v>
          </cell>
          <cell r="J468">
            <v>178999</v>
          </cell>
          <cell r="K468">
            <v>48183.12</v>
          </cell>
          <cell r="L468">
            <v>13277</v>
          </cell>
          <cell r="M468">
            <v>396017</v>
          </cell>
          <cell r="N468">
            <v>7746</v>
          </cell>
          <cell r="O468">
            <v>4174</v>
          </cell>
          <cell r="P468">
            <v>110.88917399999998</v>
          </cell>
          <cell r="Q468">
            <v>0</v>
          </cell>
          <cell r="R468">
            <v>148955.5482783</v>
          </cell>
          <cell r="S468">
            <v>8.0870005974848969</v>
          </cell>
          <cell r="T468">
            <v>0.46227200000000002</v>
          </cell>
          <cell r="U468">
            <v>5.0290672156354148E-3</v>
          </cell>
          <cell r="V468">
            <v>1.7000000000000001E-2</v>
          </cell>
          <cell r="W468">
            <v>0.30981000000000003</v>
          </cell>
          <cell r="X468">
            <v>6.9710000000000001</v>
          </cell>
          <cell r="Y468">
            <v>10.06</v>
          </cell>
          <cell r="Z468">
            <v>0</v>
          </cell>
          <cell r="AB468">
            <v>0</v>
          </cell>
          <cell r="AC468">
            <v>0.20359793513749233</v>
          </cell>
          <cell r="AD468">
            <v>6.0937796441708408E-2</v>
          </cell>
          <cell r="AE468">
            <v>1.5501001299999999</v>
          </cell>
          <cell r="AF468">
            <v>14.611110953795443</v>
          </cell>
          <cell r="AG468">
            <v>7.8714583129398807</v>
          </cell>
          <cell r="AH468">
            <v>202407</v>
          </cell>
          <cell r="AJ468" t="str">
            <v>LZC:Prod'n deferment due to DAS Port closure due to adverse weather condition and
Capacity testing at Upper Zakum leading to closure EPS-1 wells.
ACG:Production is low due to the Gas Compressor being offline due to maintenance.
GPOC:Due to leakage at OGM at EL Nar, 9 wells are being s/d, resulting in low prod'n.</v>
          </cell>
        </row>
        <row r="469">
          <cell r="C469">
            <v>45477</v>
          </cell>
          <cell r="D469">
            <v>348617</v>
          </cell>
          <cell r="E469">
            <v>26994</v>
          </cell>
          <cell r="F469">
            <v>26694.76</v>
          </cell>
          <cell r="G469">
            <v>4177</v>
          </cell>
          <cell r="H469">
            <v>2476</v>
          </cell>
          <cell r="I469">
            <v>149000</v>
          </cell>
          <cell r="J469">
            <v>178917</v>
          </cell>
          <cell r="K469">
            <v>50501.25</v>
          </cell>
          <cell r="L469">
            <v>13308</v>
          </cell>
          <cell r="M469">
            <v>378736</v>
          </cell>
          <cell r="N469">
            <v>7849</v>
          </cell>
          <cell r="O469">
            <v>3173</v>
          </cell>
          <cell r="P469">
            <v>110.07149999999999</v>
          </cell>
          <cell r="Q469">
            <v>0</v>
          </cell>
          <cell r="R469">
            <v>148078.114375</v>
          </cell>
          <cell r="S469">
            <v>8.4228380815920865</v>
          </cell>
          <cell r="T469">
            <v>0.427232</v>
          </cell>
          <cell r="U469">
            <v>5.138540041399191E-3</v>
          </cell>
          <cell r="V469">
            <v>1.7000000000000001E-2</v>
          </cell>
          <cell r="W469">
            <v>0.30648000000000003</v>
          </cell>
          <cell r="X469">
            <v>6.9710000000000001</v>
          </cell>
          <cell r="Y469">
            <v>10.1</v>
          </cell>
          <cell r="AB469">
            <v>0</v>
          </cell>
          <cell r="AC469">
            <v>0.21152664471169227</v>
          </cell>
          <cell r="AD469">
            <v>6.8611654636737671E-2</v>
          </cell>
          <cell r="AE469">
            <v>1.5398001299999999</v>
          </cell>
          <cell r="AF469">
            <v>14.176164600010759</v>
          </cell>
          <cell r="AG469">
            <v>7.8022678109885675</v>
          </cell>
          <cell r="AH469">
            <v>202407</v>
          </cell>
          <cell r="AJ469" t="str">
            <v>LZC:Prod'n reduced due to GPF TRAIN-1 trip &amp; Capacity testing at Upper Zakum leading to closure EPS-1 wells.
GPOC:After the leakage at OGM at El Nar was resolved, production ramp up has begun.
Sakhalin-1:New Oil &amp; Gas Prod'n data received from the Operator.</v>
          </cell>
        </row>
        <row r="470">
          <cell r="C470">
            <v>45478</v>
          </cell>
          <cell r="D470">
            <v>366408</v>
          </cell>
          <cell r="E470">
            <v>28245</v>
          </cell>
          <cell r="F470">
            <v>25648.400000000001</v>
          </cell>
          <cell r="G470">
            <v>4191</v>
          </cell>
          <cell r="H470">
            <v>2426</v>
          </cell>
          <cell r="I470">
            <v>149000</v>
          </cell>
          <cell r="J470">
            <v>177868</v>
          </cell>
          <cell r="K470">
            <v>52426.879999999997</v>
          </cell>
          <cell r="L470">
            <v>13453</v>
          </cell>
          <cell r="M470">
            <v>399579</v>
          </cell>
          <cell r="N470">
            <v>8018.0000000000009</v>
          </cell>
          <cell r="O470">
            <v>4634</v>
          </cell>
          <cell r="P470">
            <v>103.34141399999999</v>
          </cell>
          <cell r="Q470">
            <v>0</v>
          </cell>
          <cell r="R470">
            <v>149728.73468630004</v>
          </cell>
          <cell r="S470">
            <v>8.7368716143702212</v>
          </cell>
          <cell r="T470">
            <v>0.45183200000000001</v>
          </cell>
          <cell r="U470">
            <v>4.6155566945209787E-3</v>
          </cell>
          <cell r="V470">
            <v>1.7000000000000001E-2</v>
          </cell>
          <cell r="W470">
            <v>0.30260999999999999</v>
          </cell>
          <cell r="X470">
            <v>6.9710000000000001</v>
          </cell>
          <cell r="Y470">
            <v>10.18</v>
          </cell>
          <cell r="AB470">
            <v>0</v>
          </cell>
          <cell r="AC470">
            <v>0.2086949627209066</v>
          </cell>
          <cell r="AD470">
            <v>6.2098786057930545E-2</v>
          </cell>
          <cell r="AE470">
            <v>1.5256001299999999</v>
          </cell>
          <cell r="AF470">
            <v>14.607826202686132</v>
          </cell>
          <cell r="AG470">
            <v>7.8968037372572315</v>
          </cell>
          <cell r="AH470">
            <v>202407</v>
          </cell>
        </row>
        <row r="471">
          <cell r="C471">
            <v>45479</v>
          </cell>
          <cell r="D471">
            <v>362244</v>
          </cell>
          <cell r="E471">
            <v>29516</v>
          </cell>
          <cell r="F471">
            <v>26310.06</v>
          </cell>
          <cell r="G471">
            <v>4165</v>
          </cell>
          <cell r="H471">
            <v>2454</v>
          </cell>
          <cell r="I471">
            <v>149000</v>
          </cell>
          <cell r="J471">
            <v>178329</v>
          </cell>
          <cell r="K471">
            <v>48969.04</v>
          </cell>
          <cell r="L471">
            <v>13436</v>
          </cell>
          <cell r="M471">
            <v>411728</v>
          </cell>
          <cell r="N471">
            <v>7856</v>
          </cell>
          <cell r="O471">
            <v>445</v>
          </cell>
          <cell r="P471">
            <v>110.32309199999999</v>
          </cell>
          <cell r="Q471">
            <v>0</v>
          </cell>
          <cell r="R471">
            <v>148500.85879140001</v>
          </cell>
          <cell r="S471">
            <v>8.8725091817288551</v>
          </cell>
          <cell r="T471">
            <v>0.47134500000000001</v>
          </cell>
          <cell r="U471">
            <v>4.9413133907409658E-3</v>
          </cell>
          <cell r="V471">
            <v>1.7000000000000001E-2</v>
          </cell>
          <cell r="W471">
            <v>0.28974</v>
          </cell>
          <cell r="X471">
            <v>6.9710000000000001</v>
          </cell>
          <cell r="Y471">
            <v>10.19</v>
          </cell>
          <cell r="Z471">
            <v>0</v>
          </cell>
          <cell r="AB471">
            <v>0</v>
          </cell>
          <cell r="AC471">
            <v>0.20926129911906372</v>
          </cell>
          <cell r="AD471">
            <v>6.4788883949176965E-2</v>
          </cell>
          <cell r="AE471">
            <v>1.51100013</v>
          </cell>
          <cell r="AF471">
            <v>14.617850356933515</v>
          </cell>
          <cell r="AG471">
            <v>7.891435947132921</v>
          </cell>
          <cell r="AH471">
            <v>202407</v>
          </cell>
          <cell r="AJ471" t="str">
            <v>_x000D_SCB:The heating system being out of service due to internal plugging is causing prod'n deferment.
GPOC:Prod'n deferment due to power trip in EL Nar.</v>
          </cell>
        </row>
        <row r="472">
          <cell r="C472">
            <v>45480</v>
          </cell>
          <cell r="D472">
            <v>347911</v>
          </cell>
          <cell r="E472">
            <v>30151</v>
          </cell>
          <cell r="F472">
            <v>25463.01</v>
          </cell>
          <cell r="G472">
            <v>4159</v>
          </cell>
          <cell r="H472">
            <v>2473</v>
          </cell>
          <cell r="I472">
            <v>149000</v>
          </cell>
          <cell r="J472">
            <v>176202</v>
          </cell>
          <cell r="K472">
            <v>49535.55</v>
          </cell>
          <cell r="L472">
            <v>13446</v>
          </cell>
          <cell r="M472">
            <v>398898</v>
          </cell>
          <cell r="N472">
            <v>7808</v>
          </cell>
          <cell r="O472">
            <v>6743</v>
          </cell>
          <cell r="P472">
            <v>89.629649999999998</v>
          </cell>
          <cell r="Q472">
            <v>0</v>
          </cell>
          <cell r="R472">
            <v>149346.70944250003</v>
          </cell>
          <cell r="S472">
            <v>8.9733170606008219</v>
          </cell>
          <cell r="T472">
            <v>0.48782799999999998</v>
          </cell>
          <cell r="U472">
            <v>4.9284009208629825E-3</v>
          </cell>
          <cell r="V472">
            <v>1.7000000000000001E-2</v>
          </cell>
          <cell r="W472">
            <v>0.28088999999999997</v>
          </cell>
          <cell r="X472">
            <v>6.9710000000000001</v>
          </cell>
          <cell r="Y472">
            <v>10.43</v>
          </cell>
          <cell r="AB472">
            <v>0</v>
          </cell>
          <cell r="AC472">
            <v>0.20642961712827801</v>
          </cell>
          <cell r="AD472">
            <v>6.5921556745491244E-2</v>
          </cell>
          <cell r="AE472">
            <v>1.4997001299999999</v>
          </cell>
          <cell r="AF472">
            <v>14.609213726861617</v>
          </cell>
          <cell r="AG472">
            <v>7.9453443373932657</v>
          </cell>
          <cell r="AH472">
            <v>202407</v>
          </cell>
          <cell r="AJ472" t="str">
            <v>GPOC:Prod'n deferment due to power trip in EL Nar.</v>
          </cell>
        </row>
        <row r="473">
          <cell r="C473">
            <v>45481</v>
          </cell>
          <cell r="D473">
            <v>337726</v>
          </cell>
          <cell r="E473">
            <v>30906</v>
          </cell>
          <cell r="F473">
            <v>26560.03</v>
          </cell>
          <cell r="G473">
            <v>4144</v>
          </cell>
          <cell r="H473">
            <v>2369</v>
          </cell>
          <cell r="I473">
            <v>149000</v>
          </cell>
          <cell r="J473">
            <v>175346</v>
          </cell>
          <cell r="K473">
            <v>51607.6</v>
          </cell>
          <cell r="L473">
            <v>13559</v>
          </cell>
          <cell r="M473">
            <v>409953</v>
          </cell>
          <cell r="N473">
            <v>7709</v>
          </cell>
          <cell r="O473">
            <v>5530</v>
          </cell>
          <cell r="P473">
            <v>125.858898</v>
          </cell>
          <cell r="Q473">
            <v>0</v>
          </cell>
          <cell r="R473">
            <v>150256.82685409999</v>
          </cell>
          <cell r="S473">
            <v>8.7481983423333638</v>
          </cell>
          <cell r="T473">
            <v>0.50216799999999995</v>
          </cell>
          <cell r="U473">
            <v>4.978606642559614E-3</v>
          </cell>
          <cell r="V473">
            <v>1.7000000000000001E-2</v>
          </cell>
          <cell r="W473">
            <v>0.27973000000000003</v>
          </cell>
          <cell r="X473">
            <v>6.9710000000000001</v>
          </cell>
          <cell r="Y473">
            <v>10.58</v>
          </cell>
          <cell r="AB473">
            <v>0</v>
          </cell>
          <cell r="AC473">
            <v>0.21492466310063513</v>
          </cell>
          <cell r="AD473">
            <v>6.572333900613625E-2</v>
          </cell>
          <cell r="AE473">
            <v>1.4917001299999999</v>
          </cell>
          <cell r="AF473">
            <v>14.610119865098669</v>
          </cell>
          <cell r="AG473">
            <v>7.9793002504679915</v>
          </cell>
          <cell r="AH473">
            <v>202407</v>
          </cell>
          <cell r="AJ473" t="str">
            <v>GPOC:Prod'n deferment due to power trip in EL Nar.</v>
          </cell>
        </row>
        <row r="474">
          <cell r="C474">
            <v>45482</v>
          </cell>
          <cell r="D474">
            <v>334969</v>
          </cell>
          <cell r="E474">
            <v>31119</v>
          </cell>
          <cell r="F474">
            <v>26497.27</v>
          </cell>
          <cell r="G474">
            <v>4172</v>
          </cell>
          <cell r="H474">
            <v>2361</v>
          </cell>
          <cell r="I474">
            <v>149000</v>
          </cell>
          <cell r="J474">
            <v>176298</v>
          </cell>
          <cell r="K474">
            <v>52291.62</v>
          </cell>
          <cell r="L474">
            <v>12908</v>
          </cell>
          <cell r="M474">
            <v>398954</v>
          </cell>
          <cell r="N474">
            <v>7930</v>
          </cell>
          <cell r="O474">
            <v>605</v>
          </cell>
          <cell r="P474">
            <v>71.892413999999988</v>
          </cell>
          <cell r="Q474">
            <v>0</v>
          </cell>
          <cell r="R474">
            <v>148064.25448629999</v>
          </cell>
          <cell r="S474">
            <v>9.135289270473768</v>
          </cell>
          <cell r="T474">
            <v>0.51335500000000001</v>
          </cell>
          <cell r="U474">
            <v>4.9763412969669853E-3</v>
          </cell>
          <cell r="V474">
            <v>1.7000000000000001E-2</v>
          </cell>
          <cell r="W474">
            <v>0.27462000000000003</v>
          </cell>
          <cell r="X474">
            <v>6.9710000000000001</v>
          </cell>
          <cell r="Y474">
            <v>10.66</v>
          </cell>
          <cell r="Z474">
            <v>0</v>
          </cell>
          <cell r="AA474">
            <v>0</v>
          </cell>
          <cell r="AB474">
            <v>0</v>
          </cell>
          <cell r="AC474">
            <v>0.21492466310063513</v>
          </cell>
          <cell r="AD474">
            <v>6.6006507205214823E-2</v>
          </cell>
          <cell r="AE474">
            <v>1.4075001299999998</v>
          </cell>
          <cell r="AF474">
            <v>17.055956867819916</v>
          </cell>
          <cell r="AG474">
            <v>8.3849665129083633</v>
          </cell>
          <cell r="AH474">
            <v>202407</v>
          </cell>
          <cell r="AJ474" t="str">
            <v>SCB:The heating system being out of service due to internal plugging is causing prod'n deferment.
GPOC:Prod'n deferment due to power trip in Toma South.</v>
          </cell>
        </row>
        <row r="475">
          <cell r="C475">
            <v>45483</v>
          </cell>
          <cell r="D475">
            <v>339831</v>
          </cell>
          <cell r="E475">
            <v>33629</v>
          </cell>
          <cell r="F475">
            <v>25034.57</v>
          </cell>
          <cell r="G475">
            <v>4249</v>
          </cell>
          <cell r="H475">
            <v>2388</v>
          </cell>
          <cell r="I475">
            <v>149000</v>
          </cell>
          <cell r="J475">
            <v>177868</v>
          </cell>
          <cell r="K475">
            <v>52249.84</v>
          </cell>
          <cell r="L475">
            <v>12609</v>
          </cell>
          <cell r="M475">
            <v>394034</v>
          </cell>
          <cell r="N475">
            <v>7864</v>
          </cell>
          <cell r="O475">
            <v>4865</v>
          </cell>
          <cell r="P475">
            <v>126.61367399999999</v>
          </cell>
          <cell r="Q475">
            <v>0</v>
          </cell>
          <cell r="R475">
            <v>149746.06250330003</v>
          </cell>
          <cell r="S475">
            <v>9.8607661965130671</v>
          </cell>
          <cell r="T475">
            <v>0.51475899999999997</v>
          </cell>
          <cell r="U475">
            <v>4.9013583578509795E-3</v>
          </cell>
          <cell r="V475">
            <v>1.7000000000000001E-2</v>
          </cell>
          <cell r="W475">
            <v>0.27202999999999999</v>
          </cell>
          <cell r="X475">
            <v>6.9710000000000001</v>
          </cell>
          <cell r="Y475">
            <v>10.48</v>
          </cell>
          <cell r="Z475">
            <v>0</v>
          </cell>
          <cell r="AA475">
            <v>0</v>
          </cell>
          <cell r="AB475">
            <v>0</v>
          </cell>
          <cell r="AC475">
            <v>0.20926129911906372</v>
          </cell>
          <cell r="AD475">
            <v>6.6940962262174108E-2</v>
          </cell>
          <cell r="AE475">
            <v>1.4618001299999999</v>
          </cell>
          <cell r="AF475">
            <v>17.178087312082504</v>
          </cell>
          <cell r="AG475">
            <v>8.3976096093519388</v>
          </cell>
          <cell r="AH475">
            <v>202407</v>
          </cell>
          <cell r="AJ475" t="str">
            <v>SCB:The heating system being out of service due to internal plugging is causing prod'n deferment.</v>
          </cell>
        </row>
        <row r="476">
          <cell r="C476">
            <v>45484</v>
          </cell>
          <cell r="D476">
            <v>345357</v>
          </cell>
          <cell r="E476">
            <v>32868</v>
          </cell>
          <cell r="F476">
            <v>26336.2</v>
          </cell>
          <cell r="G476">
            <v>4315</v>
          </cell>
          <cell r="H476">
            <v>2388</v>
          </cell>
          <cell r="I476">
            <v>149000</v>
          </cell>
          <cell r="J476">
            <v>177645</v>
          </cell>
          <cell r="K476">
            <v>50924.82</v>
          </cell>
          <cell r="L476">
            <v>12929</v>
          </cell>
          <cell r="M476">
            <v>372509</v>
          </cell>
          <cell r="N476">
            <v>7986</v>
          </cell>
          <cell r="O476">
            <v>3948</v>
          </cell>
          <cell r="P476">
            <v>102.20925</v>
          </cell>
          <cell r="Q476">
            <v>0</v>
          </cell>
          <cell r="R476">
            <v>149074.98711250001</v>
          </cell>
          <cell r="S476">
            <v>9.9117364723472114</v>
          </cell>
          <cell r="T476">
            <v>0.50992999999999999</v>
          </cell>
          <cell r="U476">
            <v>4.9595211059417178E-3</v>
          </cell>
          <cell r="V476">
            <v>1.7000000000000001E-2</v>
          </cell>
          <cell r="W476">
            <v>0.27202999999999999</v>
          </cell>
          <cell r="X476">
            <v>6.9710000000000001</v>
          </cell>
          <cell r="Y476">
            <v>10.63</v>
          </cell>
          <cell r="Z476">
            <v>0</v>
          </cell>
          <cell r="AB476">
            <v>0</v>
          </cell>
          <cell r="AC476">
            <v>0.20784545812367086</v>
          </cell>
          <cell r="AD476">
            <v>6.6119774484846253E-2</v>
          </cell>
          <cell r="AE476">
            <v>1.4550001299999999</v>
          </cell>
          <cell r="AF476">
            <v>17.193151860273485</v>
          </cell>
          <cell r="AG476">
            <v>8.4355406622194149</v>
          </cell>
          <cell r="AH476">
            <v>202407</v>
          </cell>
          <cell r="AJ476" t="str">
            <v>LZC:Prod'n deferred due to heavy barge movement.
GPOC:Prod'n deferred due to power trip in EL Nar.</v>
          </cell>
        </row>
        <row r="477">
          <cell r="C477">
            <v>45485</v>
          </cell>
          <cell r="D477">
            <v>352864</v>
          </cell>
          <cell r="E477">
            <v>30887</v>
          </cell>
          <cell r="F477">
            <v>26298.959999999999</v>
          </cell>
          <cell r="G477">
            <v>4296</v>
          </cell>
          <cell r="H477">
            <v>2262</v>
          </cell>
          <cell r="I477">
            <v>150300</v>
          </cell>
          <cell r="J477">
            <v>176268</v>
          </cell>
          <cell r="K477">
            <v>51799.54</v>
          </cell>
          <cell r="L477">
            <v>13022</v>
          </cell>
          <cell r="M477">
            <v>404246</v>
          </cell>
          <cell r="N477">
            <v>8013</v>
          </cell>
          <cell r="O477">
            <v>5414</v>
          </cell>
          <cell r="P477">
            <v>103.65590399999999</v>
          </cell>
          <cell r="Q477">
            <v>0</v>
          </cell>
          <cell r="R477">
            <v>150554.55805679999</v>
          </cell>
          <cell r="S477">
            <v>9.9635562527785879</v>
          </cell>
          <cell r="T477">
            <v>0.51020799999999999</v>
          </cell>
          <cell r="U477">
            <v>4.3671332334693476E-3</v>
          </cell>
          <cell r="V477">
            <v>1.7000000000000001E-2</v>
          </cell>
          <cell r="W477">
            <v>0.26533000000000001</v>
          </cell>
          <cell r="X477">
            <v>6.9710000000000001</v>
          </cell>
          <cell r="Y477">
            <v>10.6</v>
          </cell>
          <cell r="AB477">
            <v>0</v>
          </cell>
          <cell r="AC477">
            <v>0.21407515850339942</v>
          </cell>
          <cell r="AD477">
            <v>6.4505715750098391E-2</v>
          </cell>
          <cell r="AE477">
            <v>1.4499001299999998</v>
          </cell>
          <cell r="AF477">
            <v>14.743378819585045</v>
          </cell>
          <cell r="AG477">
            <v>8.0031813142674864</v>
          </cell>
          <cell r="AH477">
            <v>202407</v>
          </cell>
          <cell r="AJ477" t="str">
            <v>Sakhalin-1:New Oil Prod'n data received from the Operator.</v>
          </cell>
        </row>
        <row r="478">
          <cell r="C478">
            <v>45486</v>
          </cell>
          <cell r="D478">
            <v>352715</v>
          </cell>
          <cell r="E478">
            <v>31321</v>
          </cell>
          <cell r="F478">
            <v>26321.439999999999</v>
          </cell>
          <cell r="G478">
            <v>4344</v>
          </cell>
          <cell r="H478">
            <v>2408</v>
          </cell>
          <cell r="I478">
            <v>150300</v>
          </cell>
          <cell r="J478">
            <v>174773</v>
          </cell>
          <cell r="K478">
            <v>53560.55</v>
          </cell>
          <cell r="L478">
            <v>13753</v>
          </cell>
          <cell r="M478">
            <v>399768</v>
          </cell>
          <cell r="N478">
            <v>7995</v>
          </cell>
          <cell r="O478">
            <v>6230</v>
          </cell>
          <cell r="P478">
            <v>121.64473199999999</v>
          </cell>
          <cell r="Q478">
            <v>0</v>
          </cell>
          <cell r="R478">
            <v>151235.33337939999</v>
          </cell>
          <cell r="S478">
            <v>9.9275938914956061</v>
          </cell>
          <cell r="T478">
            <v>0.50976500000000002</v>
          </cell>
          <cell r="U478">
            <v>4.4354617199070072E-3</v>
          </cell>
          <cell r="V478">
            <v>1.7000000000000001E-2</v>
          </cell>
          <cell r="W478">
            <v>0.26902999999999999</v>
          </cell>
          <cell r="X478">
            <v>6.9710000000000001</v>
          </cell>
          <cell r="Y478">
            <v>10.55</v>
          </cell>
          <cell r="AB478">
            <v>0</v>
          </cell>
          <cell r="AC478">
            <v>0.2007662531467066</v>
          </cell>
          <cell r="AD478">
            <v>6.4788883949176965E-2</v>
          </cell>
          <cell r="AE478">
            <v>1.4393001299999999</v>
          </cell>
          <cell r="AF478">
            <v>8.235012615143269</v>
          </cell>
          <cell r="AG478">
            <v>6.8804358365976475</v>
          </cell>
          <cell r="AH478">
            <v>202407</v>
          </cell>
          <cell r="AJ478" t="str">
            <v>A1A3: Prod'n deferred due to PSD activated by main power loss at SHP and followed by SHK ESD due to instrument air receiver PSLL.</v>
          </cell>
        </row>
        <row r="479">
          <cell r="C479">
            <v>45487</v>
          </cell>
          <cell r="D479">
            <v>356488</v>
          </cell>
          <cell r="E479">
            <v>32943</v>
          </cell>
          <cell r="F479">
            <v>26423.63</v>
          </cell>
          <cell r="G479">
            <v>4351</v>
          </cell>
          <cell r="H479">
            <v>2482</v>
          </cell>
          <cell r="I479">
            <v>150300</v>
          </cell>
          <cell r="J479">
            <v>175428</v>
          </cell>
          <cell r="K479">
            <v>51977.47</v>
          </cell>
          <cell r="L479">
            <v>13728</v>
          </cell>
          <cell r="M479">
            <v>406863</v>
          </cell>
          <cell r="N479">
            <v>7993</v>
          </cell>
          <cell r="O479">
            <v>6157</v>
          </cell>
          <cell r="P479">
            <v>58.935425999999993</v>
          </cell>
          <cell r="Q479">
            <v>0</v>
          </cell>
          <cell r="R479">
            <v>151904.12224169998</v>
          </cell>
          <cell r="S479">
            <v>9.8582176827213548</v>
          </cell>
          <cell r="T479">
            <v>0.51874900000000002</v>
          </cell>
          <cell r="U479">
            <v>4.6350386666175842E-3</v>
          </cell>
          <cell r="V479">
            <v>1.7000000000000001E-2</v>
          </cell>
          <cell r="W479">
            <v>0.28158</v>
          </cell>
          <cell r="X479">
            <v>6.9710000000000001</v>
          </cell>
          <cell r="Y479">
            <v>10.3</v>
          </cell>
          <cell r="AB479">
            <v>0</v>
          </cell>
          <cell r="AC479">
            <v>0.20218209414209945</v>
          </cell>
          <cell r="AD479">
            <v>6.5072052148255538E-2</v>
          </cell>
          <cell r="AE479">
            <v>1.4292001299999999</v>
          </cell>
          <cell r="AF479">
            <v>14.607826202686132</v>
          </cell>
          <cell r="AG479">
            <v>7.9080509497090725</v>
          </cell>
          <cell r="AH479">
            <v>202407</v>
          </cell>
        </row>
        <row r="480">
          <cell r="C480">
            <v>45488</v>
          </cell>
          <cell r="D480">
            <v>348594</v>
          </cell>
          <cell r="E480">
            <v>33277</v>
          </cell>
          <cell r="F480">
            <v>26282.04</v>
          </cell>
          <cell r="G480">
            <v>4343</v>
          </cell>
          <cell r="H480">
            <v>2330</v>
          </cell>
          <cell r="I480">
            <v>150300</v>
          </cell>
          <cell r="J480">
            <v>176487</v>
          </cell>
          <cell r="K480">
            <v>52108.06</v>
          </cell>
          <cell r="L480">
            <v>13228</v>
          </cell>
          <cell r="M480">
            <v>414832</v>
          </cell>
          <cell r="N480">
            <v>8007.9999999999991</v>
          </cell>
          <cell r="O480">
            <v>4786</v>
          </cell>
          <cell r="P480">
            <v>104.72516999999999</v>
          </cell>
          <cell r="Q480">
            <v>0</v>
          </cell>
          <cell r="R480">
            <v>151536.81572649998</v>
          </cell>
          <cell r="S480">
            <v>10.021605733589697</v>
          </cell>
          <cell r="T480">
            <v>0.51628799999999997</v>
          </cell>
          <cell r="U480">
            <v>4.4862904116416101E-3</v>
          </cell>
          <cell r="V480">
            <v>1.7000000000000001E-2</v>
          </cell>
          <cell r="W480">
            <v>0.27723000000000003</v>
          </cell>
          <cell r="X480">
            <v>6.9710000000000001</v>
          </cell>
          <cell r="Y480">
            <v>10.63</v>
          </cell>
          <cell r="Z480">
            <v>0</v>
          </cell>
          <cell r="AA480">
            <v>0</v>
          </cell>
          <cell r="AB480">
            <v>0</v>
          </cell>
          <cell r="AC480">
            <v>0.21294248570708513</v>
          </cell>
          <cell r="AD480">
            <v>6.9177991034894817E-2</v>
          </cell>
          <cell r="AE480">
            <v>1.4158001299999998</v>
          </cell>
          <cell r="AF480">
            <v>14.609326994141249</v>
          </cell>
          <cell r="AG480">
            <v>7.989557773079822</v>
          </cell>
          <cell r="AH480">
            <v>202407</v>
          </cell>
        </row>
        <row r="481">
          <cell r="C481">
            <v>45489</v>
          </cell>
          <cell r="D481">
            <v>357153</v>
          </cell>
          <cell r="E481">
            <v>30069</v>
          </cell>
          <cell r="F481">
            <v>26265.77</v>
          </cell>
          <cell r="G481">
            <v>4313</v>
          </cell>
          <cell r="H481">
            <v>2263</v>
          </cell>
          <cell r="I481">
            <v>150300</v>
          </cell>
          <cell r="J481">
            <v>176270</v>
          </cell>
          <cell r="K481">
            <v>51761.36</v>
          </cell>
          <cell r="L481">
            <v>12898</v>
          </cell>
          <cell r="M481">
            <v>409464</v>
          </cell>
          <cell r="N481">
            <v>7995</v>
          </cell>
          <cell r="O481">
            <v>4129</v>
          </cell>
          <cell r="P481">
            <v>110.82627599999999</v>
          </cell>
          <cell r="Q481">
            <v>0</v>
          </cell>
          <cell r="R481">
            <v>150076.06762420002</v>
          </cell>
          <cell r="S481">
            <v>9.7684533636134532</v>
          </cell>
          <cell r="T481">
            <v>0.483989</v>
          </cell>
          <cell r="U481">
            <v>4.6881043871249079E-3</v>
          </cell>
          <cell r="V481">
            <v>1.7000000000000001E-2</v>
          </cell>
          <cell r="W481">
            <v>0.28277999999999998</v>
          </cell>
          <cell r="X481">
            <v>6.9710000000000001</v>
          </cell>
          <cell r="Y481">
            <v>10.75</v>
          </cell>
          <cell r="AB481">
            <v>0</v>
          </cell>
          <cell r="AC481">
            <v>0.21520783129971369</v>
          </cell>
          <cell r="AD481">
            <v>6.3373042953784112E-2</v>
          </cell>
          <cell r="AE481">
            <v>1.4032001299999999</v>
          </cell>
          <cell r="AF481">
            <v>14.92287914098095</v>
          </cell>
          <cell r="AG481">
            <v>8.0574415668617014</v>
          </cell>
          <cell r="AH481">
            <v>202407</v>
          </cell>
          <cell r="AJ481" t="str">
            <v>LZC:Prod'n deferred due to One COS tanks (capacity approx. 533 MB) out of operation, due to integrity issues.</v>
          </cell>
        </row>
        <row r="482">
          <cell r="C482">
            <v>45490</v>
          </cell>
          <cell r="D482">
            <v>352406</v>
          </cell>
          <cell r="E482">
            <v>12497</v>
          </cell>
          <cell r="F482">
            <v>26181.57</v>
          </cell>
          <cell r="G482">
            <v>4283</v>
          </cell>
          <cell r="H482">
            <v>2444</v>
          </cell>
          <cell r="I482">
            <v>150300</v>
          </cell>
          <cell r="J482">
            <v>171525</v>
          </cell>
          <cell r="K482">
            <v>51926.54</v>
          </cell>
          <cell r="L482">
            <v>13036</v>
          </cell>
          <cell r="M482">
            <v>397441</v>
          </cell>
          <cell r="N482">
            <v>7964</v>
          </cell>
          <cell r="O482">
            <v>4163</v>
          </cell>
          <cell r="P482">
            <v>106.29761999999998</v>
          </cell>
          <cell r="Q482">
            <v>0</v>
          </cell>
          <cell r="R482">
            <v>143697.151529</v>
          </cell>
          <cell r="S482">
            <v>8.8634477993583403</v>
          </cell>
          <cell r="T482">
            <v>0.341034</v>
          </cell>
          <cell r="U482">
            <v>4.6870000311485015E-3</v>
          </cell>
          <cell r="V482">
            <v>1.7000000000000001E-2</v>
          </cell>
          <cell r="W482">
            <v>0.28255000000000002</v>
          </cell>
          <cell r="X482">
            <v>6.9710000000000001</v>
          </cell>
          <cell r="Y482">
            <v>10.81</v>
          </cell>
          <cell r="Z482">
            <v>0</v>
          </cell>
          <cell r="AB482">
            <v>0</v>
          </cell>
          <cell r="AC482">
            <v>0.21747317689234227</v>
          </cell>
          <cell r="AD482">
            <v>6.7620565939962671E-2</v>
          </cell>
          <cell r="AE482">
            <v>1.39640013</v>
          </cell>
          <cell r="AF482">
            <v>14.907927860069604</v>
          </cell>
          <cell r="AG482">
            <v>8.0096537947329569</v>
          </cell>
          <cell r="AH482">
            <v>202407</v>
          </cell>
          <cell r="AJ482" t="str">
            <v xml:space="preserve">BC-10: prod'n deffered due to leakage was detected in offloading hose section,normal prod'n resume expected by 23rd Jul'24. </v>
          </cell>
        </row>
        <row r="483">
          <cell r="C483">
            <v>45491</v>
          </cell>
          <cell r="D483">
            <v>344670</v>
          </cell>
          <cell r="E483">
            <v>2252</v>
          </cell>
          <cell r="F483">
            <v>26280.48</v>
          </cell>
          <cell r="G483">
            <v>4292</v>
          </cell>
          <cell r="H483">
            <v>2448</v>
          </cell>
          <cell r="I483">
            <v>150300</v>
          </cell>
          <cell r="J483">
            <v>178486</v>
          </cell>
          <cell r="K483">
            <v>48733.14</v>
          </cell>
          <cell r="L483">
            <v>12649</v>
          </cell>
          <cell r="M483">
            <v>335620</v>
          </cell>
          <cell r="N483">
            <v>7786</v>
          </cell>
          <cell r="O483">
            <v>3706</v>
          </cell>
          <cell r="P483">
            <v>115.669422</v>
          </cell>
          <cell r="Q483">
            <v>0</v>
          </cell>
          <cell r="R483">
            <v>139077.18048989997</v>
          </cell>
          <cell r="S483">
            <v>10.072576009423836</v>
          </cell>
          <cell r="T483">
            <v>0.18399799999999999</v>
          </cell>
          <cell r="U483">
            <v>4.5816048274514576E-3</v>
          </cell>
          <cell r="V483">
            <v>1.7000000000000001E-2</v>
          </cell>
          <cell r="W483">
            <v>0.29354000000000002</v>
          </cell>
          <cell r="X483">
            <v>6.9710000000000001</v>
          </cell>
          <cell r="Y483">
            <v>10.71</v>
          </cell>
          <cell r="AB483">
            <v>0</v>
          </cell>
          <cell r="AC483">
            <v>0.21096030831353516</v>
          </cell>
          <cell r="AD483">
            <v>6.7337397740884111E-2</v>
          </cell>
          <cell r="AE483">
            <v>1.3956001299999998</v>
          </cell>
          <cell r="AF483">
            <v>14.908692414207113</v>
          </cell>
          <cell r="AG483">
            <v>7.9790414511229582</v>
          </cell>
          <cell r="AH483">
            <v>202407</v>
          </cell>
          <cell r="AJ483" t="str">
            <v xml:space="preserve">LZC:Production deffered due to GPF train 2 maintenance activity.
GPOC:Prod'n deffered due to EL Nar FPF shutdown due to security reason.
BC-10: prod'n deffered due to leakage was detected in offloading hose section,normal prod'n resume expected by 23rd Jul'24. </v>
          </cell>
        </row>
        <row r="484">
          <cell r="C484">
            <v>45492</v>
          </cell>
          <cell r="D484">
            <v>348836</v>
          </cell>
          <cell r="E484">
            <v>2252</v>
          </cell>
          <cell r="F484">
            <v>26536</v>
          </cell>
          <cell r="G484">
            <v>4262</v>
          </cell>
          <cell r="H484">
            <v>2367</v>
          </cell>
          <cell r="I484">
            <v>140600</v>
          </cell>
          <cell r="J484">
            <v>175725</v>
          </cell>
          <cell r="K484">
            <v>51562.03</v>
          </cell>
          <cell r="L484">
            <v>12558</v>
          </cell>
          <cell r="M484">
            <v>344036</v>
          </cell>
          <cell r="N484">
            <v>7773</v>
          </cell>
          <cell r="O484">
            <v>1141</v>
          </cell>
          <cell r="P484">
            <v>105.228354</v>
          </cell>
          <cell r="Q484">
            <v>0</v>
          </cell>
          <cell r="R484">
            <v>136588.19935929999</v>
          </cell>
          <cell r="S484">
            <v>9.5008594154842019</v>
          </cell>
          <cell r="T484">
            <v>0.18399799999999999</v>
          </cell>
          <cell r="U484">
            <v>4.9628624906908449E-3</v>
          </cell>
          <cell r="V484">
            <v>1.7000000000000001E-2</v>
          </cell>
          <cell r="W484">
            <v>0.29572000000000004</v>
          </cell>
          <cell r="X484">
            <v>6.9710000000000001</v>
          </cell>
          <cell r="Y484">
            <v>10.64</v>
          </cell>
          <cell r="AB484">
            <v>0</v>
          </cell>
          <cell r="AC484">
            <v>0.21322565390616371</v>
          </cell>
          <cell r="AD484">
            <v>6.8356803257566962E-2</v>
          </cell>
          <cell r="AE484">
            <v>1.3896001299999998</v>
          </cell>
          <cell r="AF484">
            <v>14.926985079867592</v>
          </cell>
          <cell r="AG484">
            <v>7.9511483815513646</v>
          </cell>
          <cell r="AH484">
            <v>202407</v>
          </cell>
          <cell r="AI484" t="str">
            <v>Prev. day data for BC-10.</v>
          </cell>
          <cell r="AJ484" t="str">
            <v xml:space="preserve">SCB:The heating system being out of service due to internal plugging is causing prod'n deferment.
BC-10: prod'n deffered due to leakage was detected in offloading hose section,normal prod'n resume expected by 23rd Jul'24. </v>
          </cell>
        </row>
        <row r="485">
          <cell r="C485">
            <v>45493</v>
          </cell>
          <cell r="D485">
            <v>339511</v>
          </cell>
          <cell r="E485">
            <v>491</v>
          </cell>
          <cell r="F485">
            <v>25950.23</v>
          </cell>
          <cell r="G485">
            <v>4272</v>
          </cell>
          <cell r="H485">
            <v>2388</v>
          </cell>
          <cell r="I485">
            <v>140600</v>
          </cell>
          <cell r="J485">
            <v>175041</v>
          </cell>
          <cell r="K485">
            <v>53109.03</v>
          </cell>
          <cell r="L485">
            <v>12680</v>
          </cell>
          <cell r="M485">
            <v>372112</v>
          </cell>
          <cell r="N485">
            <v>7954</v>
          </cell>
          <cell r="O485">
            <v>3830</v>
          </cell>
          <cell r="P485">
            <v>121.58183399999999</v>
          </cell>
          <cell r="Q485">
            <v>0</v>
          </cell>
          <cell r="R485">
            <v>137977.53442530002</v>
          </cell>
          <cell r="S485">
            <v>9.7811959325719862</v>
          </cell>
          <cell r="T485">
            <v>1.9241000000000001E-2</v>
          </cell>
          <cell r="U485">
            <v>5.0380436475462058E-3</v>
          </cell>
          <cell r="V485">
            <v>1.7000000000000001E-2</v>
          </cell>
          <cell r="W485">
            <v>0.29541000000000001</v>
          </cell>
          <cell r="X485">
            <v>6.9710000000000001</v>
          </cell>
          <cell r="Y485">
            <v>10.65</v>
          </cell>
          <cell r="AB485">
            <v>0</v>
          </cell>
          <cell r="AC485">
            <v>0.21492466310063513</v>
          </cell>
          <cell r="AD485">
            <v>6.8470070537198391E-2</v>
          </cell>
          <cell r="AE485">
            <v>1.37600013</v>
          </cell>
          <cell r="AF485">
            <v>14.919028053473481</v>
          </cell>
          <cell r="AG485">
            <v>7.9082418953421367</v>
          </cell>
          <cell r="AH485">
            <v>202407</v>
          </cell>
          <cell r="AJ485" t="str">
            <v xml:space="preserve">CPO-5:Prod'n defferd due to community blocked at CPH field.
BC-10: prod'n deffered due to leakage was detected in offloading hose section,normal prod'n resume expected by 23rd Jul'24. </v>
          </cell>
        </row>
        <row r="486">
          <cell r="C486">
            <v>45494</v>
          </cell>
          <cell r="D486">
            <v>343961</v>
          </cell>
          <cell r="E486">
            <v>94</v>
          </cell>
          <cell r="F486">
            <v>25566.82</v>
          </cell>
          <cell r="G486">
            <v>4276</v>
          </cell>
          <cell r="H486">
            <v>2415</v>
          </cell>
          <cell r="I486">
            <v>140600</v>
          </cell>
          <cell r="J486">
            <v>178016</v>
          </cell>
          <cell r="K486">
            <v>51181.1</v>
          </cell>
          <cell r="L486">
            <v>12729</v>
          </cell>
          <cell r="M486">
            <v>398682</v>
          </cell>
          <cell r="N486">
            <v>7810</v>
          </cell>
          <cell r="O486">
            <v>5884</v>
          </cell>
          <cell r="P486">
            <v>120.44966999999998</v>
          </cell>
          <cell r="Q486">
            <v>0</v>
          </cell>
          <cell r="R486">
            <v>139905.14170149999</v>
          </cell>
          <cell r="S486">
            <v>10.126094799049685</v>
          </cell>
          <cell r="T486">
            <v>1.6174000000000001E-2</v>
          </cell>
          <cell r="U486">
            <v>4.9249179520143163E-3</v>
          </cell>
          <cell r="V486">
            <v>1.7000000000000001E-2</v>
          </cell>
          <cell r="W486">
            <v>0.30307999999999996</v>
          </cell>
          <cell r="X486">
            <v>6.9710000000000001</v>
          </cell>
          <cell r="Y486">
            <v>10.54</v>
          </cell>
          <cell r="AB486">
            <v>0</v>
          </cell>
          <cell r="AC486">
            <v>0.21662367229510657</v>
          </cell>
          <cell r="AD486">
            <v>6.5638388546412685E-2</v>
          </cell>
          <cell r="AE486">
            <v>1.3638001299999998</v>
          </cell>
          <cell r="AF486">
            <v>14.919622706691545</v>
          </cell>
          <cell r="AG486">
            <v>7.8880370904330466</v>
          </cell>
          <cell r="AH486">
            <v>202407</v>
          </cell>
          <cell r="AJ486" t="str">
            <v xml:space="preserve">CPO-5:Prod'n defferd due to community blocked at CPH field.
BC-10: prod'n deffered due to leakage was detected in offloading hose section,normal prod'n resume expected by 23rd Jul'24. </v>
          </cell>
        </row>
        <row r="487">
          <cell r="C487">
            <v>45495</v>
          </cell>
          <cell r="D487">
            <v>343749</v>
          </cell>
          <cell r="E487">
            <v>8566</v>
          </cell>
          <cell r="F487">
            <v>25576.959999999999</v>
          </cell>
          <cell r="G487">
            <v>4273</v>
          </cell>
          <cell r="H487">
            <v>2404</v>
          </cell>
          <cell r="I487">
            <v>140600</v>
          </cell>
          <cell r="J487">
            <v>178125</v>
          </cell>
          <cell r="K487">
            <v>50367.42</v>
          </cell>
          <cell r="L487">
            <v>12671</v>
          </cell>
          <cell r="M487">
            <v>410972</v>
          </cell>
          <cell r="N487">
            <v>8020</v>
          </cell>
          <cell r="O487">
            <v>704</v>
          </cell>
          <cell r="P487">
            <v>103.089822</v>
          </cell>
          <cell r="Q487">
            <v>0</v>
          </cell>
          <cell r="R487">
            <v>140428.09806990001</v>
          </cell>
          <cell r="S487">
            <v>10.403882802345764</v>
          </cell>
          <cell r="T487">
            <v>3.1733999999999998E-2</v>
          </cell>
          <cell r="U487">
            <v>4.9467502201632745E-3</v>
          </cell>
          <cell r="V487">
            <v>1.7000000000000001E-2</v>
          </cell>
          <cell r="W487">
            <v>0.30158999999999997</v>
          </cell>
          <cell r="X487">
            <v>6.9710000000000001</v>
          </cell>
          <cell r="Y487">
            <v>10.74</v>
          </cell>
          <cell r="Z487">
            <v>0</v>
          </cell>
          <cell r="AB487">
            <v>0</v>
          </cell>
          <cell r="AC487">
            <v>0.21294248570708513</v>
          </cell>
          <cell r="AD487">
            <v>6.8158585518211953E-2</v>
          </cell>
          <cell r="AE487">
            <v>1.3534001299999998</v>
          </cell>
          <cell r="AF487">
            <v>14.907050038652457</v>
          </cell>
          <cell r="AG487">
            <v>7.9429662705942849</v>
          </cell>
          <cell r="AH487">
            <v>202407</v>
          </cell>
          <cell r="AJ487" t="str">
            <v>BC-10: Prod'n is being restored after resolving the leakage issue.
CPO-5:Prod'n defferd due to community blocked at CPH field.
SCB:The heating system being out of service due to internal plugging is causing prod'n deferment.</v>
          </cell>
        </row>
        <row r="488">
          <cell r="C488">
            <v>45496</v>
          </cell>
          <cell r="D488">
            <v>340268</v>
          </cell>
          <cell r="E488">
            <v>20176</v>
          </cell>
          <cell r="F488">
            <v>25951.4</v>
          </cell>
          <cell r="G488">
            <v>4167</v>
          </cell>
          <cell r="H488">
            <v>2407</v>
          </cell>
          <cell r="I488">
            <v>140600</v>
          </cell>
          <cell r="J488">
            <v>175945</v>
          </cell>
          <cell r="K488">
            <v>52731.55</v>
          </cell>
          <cell r="L488">
            <v>12450</v>
          </cell>
          <cell r="M488">
            <v>413813</v>
          </cell>
          <cell r="N488">
            <v>8058.9999999999991</v>
          </cell>
          <cell r="O488">
            <v>5717</v>
          </cell>
          <cell r="P488">
            <v>98.435369999999992</v>
          </cell>
          <cell r="Q488">
            <v>0</v>
          </cell>
          <cell r="R488">
            <v>145786.44671649998</v>
          </cell>
          <cell r="S488">
            <v>10.154977955355697</v>
          </cell>
          <cell r="T488">
            <v>8.1160999999999997E-2</v>
          </cell>
          <cell r="U488">
            <v>4.9513375449883471E-3</v>
          </cell>
          <cell r="V488">
            <v>1.7000000000000001E-2</v>
          </cell>
          <cell r="W488">
            <v>0.29747000000000001</v>
          </cell>
          <cell r="X488">
            <v>6.9710000000000001</v>
          </cell>
          <cell r="Y488">
            <v>3.23</v>
          </cell>
          <cell r="AB488">
            <v>0</v>
          </cell>
          <cell r="AC488">
            <v>0.21294248570708513</v>
          </cell>
          <cell r="AD488">
            <v>6.7054229541805524E-2</v>
          </cell>
          <cell r="AE488">
            <v>1.3452001299999998</v>
          </cell>
          <cell r="AF488">
            <v>14.927551416265748</v>
          </cell>
          <cell r="AG488">
            <v>5.9931985615598879</v>
          </cell>
          <cell r="AH488">
            <v>202407</v>
          </cell>
          <cell r="AJ488" t="str">
            <v>BC-10: Prod'n is being restored after resolving the leakage issue.
Sakhalin-1:Prod'n figures revised by the Operator.
Vankor:Less gas prduction  due to the annual scheduled preventive maintenance of gas treatment and transfer facilities (for gas delivery in Gazprom header ) from 23.07.2024 to 30.07.2024.</v>
          </cell>
        </row>
        <row r="489">
          <cell r="C489">
            <v>45497</v>
          </cell>
          <cell r="D489">
            <v>339489</v>
          </cell>
          <cell r="E489">
            <v>16050</v>
          </cell>
          <cell r="F489">
            <v>26478.78</v>
          </cell>
          <cell r="G489">
            <v>4223</v>
          </cell>
          <cell r="H489">
            <v>2407</v>
          </cell>
          <cell r="I489">
            <v>140600</v>
          </cell>
          <cell r="J489">
            <v>175457</v>
          </cell>
          <cell r="K489">
            <v>52708.92</v>
          </cell>
          <cell r="L489">
            <v>12602</v>
          </cell>
          <cell r="M489">
            <v>447051</v>
          </cell>
          <cell r="N489">
            <v>8000.9999999999991</v>
          </cell>
          <cell r="O489">
            <v>5618</v>
          </cell>
          <cell r="P489">
            <v>108.49905</v>
          </cell>
          <cell r="Q489">
            <v>0</v>
          </cell>
          <cell r="R489">
            <v>146243.79897249999</v>
          </cell>
          <cell r="S489">
            <v>10.33507292996967</v>
          </cell>
          <cell r="T489">
            <v>0.16046099999999999</v>
          </cell>
          <cell r="U489">
            <v>4.8585433261503002E-3</v>
          </cell>
          <cell r="V489">
            <v>1.7000000000000001E-2</v>
          </cell>
          <cell r="W489">
            <v>0.29258000000000001</v>
          </cell>
          <cell r="X489">
            <v>6.9710000000000001</v>
          </cell>
          <cell r="Y489">
            <v>2.98</v>
          </cell>
          <cell r="Z489">
            <v>0</v>
          </cell>
          <cell r="AB489">
            <v>0</v>
          </cell>
          <cell r="AC489">
            <v>0.21096030831353516</v>
          </cell>
          <cell r="AD489">
            <v>7.1811455286325515E-2</v>
          </cell>
          <cell r="AE489">
            <v>1.35590013</v>
          </cell>
          <cell r="AF489">
            <v>14.473292991303904</v>
          </cell>
          <cell r="AG489">
            <v>5.878090718061288</v>
          </cell>
          <cell r="AH489">
            <v>202407</v>
          </cell>
          <cell r="AJ489" t="str">
            <v>Vankor:Less gas prduction  due to the annual scheduled preventive maintenance of gas treatment and transfer facilities (for gas delivery in Gazprom header ) from 23.07.2024 to 30.07.2024.
BC-10: Prod'n is being restored after resolving the leakage issue.</v>
          </cell>
        </row>
        <row r="490">
          <cell r="C490">
            <v>45498</v>
          </cell>
          <cell r="D490">
            <v>356327</v>
          </cell>
          <cell r="E490">
            <v>23447</v>
          </cell>
          <cell r="F490">
            <v>26450.59</v>
          </cell>
          <cell r="G490">
            <v>4222</v>
          </cell>
          <cell r="H490">
            <v>2424</v>
          </cell>
          <cell r="I490">
            <v>140600</v>
          </cell>
          <cell r="J490">
            <v>174606</v>
          </cell>
          <cell r="K490">
            <v>51822.97</v>
          </cell>
          <cell r="L490">
            <v>12901</v>
          </cell>
          <cell r="M490">
            <v>453953</v>
          </cell>
          <cell r="N490">
            <v>8000.9999999999991</v>
          </cell>
          <cell r="O490">
            <v>1115</v>
          </cell>
          <cell r="P490">
            <v>102.272148</v>
          </cell>
          <cell r="Q490">
            <v>0</v>
          </cell>
          <cell r="R490">
            <v>146728.17791659999</v>
          </cell>
          <cell r="S490">
            <v>10.416059034906141</v>
          </cell>
          <cell r="T490">
            <v>0.20316400000000001</v>
          </cell>
          <cell r="U490">
            <v>5.0740343256490917E-3</v>
          </cell>
          <cell r="V490">
            <v>1.7000000000000001E-2</v>
          </cell>
          <cell r="W490">
            <v>0.28969</v>
          </cell>
          <cell r="X490">
            <v>6.9710000000000001</v>
          </cell>
          <cell r="Y490">
            <v>2.94</v>
          </cell>
          <cell r="AB490">
            <v>0</v>
          </cell>
          <cell r="AC490">
            <v>0.21350882210524227</v>
          </cell>
          <cell r="AD490">
            <v>6.7450665020515541E-2</v>
          </cell>
          <cell r="AE490">
            <v>1.3464001299999999</v>
          </cell>
          <cell r="AF490">
            <v>14.473632793142798</v>
          </cell>
          <cell r="AG490">
            <v>5.8726709375083459</v>
          </cell>
          <cell r="AH490">
            <v>202407</v>
          </cell>
          <cell r="AJ490" t="str">
            <v>Vankor:Less gas prod'n due to the annual scheduled preventive maintenance of gas treatment and transfer facilities (for gas delivery in Gazprom header ) from 23rd Jul'24 to 30th Jul'24.</v>
          </cell>
        </row>
        <row r="491">
          <cell r="C491">
            <v>45499</v>
          </cell>
          <cell r="D491">
            <v>348642</v>
          </cell>
          <cell r="E491">
            <v>19308</v>
          </cell>
          <cell r="F491">
            <v>26409.13</v>
          </cell>
          <cell r="G491">
            <v>4216</v>
          </cell>
          <cell r="H491">
            <v>2417</v>
          </cell>
          <cell r="I491">
            <v>139860</v>
          </cell>
          <cell r="J491">
            <v>175897</v>
          </cell>
          <cell r="K491">
            <v>53521.440000000002</v>
          </cell>
          <cell r="L491">
            <v>12536</v>
          </cell>
          <cell r="M491">
            <v>468699</v>
          </cell>
          <cell r="N491">
            <v>7986</v>
          </cell>
          <cell r="O491">
            <v>5765</v>
          </cell>
          <cell r="P491">
            <v>96.737123999999994</v>
          </cell>
          <cell r="Q491">
            <v>0</v>
          </cell>
          <cell r="R491">
            <v>148364.0229058</v>
          </cell>
          <cell r="S491">
            <v>10.202833380999978</v>
          </cell>
          <cell r="T491">
            <v>0.20514199999999999</v>
          </cell>
          <cell r="U491">
            <v>4.9548771474768293E-3</v>
          </cell>
          <cell r="V491">
            <v>1.7000000000000001E-2</v>
          </cell>
          <cell r="W491">
            <v>0.28708999999999996</v>
          </cell>
          <cell r="X491">
            <v>6.9710000000000001</v>
          </cell>
          <cell r="Y491">
            <v>2.94</v>
          </cell>
          <cell r="Z491">
            <v>0</v>
          </cell>
          <cell r="AB491">
            <v>0</v>
          </cell>
          <cell r="AC491">
            <v>0.21379199030432083</v>
          </cell>
          <cell r="AD491">
            <v>7.0792049769642665E-2</v>
          </cell>
          <cell r="AE491">
            <v>1.33360013</v>
          </cell>
          <cell r="AF491">
            <v>14.472670021265932</v>
          </cell>
          <cell r="AG491">
            <v>5.861040106060873</v>
          </cell>
          <cell r="AH491">
            <v>202407</v>
          </cell>
          <cell r="AJ491" t="str">
            <v>Vankor:Less gas prod'n due to the annual scheduled preventive maintenance of gas treatment and transfer facilities (for gas delivery in Gazprom header ) from 23rd Jul'24 to 30th Jul'24.
BC-10:Reason awaited from the operator regarding prod'n deferment.</v>
          </cell>
        </row>
        <row r="492">
          <cell r="C492">
            <v>45500</v>
          </cell>
          <cell r="D492">
            <v>358789</v>
          </cell>
          <cell r="E492">
            <v>26195</v>
          </cell>
          <cell r="F492">
            <v>26438.66</v>
          </cell>
          <cell r="G492">
            <v>4220</v>
          </cell>
          <cell r="H492">
            <v>2340</v>
          </cell>
          <cell r="I492">
            <v>139860</v>
          </cell>
          <cell r="J492">
            <v>175636</v>
          </cell>
          <cell r="K492">
            <v>53296.4</v>
          </cell>
          <cell r="L492">
            <v>12698</v>
          </cell>
          <cell r="M492">
            <v>484347</v>
          </cell>
          <cell r="N492">
            <v>7501</v>
          </cell>
          <cell r="O492">
            <v>6778</v>
          </cell>
          <cell r="P492">
            <v>86.925035999999992</v>
          </cell>
          <cell r="Q492">
            <v>0</v>
          </cell>
          <cell r="R492">
            <v>151291.89666620002</v>
          </cell>
          <cell r="S492">
            <v>10.285801663329998</v>
          </cell>
          <cell r="T492">
            <v>0.21004900000000001</v>
          </cell>
          <cell r="U492">
            <v>5.1065703517232195E-3</v>
          </cell>
          <cell r="V492">
            <v>1.7000000000000001E-2</v>
          </cell>
          <cell r="W492">
            <v>0.26869999999999999</v>
          </cell>
          <cell r="X492">
            <v>6.9710000000000001</v>
          </cell>
          <cell r="Y492">
            <v>2.78</v>
          </cell>
          <cell r="Z492">
            <v>0</v>
          </cell>
          <cell r="AB492">
            <v>0</v>
          </cell>
          <cell r="AC492">
            <v>0.21209298110984942</v>
          </cell>
          <cell r="AD492">
            <v>6.8979773295539809E-2</v>
          </cell>
          <cell r="AE492">
            <v>1.3244001299999999</v>
          </cell>
          <cell r="AF492">
            <v>14.474142495901139</v>
          </cell>
          <cell r="AG492">
            <v>5.7995962677126229</v>
          </cell>
          <cell r="AH492">
            <v>202407</v>
          </cell>
          <cell r="AJ492" t="str">
            <v>Vankor:Less gas prod'n due to the annual scheduled preventive maintenance of gas treatment and transfer facilities (for gas delivery in Gazprom header ) from 23rd Jul'24 to 30th Jul'24.</v>
          </cell>
        </row>
        <row r="493">
          <cell r="C493">
            <v>45501</v>
          </cell>
          <cell r="D493">
            <v>342851</v>
          </cell>
          <cell r="E493">
            <v>38742</v>
          </cell>
          <cell r="F493">
            <v>26412.74</v>
          </cell>
          <cell r="G493">
            <v>4213</v>
          </cell>
          <cell r="H493">
            <v>2383</v>
          </cell>
          <cell r="I493">
            <v>139860</v>
          </cell>
          <cell r="J493">
            <v>173771</v>
          </cell>
          <cell r="K493">
            <v>51847.11</v>
          </cell>
          <cell r="L493">
            <v>13044</v>
          </cell>
          <cell r="M493">
            <v>481640</v>
          </cell>
          <cell r="N493">
            <v>6967</v>
          </cell>
          <cell r="O493">
            <v>5805</v>
          </cell>
          <cell r="P493">
            <v>101.768964</v>
          </cell>
          <cell r="Q493">
            <v>0</v>
          </cell>
          <cell r="R493">
            <v>153019.48463379999</v>
          </cell>
          <cell r="S493">
            <v>8.7663211070743916</v>
          </cell>
          <cell r="T493">
            <v>0.25830500000000001</v>
          </cell>
          <cell r="U493">
            <v>4.4192361820998049E-3</v>
          </cell>
          <cell r="V493">
            <v>1.7000000000000001E-2</v>
          </cell>
          <cell r="W493">
            <v>0.29408000000000001</v>
          </cell>
          <cell r="X493">
            <v>6.9710000000000001</v>
          </cell>
          <cell r="Y493">
            <v>3.88</v>
          </cell>
          <cell r="AB493">
            <v>0</v>
          </cell>
          <cell r="AC493">
            <v>0.2086949627209066</v>
          </cell>
          <cell r="AD493">
            <v>7.3085712182179088E-2</v>
          </cell>
          <cell r="AE493">
            <v>1.30740013</v>
          </cell>
          <cell r="AF493">
            <v>14.467431409582979</v>
          </cell>
          <cell r="AG493">
            <v>6.0809019618021667</v>
          </cell>
          <cell r="AH493">
            <v>202407</v>
          </cell>
          <cell r="AJ493" t="str">
            <v>Vankor:Less gas prod'n due to the annual scheduled preventive maintenance of gas treatment and transfer facilities (for gas delivery in Gazprom header ) from 23rd Jul'24 to 30th Jul'24.
PCB:PCB:Prod'n deferred due to electrical failure leading to minor shatdowns.</v>
          </cell>
        </row>
        <row r="494">
          <cell r="C494">
            <v>45502</v>
          </cell>
          <cell r="D494">
            <v>325258</v>
          </cell>
          <cell r="E494">
            <v>30541</v>
          </cell>
          <cell r="F494">
            <v>26405.61</v>
          </cell>
          <cell r="G494">
            <v>4183</v>
          </cell>
          <cell r="H494">
            <v>2384</v>
          </cell>
          <cell r="I494">
            <v>139860</v>
          </cell>
          <cell r="J494">
            <v>173370</v>
          </cell>
          <cell r="K494">
            <v>52902.1</v>
          </cell>
          <cell r="L494">
            <v>13126</v>
          </cell>
          <cell r="M494">
            <v>477084</v>
          </cell>
          <cell r="N494">
            <v>8199</v>
          </cell>
          <cell r="O494">
            <v>4070.0000000000005</v>
          </cell>
          <cell r="P494">
            <v>101.391576</v>
          </cell>
          <cell r="Q494">
            <v>0</v>
          </cell>
          <cell r="R494">
            <v>149818.20550920002</v>
          </cell>
          <cell r="S494">
            <v>7.4195731522567083</v>
          </cell>
          <cell r="T494">
            <v>0.26269700000000001</v>
          </cell>
          <cell r="U494">
            <v>5.1195960888808338E-3</v>
          </cell>
          <cell r="V494">
            <v>1.7000000000000001E-2</v>
          </cell>
          <cell r="W494">
            <v>0.29358999999999996</v>
          </cell>
          <cell r="X494">
            <v>6.9710000000000001</v>
          </cell>
          <cell r="Y494">
            <v>9</v>
          </cell>
          <cell r="AB494">
            <v>0</v>
          </cell>
          <cell r="AC494">
            <v>0.25541771556887072</v>
          </cell>
          <cell r="AD494">
            <v>7.6653631490569071E-2</v>
          </cell>
          <cell r="AE494">
            <v>1.2989001299999998</v>
          </cell>
          <cell r="AF494">
            <v>14.466355370426479</v>
          </cell>
          <cell r="AG494">
            <v>7.3847369198606501</v>
          </cell>
          <cell r="AH494">
            <v>202407</v>
          </cell>
          <cell r="AJ494" t="str">
            <v>Vankor:Less gas prod'n due to the annual scheduled preventive maintenance of gas treatment and transfer facilities (for gas delivery in Gazprom header ) from 23rd Jul'24 to 30th Jul'24.</v>
          </cell>
        </row>
        <row r="495">
          <cell r="C495">
            <v>45503</v>
          </cell>
          <cell r="D495">
            <v>339244</v>
          </cell>
          <cell r="E495">
            <v>31384</v>
          </cell>
          <cell r="F495">
            <v>26378.36</v>
          </cell>
          <cell r="G495">
            <v>4128</v>
          </cell>
          <cell r="H495">
            <v>2369</v>
          </cell>
          <cell r="I495">
            <v>139860</v>
          </cell>
          <cell r="J495">
            <v>173299</v>
          </cell>
          <cell r="K495">
            <v>52512.3</v>
          </cell>
          <cell r="L495">
            <v>13135</v>
          </cell>
          <cell r="M495">
            <v>474071</v>
          </cell>
          <cell r="N495">
            <v>7784</v>
          </cell>
          <cell r="O495">
            <v>4006</v>
          </cell>
          <cell r="P495">
            <v>98.561166</v>
          </cell>
          <cell r="R495">
            <v>150000.5346747</v>
          </cell>
          <cell r="S495">
            <v>7.1327237665901162</v>
          </cell>
          <cell r="T495">
            <v>0.33562500000000001</v>
          </cell>
          <cell r="U495">
            <v>4.9133080558520954E-3</v>
          </cell>
          <cell r="V495">
            <v>1.7000000000000001E-2</v>
          </cell>
          <cell r="W495">
            <v>0.28626000000000001</v>
          </cell>
          <cell r="X495">
            <v>6.9710000000000001</v>
          </cell>
          <cell r="Y495">
            <v>10.64</v>
          </cell>
          <cell r="AC495">
            <v>0.25117019258269213</v>
          </cell>
          <cell r="AD495">
            <v>7.9910065779972644E-2</v>
          </cell>
          <cell r="AE495">
            <v>1.2839001299999999</v>
          </cell>
          <cell r="AF495">
            <v>11.16455753553053</v>
          </cell>
          <cell r="AG495">
            <v>7.2495065716836056</v>
          </cell>
          <cell r="AH495">
            <v>202407</v>
          </cell>
          <cell r="AJ495" t="str">
            <v>A1&amp;A3:Prod'n deferred due issue in digital controller.</v>
          </cell>
        </row>
        <row r="496">
          <cell r="C496">
            <v>45504</v>
          </cell>
          <cell r="D496">
            <v>338247</v>
          </cell>
          <cell r="E496">
            <v>30327</v>
          </cell>
          <cell r="F496">
            <v>26338.32</v>
          </cell>
          <cell r="G496">
            <v>4181</v>
          </cell>
          <cell r="H496">
            <v>2352</v>
          </cell>
          <cell r="I496">
            <v>139860</v>
          </cell>
          <cell r="J496">
            <v>174140</v>
          </cell>
          <cell r="K496">
            <v>52455.11</v>
          </cell>
          <cell r="L496">
            <v>13139</v>
          </cell>
          <cell r="M496">
            <v>477261</v>
          </cell>
          <cell r="N496">
            <v>7706</v>
          </cell>
          <cell r="O496">
            <v>4350</v>
          </cell>
          <cell r="P496">
            <v>91.264997999999991</v>
          </cell>
          <cell r="Q496">
            <v>0</v>
          </cell>
          <cell r="R496">
            <v>150132.2501991</v>
          </cell>
          <cell r="S496">
            <v>7.412493947279744</v>
          </cell>
          <cell r="T496">
            <v>0.32020399999999999</v>
          </cell>
          <cell r="U496">
            <v>5.0330598872424231E-3</v>
          </cell>
          <cell r="V496">
            <v>1.7000000000000001E-2</v>
          </cell>
          <cell r="W496">
            <v>0.28787000000000001</v>
          </cell>
          <cell r="X496">
            <v>6.9710000000000001</v>
          </cell>
          <cell r="Y496">
            <v>10.61</v>
          </cell>
          <cell r="AA496">
            <v>0</v>
          </cell>
          <cell r="AC496">
            <v>0.2075622899245923</v>
          </cell>
          <cell r="AD496">
            <v>8.2090460912877639E-2</v>
          </cell>
          <cell r="AE496">
            <v>1.2643001299999999</v>
          </cell>
          <cell r="AF496">
            <v>17.137197824135558</v>
          </cell>
          <cell r="AG496">
            <v>8.2483035569631333</v>
          </cell>
          <cell r="AH496">
            <v>202407</v>
          </cell>
        </row>
        <row r="497">
          <cell r="C497">
            <v>45505</v>
          </cell>
          <cell r="D497">
            <v>330698</v>
          </cell>
          <cell r="E497">
            <v>26975</v>
          </cell>
          <cell r="F497">
            <v>26300.53</v>
          </cell>
          <cell r="G497">
            <v>4194</v>
          </cell>
          <cell r="H497">
            <v>2342</v>
          </cell>
          <cell r="I497">
            <v>139860</v>
          </cell>
          <cell r="J497">
            <v>168805</v>
          </cell>
          <cell r="K497">
            <v>53568.13</v>
          </cell>
          <cell r="L497">
            <v>13134</v>
          </cell>
          <cell r="M497">
            <v>460899</v>
          </cell>
          <cell r="N497">
            <v>7876</v>
          </cell>
          <cell r="O497">
            <v>4412</v>
          </cell>
          <cell r="P497">
            <v>93.089039999999997</v>
          </cell>
          <cell r="Q497">
            <v>0</v>
          </cell>
          <cell r="R497">
            <v>147302.66486799999</v>
          </cell>
          <cell r="S497">
            <v>7.4297672074235406</v>
          </cell>
          <cell r="T497">
            <v>0.32875500000000002</v>
          </cell>
          <cell r="U497">
            <v>5.0102082135767825E-3</v>
          </cell>
          <cell r="V497">
            <v>1.7000000000000001E-2</v>
          </cell>
          <cell r="W497">
            <v>0.27882999999999997</v>
          </cell>
          <cell r="X497">
            <v>6.9710000000000001</v>
          </cell>
          <cell r="Y497">
            <v>10.81</v>
          </cell>
          <cell r="AB497">
            <v>0</v>
          </cell>
          <cell r="AC497">
            <v>0.21294248570708513</v>
          </cell>
          <cell r="AD497">
            <v>6.4505715750098391E-2</v>
          </cell>
          <cell r="AE497">
            <v>1.2285001299999998</v>
          </cell>
          <cell r="AF497">
            <v>14.68674517976933</v>
          </cell>
          <cell r="AG497">
            <v>7.8548263170295929</v>
          </cell>
          <cell r="AH497">
            <v>202408</v>
          </cell>
          <cell r="AJ497" t="str">
            <v>LZC:Quota for the month is 422k BOPD.</v>
          </cell>
        </row>
        <row r="498">
          <cell r="C498">
            <v>45506</v>
          </cell>
          <cell r="D498">
            <v>319063</v>
          </cell>
          <cell r="E498">
            <v>28642</v>
          </cell>
          <cell r="F498">
            <v>26301.42</v>
          </cell>
          <cell r="G498">
            <v>4274</v>
          </cell>
          <cell r="H498">
            <v>2325</v>
          </cell>
          <cell r="I498">
            <v>105530</v>
          </cell>
          <cell r="J498">
            <v>170015</v>
          </cell>
          <cell r="K498">
            <v>53968.67</v>
          </cell>
          <cell r="L498">
            <v>13131</v>
          </cell>
          <cell r="M498">
            <v>420213</v>
          </cell>
          <cell r="N498">
            <v>7669</v>
          </cell>
          <cell r="O498">
            <v>5067</v>
          </cell>
          <cell r="P498">
            <v>72.584291999999991</v>
          </cell>
          <cell r="Q498">
            <v>0</v>
          </cell>
          <cell r="R498">
            <v>139658.18348139996</v>
          </cell>
          <cell r="S498">
            <v>7.1281930754048597</v>
          </cell>
          <cell r="T498">
            <v>0.31758500000000001</v>
          </cell>
          <cell r="U498">
            <v>5.2288423800853469E-3</v>
          </cell>
          <cell r="V498">
            <v>1.7000000000000001E-2</v>
          </cell>
          <cell r="W498">
            <v>0.27357999999999999</v>
          </cell>
          <cell r="X498">
            <v>6.9710000000000001</v>
          </cell>
          <cell r="Y498">
            <v>10.63</v>
          </cell>
          <cell r="AB498">
            <v>0</v>
          </cell>
          <cell r="AC498">
            <v>0.2095444673181423</v>
          </cell>
          <cell r="AD498">
            <v>6.6657794063095535E-2</v>
          </cell>
          <cell r="AE498">
            <v>1.16440013</v>
          </cell>
          <cell r="AF498">
            <v>14.748928916286985</v>
          </cell>
          <cell r="AG498">
            <v>7.7751603830069342</v>
          </cell>
          <cell r="AH498">
            <v>202408</v>
          </cell>
          <cell r="AJ498" t="str">
            <v>Sakhalin-1:New Oil Prod'n data received from the Operator.
LZC:Quota for the month is 422k BOPD.
ACG:Due to HP Separator, Test Separator and Train-1,2 being offline, prod'n has been deferred.</v>
          </cell>
        </row>
        <row r="499">
          <cell r="C499">
            <v>45507</v>
          </cell>
          <cell r="D499">
            <v>330954</v>
          </cell>
          <cell r="E499">
            <v>32239</v>
          </cell>
          <cell r="F499">
            <v>26231.119999999999</v>
          </cell>
          <cell r="G499">
            <v>4191</v>
          </cell>
          <cell r="H499">
            <v>2374</v>
          </cell>
          <cell r="I499">
            <v>105530</v>
          </cell>
          <cell r="J499">
            <v>173367</v>
          </cell>
          <cell r="K499">
            <v>51332.18</v>
          </cell>
          <cell r="L499">
            <v>5542</v>
          </cell>
          <cell r="M499">
            <v>429129</v>
          </cell>
          <cell r="N499">
            <v>7431</v>
          </cell>
          <cell r="O499">
            <v>3442</v>
          </cell>
          <cell r="P499">
            <v>28.555691999999997</v>
          </cell>
          <cell r="Q499">
            <v>0</v>
          </cell>
          <cell r="R499">
            <v>138904.54396139999</v>
          </cell>
          <cell r="S499">
            <v>6.8283179525806554</v>
          </cell>
          <cell r="T499">
            <v>0.31206299999999998</v>
          </cell>
          <cell r="U499">
            <v>5.2291821819242411E-3</v>
          </cell>
          <cell r="V499">
            <v>1.7000000000000001E-2</v>
          </cell>
          <cell r="W499">
            <v>0.29618</v>
          </cell>
          <cell r="X499">
            <v>6.9710000000000001</v>
          </cell>
          <cell r="Y499">
            <v>10.82</v>
          </cell>
          <cell r="AC499">
            <v>0.20812862632274942</v>
          </cell>
          <cell r="AD499">
            <v>6.787541731913338E-2</v>
          </cell>
          <cell r="AE499">
            <v>1.08980013</v>
          </cell>
          <cell r="AF499">
            <v>14.748872282647168</v>
          </cell>
          <cell r="AG499">
            <v>7.8054942446051347</v>
          </cell>
          <cell r="AH499">
            <v>202408</v>
          </cell>
          <cell r="AJ499" t="str">
            <v>SPOC:Prod'n deferred due to TJ-3 still shut-in due to VSD issue.
LZC:Quota for the month is 422k BOPD &amp; 
As per ADNOC Offshore(ADOF), Al-Ghallan Island's prod'n s/d due to SD activities in AGI. Production is expected to resume in next two days.
B-06.1: Prod'n deferred due to P2 well being shut-in.
ACG:Due to HP Separator, Test Separator and Train-1,2 being offline, prod'n has been deferred.</v>
          </cell>
        </row>
        <row r="500">
          <cell r="C500">
            <v>45508</v>
          </cell>
          <cell r="D500">
            <v>314308</v>
          </cell>
          <cell r="E500">
            <v>32182</v>
          </cell>
          <cell r="F500">
            <v>26228.2</v>
          </cell>
          <cell r="G500">
            <v>4178</v>
          </cell>
          <cell r="H500">
            <v>2449</v>
          </cell>
          <cell r="I500">
            <v>105530</v>
          </cell>
          <cell r="J500">
            <v>173141</v>
          </cell>
          <cell r="K500">
            <v>50576.34</v>
          </cell>
          <cell r="L500">
            <v>0</v>
          </cell>
          <cell r="M500">
            <v>443285</v>
          </cell>
          <cell r="N500">
            <v>7718</v>
          </cell>
          <cell r="O500">
            <v>4366</v>
          </cell>
          <cell r="P500">
            <v>71.452127999999988</v>
          </cell>
          <cell r="Q500">
            <v>0</v>
          </cell>
          <cell r="R500">
            <v>137973.07325760002</v>
          </cell>
          <cell r="S500">
            <v>7.2530702511985057</v>
          </cell>
          <cell r="T500">
            <v>0.31314999999999998</v>
          </cell>
          <cell r="U500">
            <v>4.9394727974469551E-3</v>
          </cell>
          <cell r="V500">
            <v>1.7000000000000001E-2</v>
          </cell>
          <cell r="W500">
            <v>0.29531000000000002</v>
          </cell>
          <cell r="X500">
            <v>6.9710000000000001</v>
          </cell>
          <cell r="Y500">
            <v>10.79</v>
          </cell>
          <cell r="Z500">
            <v>0</v>
          </cell>
          <cell r="AC500">
            <v>0.20841179452182801</v>
          </cell>
          <cell r="AD500">
            <v>6.8441753717290527E-2</v>
          </cell>
          <cell r="AE500">
            <v>1.1961001299999998</v>
          </cell>
          <cell r="AF500">
            <v>14.742472681347992</v>
          </cell>
          <cell r="AG500">
            <v>7.8537314669743745</v>
          </cell>
          <cell r="AH500">
            <v>202408</v>
          </cell>
          <cell r="AJ500" t="str">
            <v>LZC:As per ADNOC Offshore(ADOF), Al-Ghallan Island's prod'n s/d due to SD activities in AGI. Production is expected to resume in next two days.
SPOC: TJ CPF stopped export for maintenance on Transformers at CPP.(Oil Produced 12,027 bbl.)
ACG:Due to HP Separator, Test Separator and Train-1,2 being offline, prod'n has been deferred.
GPOC:Prod'n deferred due to Power trip in Unity,Munga &amp; EL-Toor.</v>
          </cell>
        </row>
        <row r="501">
          <cell r="C501">
            <v>45509</v>
          </cell>
          <cell r="D501">
            <v>308853</v>
          </cell>
          <cell r="E501">
            <v>32245</v>
          </cell>
          <cell r="F501">
            <v>26218.34</v>
          </cell>
          <cell r="G501">
            <v>4165</v>
          </cell>
          <cell r="H501">
            <v>2317</v>
          </cell>
          <cell r="I501">
            <v>105530</v>
          </cell>
          <cell r="J501">
            <v>170469</v>
          </cell>
          <cell r="K501">
            <v>51198.66</v>
          </cell>
          <cell r="L501">
            <v>0</v>
          </cell>
          <cell r="M501">
            <v>436165</v>
          </cell>
          <cell r="N501">
            <v>7727</v>
          </cell>
          <cell r="O501">
            <v>3518</v>
          </cell>
          <cell r="P501">
            <v>137.68372199999999</v>
          </cell>
          <cell r="Q501">
            <v>0</v>
          </cell>
          <cell r="R501">
            <v>136586.32497490002</v>
          </cell>
          <cell r="S501">
            <v>6.4582171163849598</v>
          </cell>
          <cell r="T501">
            <v>0.317965</v>
          </cell>
          <cell r="U501">
            <v>4.7768209838962242E-3</v>
          </cell>
          <cell r="V501">
            <v>1.7000000000000001E-2</v>
          </cell>
          <cell r="W501">
            <v>0.28795999999999999</v>
          </cell>
          <cell r="X501">
            <v>6.9710000000000001</v>
          </cell>
          <cell r="Y501">
            <v>10.54</v>
          </cell>
          <cell r="Z501">
            <v>0</v>
          </cell>
          <cell r="AB501">
            <v>0</v>
          </cell>
          <cell r="AC501">
            <v>0.2086949627209066</v>
          </cell>
          <cell r="AD501">
            <v>6.9659376973328385E-2</v>
          </cell>
          <cell r="AE501">
            <v>1.2103001299999998</v>
          </cell>
          <cell r="AF501">
            <v>14.74354872050449</v>
          </cell>
          <cell r="AG501">
            <v>7.7712976777516136</v>
          </cell>
          <cell r="AH501">
            <v>202408</v>
          </cell>
          <cell r="AJ501" t="str">
            <v>ACG:Due to HP Separator, Test Separator and Train-1,2 being offline, prod'n has been deferred.
SPOC: TJ CPF stopped export for maintenance on Transformers at CPP.(Oil Produced 13,565 bbl.)</v>
          </cell>
        </row>
        <row r="502">
          <cell r="C502">
            <v>45510</v>
          </cell>
          <cell r="D502">
            <v>311994</v>
          </cell>
          <cell r="E502">
            <v>32365</v>
          </cell>
          <cell r="F502">
            <v>26042.87</v>
          </cell>
          <cell r="G502">
            <v>4176</v>
          </cell>
          <cell r="H502">
            <v>2353</v>
          </cell>
          <cell r="I502">
            <v>105530</v>
          </cell>
          <cell r="J502">
            <v>173090</v>
          </cell>
          <cell r="K502">
            <v>51968.79</v>
          </cell>
          <cell r="L502">
            <v>0</v>
          </cell>
          <cell r="M502">
            <v>422399</v>
          </cell>
          <cell r="N502">
            <v>7537</v>
          </cell>
          <cell r="O502">
            <v>4428</v>
          </cell>
          <cell r="P502">
            <v>110.19729599999999</v>
          </cell>
          <cell r="Q502">
            <v>0</v>
          </cell>
          <cell r="R502">
            <v>137264.03668320001</v>
          </cell>
          <cell r="S502">
            <v>7.2833692484999171</v>
          </cell>
          <cell r="T502">
            <v>0.32230399999999998</v>
          </cell>
          <cell r="U502">
            <v>5.0191280118477575E-3</v>
          </cell>
          <cell r="V502">
            <v>1.7000000000000001E-2</v>
          </cell>
          <cell r="W502">
            <v>0.28587000000000001</v>
          </cell>
          <cell r="X502">
            <v>6.9710000000000001</v>
          </cell>
          <cell r="Y502">
            <v>10.53</v>
          </cell>
          <cell r="AB502">
            <v>0</v>
          </cell>
          <cell r="AC502">
            <v>0.20812862632274942</v>
          </cell>
          <cell r="AD502">
            <v>6.8158585518211953E-2</v>
          </cell>
          <cell r="AE502">
            <v>1.2056001299999999</v>
          </cell>
          <cell r="AF502">
            <v>14.741396642191493</v>
          </cell>
          <cell r="AG502">
            <v>7.7838663700239827</v>
          </cell>
          <cell r="AH502">
            <v>202408</v>
          </cell>
          <cell r="AJ502" t="str">
            <v>ACG:Due to HP Separator, Test Separator and Train-1,2 being offline, prod'n has been deferred.
SPOC: TJ CPF stopped export for maintenance on Transformers at CPP.(Oil Produced 12,588 bbl.)</v>
          </cell>
        </row>
        <row r="503">
          <cell r="C503">
            <v>45511</v>
          </cell>
          <cell r="D503">
            <v>325287</v>
          </cell>
          <cell r="E503">
            <v>32723</v>
          </cell>
          <cell r="F503">
            <v>26072.97</v>
          </cell>
          <cell r="G503">
            <v>4072</v>
          </cell>
          <cell r="H503">
            <v>2307</v>
          </cell>
          <cell r="I503">
            <v>105530</v>
          </cell>
          <cell r="J503">
            <v>174976</v>
          </cell>
          <cell r="K503">
            <v>49093.63</v>
          </cell>
          <cell r="L503">
            <v>18363</v>
          </cell>
          <cell r="M503">
            <v>407371</v>
          </cell>
          <cell r="N503">
            <v>7636</v>
          </cell>
          <cell r="O503">
            <v>4696</v>
          </cell>
          <cell r="P503">
            <v>81.075521999999992</v>
          </cell>
          <cell r="Q503">
            <v>0</v>
          </cell>
          <cell r="R503">
            <v>141296.34393489998</v>
          </cell>
          <cell r="S503">
            <v>7.8822699895510899</v>
          </cell>
          <cell r="T503">
            <v>0.32044400000000001</v>
          </cell>
          <cell r="U503">
            <v>5.3561548023910721E-3</v>
          </cell>
          <cell r="V503">
            <v>1.7000000000000001E-2</v>
          </cell>
          <cell r="W503">
            <v>0.28760000000000002</v>
          </cell>
          <cell r="X503">
            <v>6.9710000000000001</v>
          </cell>
          <cell r="Y503">
            <v>10.55</v>
          </cell>
          <cell r="Z503">
            <v>0</v>
          </cell>
          <cell r="AB503">
            <v>0</v>
          </cell>
          <cell r="AC503">
            <v>0.21945535428589227</v>
          </cell>
          <cell r="AD503">
            <v>6.9659376973328385E-2</v>
          </cell>
          <cell r="AE503">
            <v>1.1962001299999998</v>
          </cell>
          <cell r="AF503">
            <v>14.742416047708177</v>
          </cell>
          <cell r="AG503">
            <v>7.8021542514914746</v>
          </cell>
          <cell r="AH503">
            <v>202408</v>
          </cell>
          <cell r="AJ503" t="str">
            <v>Sakhalin-1:New Oil Prod'n data received from the Operator.
SPOC:WHCC restarted export to PS1.
ACG:Due to HP Separator, Test Separator and Train-1,2 being offline, prod'n has been deferred.</v>
          </cell>
        </row>
        <row r="504">
          <cell r="C504">
            <v>45512</v>
          </cell>
          <cell r="D504">
            <v>325831</v>
          </cell>
          <cell r="E504">
            <v>32377</v>
          </cell>
          <cell r="F504">
            <v>26076</v>
          </cell>
          <cell r="G504">
            <v>4221</v>
          </cell>
          <cell r="H504">
            <v>2337</v>
          </cell>
          <cell r="I504">
            <v>105530</v>
          </cell>
          <cell r="J504">
            <v>168505</v>
          </cell>
          <cell r="K504">
            <v>52445.66</v>
          </cell>
          <cell r="L504">
            <v>42131</v>
          </cell>
          <cell r="M504">
            <v>324833</v>
          </cell>
          <cell r="N504">
            <v>7625</v>
          </cell>
          <cell r="O504">
            <v>3696</v>
          </cell>
          <cell r="P504">
            <v>49.752317999999995</v>
          </cell>
          <cell r="Q504">
            <v>0</v>
          </cell>
          <cell r="R504">
            <v>142494.86339310001</v>
          </cell>
          <cell r="S504">
            <v>8.0170580523124961</v>
          </cell>
          <cell r="T504">
            <v>0.32463500000000001</v>
          </cell>
          <cell r="U504">
            <v>5.1739926999238269E-3</v>
          </cell>
          <cell r="V504">
            <v>1.7000000000000001E-2</v>
          </cell>
          <cell r="W504">
            <v>0.28779000000000005</v>
          </cell>
          <cell r="X504">
            <v>6.9710000000000001</v>
          </cell>
          <cell r="Y504">
            <v>10.56</v>
          </cell>
          <cell r="AB504">
            <v>0</v>
          </cell>
          <cell r="AC504">
            <v>0.20388110333657089</v>
          </cell>
          <cell r="AD504">
            <v>7.6625314670661221E-2</v>
          </cell>
          <cell r="AE504">
            <v>0.84530013000000004</v>
          </cell>
          <cell r="AF504">
            <v>14.704244974472385</v>
          </cell>
          <cell r="AG504">
            <v>7.6457410372939592</v>
          </cell>
          <cell r="AH504">
            <v>202408</v>
          </cell>
          <cell r="AJ504" t="str">
            <v>LZC:Reason awaited from the operator.
B-06.1:Prod'n deferred due to the tripping of gas compression train 2.
ACG:Due to HP Separator and Train-2 being offline, prod'n has been deferred.</v>
          </cell>
        </row>
        <row r="505">
          <cell r="C505">
            <v>45513</v>
          </cell>
          <cell r="D505">
            <v>350267</v>
          </cell>
          <cell r="E505">
            <v>33101</v>
          </cell>
          <cell r="F505">
            <v>26074</v>
          </cell>
          <cell r="G505">
            <v>4235</v>
          </cell>
          <cell r="H505">
            <v>2330</v>
          </cell>
          <cell r="I505">
            <v>141652</v>
          </cell>
          <cell r="J505">
            <v>173689</v>
          </cell>
          <cell r="K505">
            <v>53013.36</v>
          </cell>
          <cell r="L505">
            <v>16157</v>
          </cell>
          <cell r="M505">
            <v>401408</v>
          </cell>
          <cell r="N505">
            <v>7661</v>
          </cell>
          <cell r="O505">
            <v>399</v>
          </cell>
          <cell r="P505">
            <v>68.747513999999995</v>
          </cell>
          <cell r="Q505">
            <v>0</v>
          </cell>
          <cell r="R505">
            <v>147458.06033129999</v>
          </cell>
          <cell r="S505">
            <v>11.411112086468242</v>
          </cell>
          <cell r="T505">
            <v>0.32578099999999999</v>
          </cell>
          <cell r="U505">
            <v>5.0007220789076495E-3</v>
          </cell>
          <cell r="V505">
            <v>1.7000000000000001E-2</v>
          </cell>
          <cell r="W505">
            <v>0.28552</v>
          </cell>
          <cell r="X505">
            <v>6.9710000000000001</v>
          </cell>
          <cell r="Y505">
            <v>10.61</v>
          </cell>
          <cell r="Z505">
            <v>0</v>
          </cell>
          <cell r="AA505">
            <v>0</v>
          </cell>
          <cell r="AB505">
            <v>0</v>
          </cell>
          <cell r="AC505">
            <v>0.20444743973472801</v>
          </cell>
          <cell r="AD505">
            <v>7.7361551988265512E-2</v>
          </cell>
          <cell r="AE505">
            <v>1.1187001299999999</v>
          </cell>
          <cell r="AF505">
            <v>14.813236414297728</v>
          </cell>
          <cell r="AG505">
            <v>7.8769771527493919</v>
          </cell>
          <cell r="AH505">
            <v>202408</v>
          </cell>
          <cell r="AJ505" t="str">
            <v xml:space="preserve">SCB:The heating system being out of service due to internal plugging is causing prod'n deferment
</v>
          </cell>
        </row>
        <row r="506">
          <cell r="C506">
            <v>45514</v>
          </cell>
          <cell r="D506">
            <v>331226</v>
          </cell>
          <cell r="E506">
            <v>42855</v>
          </cell>
          <cell r="F506">
            <v>9504</v>
          </cell>
          <cell r="G506">
            <v>4231</v>
          </cell>
          <cell r="H506">
            <v>2331</v>
          </cell>
          <cell r="I506">
            <v>141652</v>
          </cell>
          <cell r="J506">
            <v>171263</v>
          </cell>
          <cell r="K506">
            <v>51799.22</v>
          </cell>
          <cell r="L506">
            <v>797</v>
          </cell>
          <cell r="M506">
            <v>400626</v>
          </cell>
          <cell r="N506">
            <v>7533</v>
          </cell>
          <cell r="O506">
            <v>4436</v>
          </cell>
          <cell r="P506">
            <v>74.030945999999986</v>
          </cell>
          <cell r="Q506">
            <v>0</v>
          </cell>
          <cell r="R506">
            <v>134983.71577569999</v>
          </cell>
          <cell r="S506">
            <v>11.613011012411262</v>
          </cell>
          <cell r="T506">
            <v>0.31601299999999999</v>
          </cell>
          <cell r="U506">
            <v>2.6880024465732399E-3</v>
          </cell>
          <cell r="V506">
            <v>1.7000000000000001E-2</v>
          </cell>
          <cell r="W506">
            <v>0.28573999999999999</v>
          </cell>
          <cell r="X506">
            <v>6.9710000000000001</v>
          </cell>
          <cell r="Y506">
            <v>10.61</v>
          </cell>
          <cell r="Z506">
            <v>0</v>
          </cell>
          <cell r="AA506">
            <v>0</v>
          </cell>
          <cell r="AB506">
            <v>0</v>
          </cell>
          <cell r="AC506">
            <v>0.20926129911906372</v>
          </cell>
          <cell r="AD506">
            <v>5.4396611042993426E-2</v>
          </cell>
          <cell r="AE506">
            <v>1.0624001299999999</v>
          </cell>
          <cell r="AF506">
            <v>14.721008531857839</v>
          </cell>
          <cell r="AG506">
            <v>7.8279345623354288</v>
          </cell>
          <cell r="AH506">
            <v>202408</v>
          </cell>
          <cell r="AJ506" t="str">
            <v>GPOC:Prod'n deferred due to Power trip in Unity &amp; El-toor.
CPO-5:Prod'n deferred due to community strike at Indico field.
SPOC:WHCC stopped export to PS1 as per Motor Control Center (MCC) requested.</v>
          </cell>
        </row>
        <row r="507">
          <cell r="C507">
            <v>45515</v>
          </cell>
          <cell r="D507">
            <v>339171</v>
          </cell>
          <cell r="E507">
            <v>37767</v>
          </cell>
          <cell r="F507">
            <v>11905</v>
          </cell>
          <cell r="G507">
            <v>4185</v>
          </cell>
          <cell r="H507">
            <v>2382</v>
          </cell>
          <cell r="I507">
            <v>141652</v>
          </cell>
          <cell r="J507">
            <v>172970</v>
          </cell>
          <cell r="K507">
            <v>49583.6</v>
          </cell>
          <cell r="L507">
            <v>0</v>
          </cell>
          <cell r="M507">
            <v>375824</v>
          </cell>
          <cell r="N507">
            <v>7621</v>
          </cell>
          <cell r="O507">
            <v>6529</v>
          </cell>
          <cell r="P507">
            <v>82.459277999999998</v>
          </cell>
          <cell r="Q507">
            <v>0</v>
          </cell>
          <cell r="R507">
            <v>135058.41677509999</v>
          </cell>
          <cell r="S507">
            <v>13.410279571962947</v>
          </cell>
          <cell r="T507">
            <v>0.338364</v>
          </cell>
          <cell r="U507">
            <v>2.1862283978060127E-3</v>
          </cell>
          <cell r="V507">
            <v>1.7000000000000001E-2</v>
          </cell>
          <cell r="W507">
            <v>0.28619</v>
          </cell>
          <cell r="X507">
            <v>6.9710000000000001</v>
          </cell>
          <cell r="Y507">
            <v>10.64</v>
          </cell>
          <cell r="Z507">
            <v>0</v>
          </cell>
          <cell r="AB507">
            <v>0</v>
          </cell>
          <cell r="AC507">
            <v>0.20727912172551374</v>
          </cell>
          <cell r="AD507">
            <v>6.787541731913338E-2</v>
          </cell>
          <cell r="AE507">
            <v>1.0500001299999999</v>
          </cell>
          <cell r="AF507">
            <v>14.13731392309718</v>
          </cell>
          <cell r="AG507">
            <v>7.7837503937347892</v>
          </cell>
          <cell r="AH507">
            <v>202408</v>
          </cell>
          <cell r="AJ507" t="str">
            <v>A1&amp;A3:Due to SHP EGC-B &amp; Separator-B tripped, prod'n has been deferred.
CPO-5:Indico wells are progressively being opened after Community Strike.
LZC:Reason awaited from the operator.
SPOC:WHCC stopped export to PS1 as per Motor Control Center (MCC) requested.
GPOC:Prod'n deferred due to Power trip in Unity.</v>
          </cell>
        </row>
        <row r="508">
          <cell r="C508">
            <v>45516</v>
          </cell>
          <cell r="D508">
            <v>366576</v>
          </cell>
          <cell r="E508">
            <v>27270</v>
          </cell>
          <cell r="F508">
            <v>26135</v>
          </cell>
          <cell r="G508">
            <v>4160</v>
          </cell>
          <cell r="H508">
            <v>2344</v>
          </cell>
          <cell r="I508">
            <v>141652</v>
          </cell>
          <cell r="J508">
            <v>171625</v>
          </cell>
          <cell r="K508">
            <v>50258.09</v>
          </cell>
          <cell r="L508">
            <v>0</v>
          </cell>
          <cell r="M508">
            <v>391663</v>
          </cell>
          <cell r="N508">
            <v>7683</v>
          </cell>
          <cell r="O508">
            <v>5781</v>
          </cell>
          <cell r="P508">
            <v>95.164674000000005</v>
          </cell>
          <cell r="Q508">
            <v>0</v>
          </cell>
          <cell r="R508">
            <v>142933.60220329999</v>
          </cell>
          <cell r="S508">
            <v>14.130659470418836</v>
          </cell>
          <cell r="T508">
            <v>0.30043999999999998</v>
          </cell>
          <cell r="U508">
            <v>4.5613016675775239E-3</v>
          </cell>
          <cell r="V508">
            <v>1.7000000000000001E-2</v>
          </cell>
          <cell r="W508">
            <v>0.28492000000000001</v>
          </cell>
          <cell r="X508">
            <v>6.9710000000000001</v>
          </cell>
          <cell r="Y508">
            <v>10.57</v>
          </cell>
          <cell r="AB508">
            <v>0</v>
          </cell>
          <cell r="AC508">
            <v>0.20699595352643516</v>
          </cell>
          <cell r="AD508">
            <v>7.0650465670103385E-2</v>
          </cell>
          <cell r="AE508">
            <v>1.0362001300000001</v>
          </cell>
          <cell r="AF508">
            <v>14.023367039787964</v>
          </cell>
          <cell r="AG508">
            <v>7.7478421413538827</v>
          </cell>
          <cell r="AH508">
            <v>202408</v>
          </cell>
          <cell r="AJ508" t="str">
            <v>GPOC:Prod'n deferred due to Power trip in Unity.
A1&amp;A3:Prod'n deferred due to buyer's nomination.
SPOC:WHCC stopped export to PS1 as per Motor Control Center (MCC) requested.
LZC:Reason awaited from the operator.</v>
          </cell>
        </row>
        <row r="509">
          <cell r="C509">
            <v>45517</v>
          </cell>
          <cell r="D509">
            <v>338809</v>
          </cell>
          <cell r="E509">
            <v>26686</v>
          </cell>
          <cell r="F509">
            <v>26362</v>
          </cell>
          <cell r="G509">
            <v>3994</v>
          </cell>
          <cell r="H509">
            <v>2316</v>
          </cell>
          <cell r="I509">
            <v>141652</v>
          </cell>
          <cell r="J509">
            <v>175579</v>
          </cell>
          <cell r="K509">
            <v>52533.59</v>
          </cell>
          <cell r="L509">
            <v>0</v>
          </cell>
          <cell r="M509">
            <v>400646</v>
          </cell>
          <cell r="N509">
            <v>7414</v>
          </cell>
          <cell r="O509">
            <v>4643</v>
          </cell>
          <cell r="P509">
            <v>89.315159999999992</v>
          </cell>
          <cell r="Q509">
            <v>0</v>
          </cell>
          <cell r="R509">
            <v>143651.21722200001</v>
          </cell>
          <cell r="S509">
            <v>14.588542448328884</v>
          </cell>
          <cell r="T509">
            <v>0.27118500000000001</v>
          </cell>
          <cell r="U509">
            <v>4.6020778882448375E-3</v>
          </cell>
          <cell r="V509">
            <v>1.7000000000000001E-2</v>
          </cell>
          <cell r="W509">
            <v>0.2848</v>
          </cell>
          <cell r="X509">
            <v>6.9710000000000001</v>
          </cell>
          <cell r="Y509">
            <v>10.75</v>
          </cell>
          <cell r="Z509">
            <v>0</v>
          </cell>
          <cell r="AA509">
            <v>0</v>
          </cell>
          <cell r="AB509">
            <v>0</v>
          </cell>
          <cell r="AC509">
            <v>0.20133258954486374</v>
          </cell>
          <cell r="AD509">
            <v>7.1924722565956944E-2</v>
          </cell>
          <cell r="AE509">
            <v>1.02330013</v>
          </cell>
          <cell r="AF509">
            <v>13.567211387892295</v>
          </cell>
          <cell r="AG509">
            <v>7.7137642033961766</v>
          </cell>
          <cell r="AH509">
            <v>202408</v>
          </cell>
          <cell r="AJ509" t="str">
            <v>PCB:Prod'n deferred due to electrical flickering in the circuit associated with Petrocarabobo, affecting process equipment and 12 wells.
A1&amp;A3:Prod'n deferred due to buyer's nomination.
Sakhalin-1:New Oil Prod'n data received from the Operator. Slowdown activities were being carried out for regular summer maintenance. (Slowdown period 2nd Aug to 8th Aug). From 7th August prod'n has returned to previous level.</v>
          </cell>
        </row>
        <row r="510">
          <cell r="C510">
            <v>45518</v>
          </cell>
          <cell r="D510">
            <v>352539</v>
          </cell>
          <cell r="E510">
            <v>26006</v>
          </cell>
          <cell r="F510">
            <v>26340</v>
          </cell>
          <cell r="G510">
            <v>4002</v>
          </cell>
          <cell r="H510">
            <v>2283</v>
          </cell>
          <cell r="I510">
            <v>141652</v>
          </cell>
          <cell r="J510">
            <v>175119</v>
          </cell>
          <cell r="K510">
            <v>53194.29</v>
          </cell>
          <cell r="L510">
            <v>34063</v>
          </cell>
          <cell r="M510">
            <v>402325</v>
          </cell>
          <cell r="N510">
            <v>7706</v>
          </cell>
          <cell r="O510">
            <v>3421</v>
          </cell>
          <cell r="P510">
            <v>77.930622</v>
          </cell>
          <cell r="Q510">
            <v>0</v>
          </cell>
          <cell r="R510">
            <v>151609.01092989999</v>
          </cell>
          <cell r="S510">
            <v>14.627902828000801</v>
          </cell>
          <cell r="T510">
            <v>0.29943399999999998</v>
          </cell>
          <cell r="U510">
            <v>4.8320104658966375E-3</v>
          </cell>
          <cell r="V510">
            <v>1.7000000000000001E-2</v>
          </cell>
          <cell r="W510">
            <v>0.28502999999999995</v>
          </cell>
          <cell r="X510">
            <v>6.9710000000000001</v>
          </cell>
          <cell r="Y510">
            <v>10.61</v>
          </cell>
          <cell r="Z510">
            <v>0</v>
          </cell>
          <cell r="AB510">
            <v>0</v>
          </cell>
          <cell r="AC510">
            <v>0.20529694433196374</v>
          </cell>
          <cell r="AD510">
            <v>7.2491058964114091E-2</v>
          </cell>
          <cell r="AE510">
            <v>1.00720013</v>
          </cell>
          <cell r="AF510">
            <v>13.450206288033028</v>
          </cell>
          <cell r="AG510">
            <v>7.6598183575807237</v>
          </cell>
          <cell r="AH510">
            <v>202408</v>
          </cell>
          <cell r="AJ510" t="str">
            <v>SPOC:WHCC restarted export to PS1.
A1&amp;A3:Prod'n deferred due to buyer's nomination.
Sakhalin-1:New Gas Prod'n data received from the Operator.</v>
          </cell>
        </row>
        <row r="511">
          <cell r="C511">
            <v>45519</v>
          </cell>
          <cell r="D511">
            <v>340710</v>
          </cell>
          <cell r="E511">
            <v>28365</v>
          </cell>
          <cell r="F511">
            <v>26404</v>
          </cell>
          <cell r="G511">
            <v>3968</v>
          </cell>
          <cell r="H511">
            <v>2399</v>
          </cell>
          <cell r="I511">
            <v>141652</v>
          </cell>
          <cell r="J511">
            <v>174458</v>
          </cell>
          <cell r="K511">
            <v>53661.39</v>
          </cell>
          <cell r="L511">
            <v>35759</v>
          </cell>
          <cell r="M511">
            <v>422949</v>
          </cell>
          <cell r="N511">
            <v>7707</v>
          </cell>
          <cell r="O511">
            <v>4515</v>
          </cell>
          <cell r="P511">
            <v>62.709305999999998</v>
          </cell>
          <cell r="Q511">
            <v>0</v>
          </cell>
          <cell r="R511">
            <v>153726.38643769998</v>
          </cell>
          <cell r="S511">
            <v>13.39980234859704</v>
          </cell>
          <cell r="T511">
            <v>0.303869</v>
          </cell>
          <cell r="U511">
            <v>5.0392329539823361E-3</v>
          </cell>
          <cell r="V511">
            <v>1.7000000000000001E-2</v>
          </cell>
          <cell r="W511">
            <v>0.28764000000000001</v>
          </cell>
          <cell r="X511">
            <v>6.9710000000000001</v>
          </cell>
          <cell r="Y511">
            <v>10.3</v>
          </cell>
          <cell r="AB511">
            <v>0</v>
          </cell>
          <cell r="AC511">
            <v>0.20614644892919945</v>
          </cell>
          <cell r="AD511">
            <v>7.4529869997479806E-2</v>
          </cell>
          <cell r="AE511">
            <v>0.99980013000000001</v>
          </cell>
          <cell r="AF511">
            <v>13.531560511628301</v>
          </cell>
          <cell r="AG511">
            <v>7.5662109301783964</v>
          </cell>
          <cell r="AH511">
            <v>202408</v>
          </cell>
          <cell r="AJ511" t="str">
            <v>A1&amp;A3:Prod'n deferred due to buyer's nomination.</v>
          </cell>
        </row>
        <row r="512">
          <cell r="C512">
            <v>45520</v>
          </cell>
          <cell r="D512">
            <v>342556</v>
          </cell>
          <cell r="E512">
            <v>25862</v>
          </cell>
          <cell r="F512">
            <v>26261</v>
          </cell>
          <cell r="G512">
            <v>3981</v>
          </cell>
          <cell r="H512">
            <v>2433</v>
          </cell>
          <cell r="I512">
            <v>138462</v>
          </cell>
          <cell r="J512">
            <v>175792</v>
          </cell>
          <cell r="K512">
            <v>52201.22</v>
          </cell>
          <cell r="L512">
            <v>0</v>
          </cell>
          <cell r="M512">
            <v>431795</v>
          </cell>
          <cell r="N512">
            <v>7662</v>
          </cell>
          <cell r="O512">
            <v>4719</v>
          </cell>
          <cell r="P512">
            <v>75.100211999999999</v>
          </cell>
          <cell r="Q512">
            <v>0</v>
          </cell>
          <cell r="R512">
            <v>144186.62369540002</v>
          </cell>
          <cell r="S512">
            <v>7.7588086547528361</v>
          </cell>
          <cell r="T512">
            <v>0.29792600000000002</v>
          </cell>
          <cell r="U512">
            <v>5.1160848032122596E-3</v>
          </cell>
          <cell r="V512">
            <v>1.7000000000000001E-2</v>
          </cell>
          <cell r="W512">
            <v>0.29114000000000001</v>
          </cell>
          <cell r="X512">
            <v>6.9710000000000001</v>
          </cell>
          <cell r="Y512">
            <v>10.8</v>
          </cell>
          <cell r="AB512">
            <v>0</v>
          </cell>
          <cell r="AC512">
            <v>0.20586328073012086</v>
          </cell>
          <cell r="AD512">
            <v>7.5804126893333365E-2</v>
          </cell>
          <cell r="AE512">
            <v>0.98230013000000005</v>
          </cell>
          <cell r="AF512">
            <v>13.56395495360289</v>
          </cell>
          <cell r="AG512">
            <v>7.565963771537179</v>
          </cell>
          <cell r="AH512">
            <v>202408</v>
          </cell>
          <cell r="AJ512" t="str">
            <v>SPOC:WHCC stopped export to PS1 as per Motor Control Center (MCC) requested.
A1&amp;A3:Prod'n deferred due to buyer's nomination.</v>
          </cell>
        </row>
        <row r="513">
          <cell r="C513">
            <v>45521</v>
          </cell>
          <cell r="D513">
            <v>346830</v>
          </cell>
          <cell r="E513">
            <v>28057</v>
          </cell>
          <cell r="F513">
            <v>26191</v>
          </cell>
          <cell r="G513">
            <v>3978</v>
          </cell>
          <cell r="H513">
            <v>2319</v>
          </cell>
          <cell r="I513">
            <v>138462</v>
          </cell>
          <cell r="J513">
            <v>171630</v>
          </cell>
          <cell r="K513">
            <v>51167.09</v>
          </cell>
          <cell r="L513">
            <v>0</v>
          </cell>
          <cell r="M513">
            <v>426806</v>
          </cell>
          <cell r="N513">
            <v>7419</v>
          </cell>
          <cell r="O513">
            <v>3200</v>
          </cell>
          <cell r="P513">
            <v>76.42107</v>
          </cell>
          <cell r="Q513">
            <v>0</v>
          </cell>
          <cell r="R513">
            <v>142539.5549815</v>
          </cell>
          <cell r="S513">
            <v>12.081088045488139</v>
          </cell>
          <cell r="T513">
            <v>0.293074</v>
          </cell>
          <cell r="U513">
            <v>5.2057358550405353E-3</v>
          </cell>
          <cell r="V513">
            <v>1.7000000000000001E-2</v>
          </cell>
          <cell r="W513">
            <v>0.28719</v>
          </cell>
          <cell r="X513">
            <v>6.9710000000000001</v>
          </cell>
          <cell r="Y513">
            <v>11.23</v>
          </cell>
          <cell r="AB513">
            <v>0</v>
          </cell>
          <cell r="AC513">
            <v>0.20841179452182801</v>
          </cell>
          <cell r="AD513">
            <v>7.6087295092411938E-2</v>
          </cell>
          <cell r="AE513">
            <v>0.97390012999999998</v>
          </cell>
          <cell r="AF513">
            <v>13.619795722461184</v>
          </cell>
          <cell r="AG513">
            <v>7.7785176757020729</v>
          </cell>
          <cell r="AH513">
            <v>202408</v>
          </cell>
          <cell r="AJ513" t="str">
            <v>PCB:Prod'n deferred due to malfunction in Crude Oil Heater.
A1&amp;A3:Prod'n deferred due to buyer's nomination.</v>
          </cell>
        </row>
        <row r="514">
          <cell r="C514">
            <v>45522</v>
          </cell>
          <cell r="D514">
            <v>349967</v>
          </cell>
          <cell r="E514">
            <v>31327</v>
          </cell>
          <cell r="F514">
            <v>26245</v>
          </cell>
          <cell r="G514">
            <v>4005</v>
          </cell>
          <cell r="H514">
            <v>2400</v>
          </cell>
          <cell r="I514">
            <v>138462</v>
          </cell>
          <cell r="J514">
            <v>172657</v>
          </cell>
          <cell r="K514">
            <v>52561.17</v>
          </cell>
          <cell r="L514">
            <v>0</v>
          </cell>
          <cell r="M514">
            <v>430911</v>
          </cell>
          <cell r="N514">
            <v>7721</v>
          </cell>
          <cell r="O514">
            <v>4552</v>
          </cell>
          <cell r="P514">
            <v>82.77376799999999</v>
          </cell>
          <cell r="Q514">
            <v>0</v>
          </cell>
          <cell r="R514">
            <v>144983.83839559997</v>
          </cell>
          <cell r="S514">
            <v>13.131642064069633</v>
          </cell>
          <cell r="T514">
            <v>0.29043000000000002</v>
          </cell>
          <cell r="U514">
            <v>4.9565195230314857E-3</v>
          </cell>
          <cell r="V514">
            <v>1.7000000000000001E-2</v>
          </cell>
          <cell r="W514">
            <v>0.28699000000000002</v>
          </cell>
          <cell r="X514">
            <v>6.9710000000000001</v>
          </cell>
          <cell r="Y514">
            <v>11.06</v>
          </cell>
          <cell r="AB514">
            <v>0</v>
          </cell>
          <cell r="AC514">
            <v>0.20529694433196374</v>
          </cell>
          <cell r="AD514">
            <v>7.6370463291490512E-2</v>
          </cell>
          <cell r="AE514">
            <v>0.83250013</v>
          </cell>
          <cell r="AF514">
            <v>13.608978697256383</v>
          </cell>
          <cell r="AG514">
            <v>7.6917988815728293</v>
          </cell>
          <cell r="AH514">
            <v>202408</v>
          </cell>
          <cell r="AJ514" t="str">
            <v>A1&amp;A3:Prod'n deferred due to buyer's nomination.</v>
          </cell>
        </row>
        <row r="515">
          <cell r="C515">
            <v>45523</v>
          </cell>
          <cell r="D515">
            <v>346072</v>
          </cell>
          <cell r="E515">
            <v>27088</v>
          </cell>
          <cell r="F515">
            <v>26273</v>
          </cell>
          <cell r="G515">
            <v>4030</v>
          </cell>
          <cell r="H515">
            <v>2318</v>
          </cell>
          <cell r="I515">
            <v>138462</v>
          </cell>
          <cell r="J515">
            <v>171842</v>
          </cell>
          <cell r="K515">
            <v>52422.15</v>
          </cell>
          <cell r="L515">
            <v>0</v>
          </cell>
          <cell r="M515">
            <v>435101</v>
          </cell>
          <cell r="N515">
            <v>7676</v>
          </cell>
          <cell r="O515">
            <v>4064</v>
          </cell>
          <cell r="P515">
            <v>73.968047999999996</v>
          </cell>
          <cell r="Q515">
            <v>0</v>
          </cell>
          <cell r="R515">
            <v>143416.26632159998</v>
          </cell>
          <cell r="S515">
            <v>14.742585948627625</v>
          </cell>
          <cell r="T515">
            <v>0.32106299999999999</v>
          </cell>
          <cell r="U515">
            <v>5.1309794504837926E-3</v>
          </cell>
          <cell r="V515">
            <v>1.7000000000000001E-2</v>
          </cell>
          <cell r="W515">
            <v>0.28572000000000003</v>
          </cell>
          <cell r="X515">
            <v>6.9710000000000001</v>
          </cell>
          <cell r="Y515">
            <v>11.14</v>
          </cell>
          <cell r="AB515">
            <v>0</v>
          </cell>
          <cell r="AC515">
            <v>0.20614644892919945</v>
          </cell>
          <cell r="AD515">
            <v>7.8380957504948348E-2</v>
          </cell>
          <cell r="AE515">
            <v>0.93800013000000004</v>
          </cell>
          <cell r="AF515">
            <v>13.608837113156843</v>
          </cell>
          <cell r="AG515">
            <v>7.8052832911494932</v>
          </cell>
          <cell r="AH515">
            <v>202408</v>
          </cell>
          <cell r="AJ515" t="str">
            <v>A1&amp;A3:Prod'n deferred due to buyer's nomination.
Sakhalin-1:New Oil Prod'n data received from the Operator and Prod'n deferred because planned maintenance on GTC 2 and GTC 1 at Chayvo OPF has begun.</v>
          </cell>
        </row>
        <row r="516">
          <cell r="C516">
            <v>45524</v>
          </cell>
          <cell r="D516">
            <v>320886</v>
          </cell>
          <cell r="E516">
            <v>27799</v>
          </cell>
          <cell r="F516">
            <v>26215</v>
          </cell>
          <cell r="G516">
            <v>4000</v>
          </cell>
          <cell r="H516">
            <v>2270</v>
          </cell>
          <cell r="I516">
            <v>138462</v>
          </cell>
          <cell r="J516">
            <v>160261</v>
          </cell>
          <cell r="K516">
            <v>51436.59</v>
          </cell>
          <cell r="L516">
            <v>0</v>
          </cell>
          <cell r="M516">
            <v>439333</v>
          </cell>
          <cell r="N516">
            <v>7437</v>
          </cell>
          <cell r="O516">
            <v>4154</v>
          </cell>
          <cell r="P516">
            <v>63.967265999999995</v>
          </cell>
          <cell r="Q516">
            <v>0</v>
          </cell>
          <cell r="R516">
            <v>139839.87936970001</v>
          </cell>
          <cell r="S516">
            <v>13.444826092250537</v>
          </cell>
          <cell r="T516">
            <v>0.429641</v>
          </cell>
          <cell r="U516">
            <v>5.2113425853822911E-3</v>
          </cell>
          <cell r="V516">
            <v>1.7000000000000001E-2</v>
          </cell>
          <cell r="W516">
            <v>0.28486</v>
          </cell>
          <cell r="X516">
            <v>6.9710000000000001</v>
          </cell>
          <cell r="Y516">
            <v>11.23</v>
          </cell>
          <cell r="AB516">
            <v>0</v>
          </cell>
          <cell r="AC516">
            <v>0.21011080371629942</v>
          </cell>
          <cell r="AD516">
            <v>7.7106700609094789E-2</v>
          </cell>
          <cell r="AE516">
            <v>0.92940012999999999</v>
          </cell>
          <cell r="AF516">
            <v>13.55166545376288</v>
          </cell>
          <cell r="AG516">
            <v>7.8135545468328758</v>
          </cell>
          <cell r="AH516">
            <v>202408</v>
          </cell>
          <cell r="AJ516" t="str">
            <v>A1&amp;A3:Prod'n deferred due to buyer's nomination.
PCB:Prod'n deferred due to PCP Issue.</v>
          </cell>
        </row>
        <row r="517">
          <cell r="C517">
            <v>45525</v>
          </cell>
          <cell r="D517">
            <v>334819</v>
          </cell>
          <cell r="E517">
            <v>29950</v>
          </cell>
          <cell r="F517">
            <v>26187</v>
          </cell>
          <cell r="G517">
            <v>4013</v>
          </cell>
          <cell r="H517">
            <v>2337</v>
          </cell>
          <cell r="I517">
            <v>138462</v>
          </cell>
          <cell r="J517">
            <v>169910</v>
          </cell>
          <cell r="K517">
            <v>51660.39</v>
          </cell>
          <cell r="L517">
            <v>39377</v>
          </cell>
          <cell r="M517">
            <v>440315</v>
          </cell>
          <cell r="N517">
            <v>7530</v>
          </cell>
          <cell r="O517">
            <v>4620</v>
          </cell>
          <cell r="P517">
            <v>69.439391999999984</v>
          </cell>
          <cell r="Q517">
            <v>0</v>
          </cell>
          <cell r="R517">
            <v>153099.16537640002</v>
          </cell>
          <cell r="S517">
            <v>10.765488592569101</v>
          </cell>
          <cell r="T517">
            <v>0.52998800000000001</v>
          </cell>
          <cell r="U517">
            <v>5.1865087343231E-3</v>
          </cell>
          <cell r="V517">
            <v>1.7000000000000001E-2</v>
          </cell>
          <cell r="W517">
            <v>0.28952</v>
          </cell>
          <cell r="X517">
            <v>6.9710000000000001</v>
          </cell>
          <cell r="Y517">
            <v>11.1</v>
          </cell>
          <cell r="AA517">
            <v>0</v>
          </cell>
          <cell r="AB517">
            <v>0</v>
          </cell>
          <cell r="AC517">
            <v>0.20727912172551374</v>
          </cell>
          <cell r="AD517">
            <v>7.6370463291490512E-2</v>
          </cell>
          <cell r="AE517">
            <v>0.91890013000000004</v>
          </cell>
          <cell r="AF517">
            <v>13.493247854292971</v>
          </cell>
          <cell r="AG517">
            <v>7.7343361850385808</v>
          </cell>
          <cell r="AH517">
            <v>202408</v>
          </cell>
          <cell r="AJ517" t="str">
            <v>A1&amp;A3:Prod'n deferred due to buyer's nomination.
SPOC:WHCC restarted export to PS1.</v>
          </cell>
        </row>
        <row r="518">
          <cell r="C518">
            <v>45526</v>
          </cell>
          <cell r="D518">
            <v>346010</v>
          </cell>
          <cell r="E518">
            <v>30711</v>
          </cell>
          <cell r="F518">
            <v>26178</v>
          </cell>
          <cell r="G518">
            <v>4071</v>
          </cell>
          <cell r="H518">
            <v>2324</v>
          </cell>
          <cell r="I518">
            <v>138462</v>
          </cell>
          <cell r="J518">
            <v>172739</v>
          </cell>
          <cell r="K518">
            <v>50281.84</v>
          </cell>
          <cell r="L518">
            <v>40982</v>
          </cell>
          <cell r="M518">
            <v>437183</v>
          </cell>
          <cell r="N518">
            <v>7606</v>
          </cell>
          <cell r="O518">
            <v>4903</v>
          </cell>
          <cell r="P518">
            <v>64.659143999999998</v>
          </cell>
          <cell r="Q518">
            <v>0</v>
          </cell>
          <cell r="R518">
            <v>154345.08511480002</v>
          </cell>
          <cell r="S518">
            <v>10.149031423175053</v>
          </cell>
          <cell r="T518">
            <v>0.55925400000000003</v>
          </cell>
          <cell r="U518">
            <v>5.2364879214604684E-3</v>
          </cell>
          <cell r="V518">
            <v>1.7000000000000001E-2</v>
          </cell>
          <cell r="W518">
            <v>0.28924</v>
          </cell>
          <cell r="X518">
            <v>6.9710000000000001</v>
          </cell>
          <cell r="Y518">
            <v>11.4</v>
          </cell>
          <cell r="AA518">
            <v>0</v>
          </cell>
          <cell r="AB518">
            <v>0</v>
          </cell>
          <cell r="AC518">
            <v>0.21124347651261371</v>
          </cell>
          <cell r="AD518">
            <v>7.7106700609094789E-2</v>
          </cell>
          <cell r="AE518">
            <v>0.90770013000000005</v>
          </cell>
          <cell r="AF518">
            <v>13.510945866735382</v>
          </cell>
          <cell r="AG518">
            <v>7.8044520659254069</v>
          </cell>
          <cell r="AH518">
            <v>202408</v>
          </cell>
          <cell r="AJ518" t="str">
            <v>A1&amp;A3:Prod'n deferred due to buyer's nomination.
SPOC:WHCC restarted export to PS1.
GPOC:Prod'n Deferred due to Power tripped at El Nar &amp; El Toor.</v>
          </cell>
        </row>
        <row r="519">
          <cell r="C519">
            <v>45527</v>
          </cell>
          <cell r="D519">
            <v>353331</v>
          </cell>
          <cell r="E519">
            <v>31113</v>
          </cell>
          <cell r="F519">
            <v>26158</v>
          </cell>
          <cell r="G519">
            <v>4107</v>
          </cell>
          <cell r="H519">
            <v>2339</v>
          </cell>
          <cell r="I519">
            <v>143718</v>
          </cell>
          <cell r="J519">
            <v>171956</v>
          </cell>
          <cell r="K519">
            <v>39528.589999999997</v>
          </cell>
          <cell r="L519">
            <v>15928</v>
          </cell>
          <cell r="M519">
            <v>447739</v>
          </cell>
          <cell r="N519">
            <v>7708</v>
          </cell>
          <cell r="O519">
            <v>2766</v>
          </cell>
          <cell r="P519">
            <v>66.671879999999987</v>
          </cell>
          <cell r="Q519">
            <v>0</v>
          </cell>
          <cell r="R519">
            <v>146336.33594600001</v>
          </cell>
          <cell r="S519">
            <v>9.9921562408855191</v>
          </cell>
          <cell r="T519">
            <v>0.58484899999999995</v>
          </cell>
          <cell r="U519">
            <v>4.9148937977669359E-3</v>
          </cell>
          <cell r="V519">
            <v>1.7000000000000001E-2</v>
          </cell>
          <cell r="W519">
            <v>0.28826000000000002</v>
          </cell>
          <cell r="X519">
            <v>6.9710000000000001</v>
          </cell>
          <cell r="Y519">
            <v>11.26</v>
          </cell>
          <cell r="Z519">
            <v>0</v>
          </cell>
          <cell r="AA519">
            <v>0</v>
          </cell>
          <cell r="AB519">
            <v>0</v>
          </cell>
          <cell r="AC519">
            <v>0.21237614930892801</v>
          </cell>
          <cell r="AD519">
            <v>7.6370463291490512E-2</v>
          </cell>
          <cell r="AE519">
            <v>0.88780013000000002</v>
          </cell>
          <cell r="AF519">
            <v>14.018864665422614</v>
          </cell>
          <cell r="AG519">
            <v>7.8473550781853154</v>
          </cell>
          <cell r="AH519">
            <v>202408</v>
          </cell>
          <cell r="AJ519" t="str">
            <v>GPOC:Prod'n Deferred due to Power tripped at Toma South,El Nar,Unity,El Toor &amp; Munga.
A1&amp;A3:Prod'n deferred due to buyer's nomination.
SCB:The heating system being out of service due to internal plugging is causing prod'n deferment.</v>
          </cell>
        </row>
        <row r="520">
          <cell r="C520">
            <v>45528</v>
          </cell>
          <cell r="D520">
            <v>372997</v>
          </cell>
          <cell r="E520">
            <v>31006</v>
          </cell>
          <cell r="F520">
            <v>26027</v>
          </cell>
          <cell r="G520">
            <v>4125</v>
          </cell>
          <cell r="H520">
            <v>2297</v>
          </cell>
          <cell r="I520">
            <v>143718</v>
          </cell>
          <cell r="J520">
            <v>174691</v>
          </cell>
          <cell r="K520">
            <v>33582.32</v>
          </cell>
          <cell r="L520">
            <v>0</v>
          </cell>
          <cell r="M520">
            <v>446342</v>
          </cell>
          <cell r="N520">
            <v>7711</v>
          </cell>
          <cell r="O520">
            <v>4775</v>
          </cell>
          <cell r="P520">
            <v>58.117751999999996</v>
          </cell>
          <cell r="Q520">
            <v>0</v>
          </cell>
          <cell r="R520">
            <v>142763.1336884</v>
          </cell>
          <cell r="S520">
            <v>9.7466494122844036</v>
          </cell>
          <cell r="T520">
            <v>0.61851299999999998</v>
          </cell>
          <cell r="U520">
            <v>5.2119938722401714E-3</v>
          </cell>
          <cell r="V520">
            <v>1.7000000000000001E-2</v>
          </cell>
          <cell r="W520">
            <v>0.28614999999999996</v>
          </cell>
          <cell r="X520">
            <v>6.9710000000000001</v>
          </cell>
          <cell r="Y520">
            <v>11.38</v>
          </cell>
          <cell r="Z520">
            <v>0</v>
          </cell>
          <cell r="AB520">
            <v>0</v>
          </cell>
          <cell r="AC520">
            <v>0.20189892594302089</v>
          </cell>
          <cell r="AD520">
            <v>7.6540364210937642E-2</v>
          </cell>
          <cell r="AE520">
            <v>0.87120012999999996</v>
          </cell>
          <cell r="AF520">
            <v>14.019232784081415</v>
          </cell>
          <cell r="AG520">
            <v>7.8715791664662866</v>
          </cell>
          <cell r="AH520">
            <v>202408</v>
          </cell>
          <cell r="AJ520" t="str">
            <v>GPOC:Prod'n Deferred due to Power tripped at Toma South,El Nar,Unity,El Toor &amp; Munga.
A1&amp;A3:Prod'n deferred due to buyer's nomination.
SPOC:TJ CPF stopped export to WHCC.(Field Prod'n:-12.7k bopd)</v>
          </cell>
        </row>
        <row r="521">
          <cell r="C521">
            <v>45529</v>
          </cell>
          <cell r="D521">
            <v>354040</v>
          </cell>
          <cell r="E521">
            <v>31088</v>
          </cell>
          <cell r="F521">
            <v>26054</v>
          </cell>
          <cell r="G521">
            <v>4084</v>
          </cell>
          <cell r="H521">
            <v>2362</v>
          </cell>
          <cell r="I521">
            <v>143718</v>
          </cell>
          <cell r="J521">
            <v>174687</v>
          </cell>
          <cell r="K521">
            <v>40183.81</v>
          </cell>
          <cell r="L521">
            <v>0</v>
          </cell>
          <cell r="M521">
            <v>443066</v>
          </cell>
          <cell r="N521">
            <v>7352</v>
          </cell>
          <cell r="O521">
            <v>4083</v>
          </cell>
          <cell r="P521">
            <v>62.772204000000002</v>
          </cell>
          <cell r="Q521">
            <v>0</v>
          </cell>
          <cell r="R521">
            <v>143614.8639918</v>
          </cell>
          <cell r="S521">
            <v>9.3932554998343445</v>
          </cell>
          <cell r="T521">
            <v>0.61946100000000004</v>
          </cell>
          <cell r="U521">
            <v>4.8900882635276527E-3</v>
          </cell>
          <cell r="V521">
            <v>1.7000000000000001E-2</v>
          </cell>
          <cell r="W521">
            <v>0.28627999999999998</v>
          </cell>
          <cell r="X521">
            <v>6.9710000000000001</v>
          </cell>
          <cell r="Y521">
            <v>11.32</v>
          </cell>
          <cell r="Z521">
            <v>0</v>
          </cell>
          <cell r="AB521">
            <v>0</v>
          </cell>
          <cell r="AC521">
            <v>0.20529694433196374</v>
          </cell>
          <cell r="AD521">
            <v>7.7644720187344071E-2</v>
          </cell>
          <cell r="AE521">
            <v>0.85670013</v>
          </cell>
          <cell r="AF521">
            <v>14.016825854389248</v>
          </cell>
          <cell r="AG521">
            <v>7.8418577395282689</v>
          </cell>
          <cell r="AH521">
            <v>202408</v>
          </cell>
          <cell r="AJ521" t="str">
            <v>PCB:Prod'n deferred due to electrical failure leading to minor shatdowns.
GPOC:Prod'n Deferred due to a transmission line issue at Munga, a power outage at Toma South, and El Nar.
A1&amp;A3:Prod'n deferred due to buyer's nomination.
SPOC: TJ CPF stopped export to WHCC.(Field Prod'n:-11.3k bopd)</v>
          </cell>
        </row>
        <row r="522">
          <cell r="C522">
            <v>45530</v>
          </cell>
          <cell r="D522">
            <v>354587</v>
          </cell>
          <cell r="E522">
            <v>23698</v>
          </cell>
          <cell r="F522">
            <v>26072</v>
          </cell>
          <cell r="G522">
            <v>4097</v>
          </cell>
          <cell r="H522">
            <v>2299</v>
          </cell>
          <cell r="I522">
            <v>143718</v>
          </cell>
          <cell r="J522">
            <v>173822</v>
          </cell>
          <cell r="K522">
            <v>44242.85</v>
          </cell>
          <cell r="L522">
            <v>0</v>
          </cell>
          <cell r="M522">
            <v>449476</v>
          </cell>
          <cell r="N522">
            <v>7613</v>
          </cell>
          <cell r="O522">
            <v>4555</v>
          </cell>
          <cell r="P522">
            <v>75.603395999999989</v>
          </cell>
          <cell r="Q522">
            <v>0</v>
          </cell>
          <cell r="R522">
            <v>142857.84372820001</v>
          </cell>
          <cell r="S522">
            <v>8.8659963131500508</v>
          </cell>
          <cell r="T522">
            <v>0.42013099999999998</v>
          </cell>
          <cell r="U522">
            <v>5.1112426270080169E-3</v>
          </cell>
          <cell r="V522">
            <v>1.7000000000000001E-2</v>
          </cell>
          <cell r="W522">
            <v>0.28508</v>
          </cell>
          <cell r="X522">
            <v>6.9710000000000001</v>
          </cell>
          <cell r="Y522">
            <v>11.37</v>
          </cell>
          <cell r="AB522">
            <v>0</v>
          </cell>
          <cell r="AC522">
            <v>0.20982763551722086</v>
          </cell>
          <cell r="AD522">
            <v>7.6087295092411938E-2</v>
          </cell>
          <cell r="AE522">
            <v>0.84940013000000003</v>
          </cell>
          <cell r="AF522">
            <v>14.029143671049166</v>
          </cell>
          <cell r="AG522">
            <v>7.7864981951948895</v>
          </cell>
          <cell r="AH522">
            <v>202408</v>
          </cell>
          <cell r="AJ522" t="str">
            <v>GPOC:Prod'n Deferred due to a transmission line issue at Munga and power outage at Toma South.
A1&amp;A3:Prod'n deferred due to buyer's nomination.
SPOC:TJ CPF stopped export to WHCC.(Field Prod'n:-10.2k bopd)
BC-10:Reason awaited from the operator regarding prod'n deferment.</v>
          </cell>
        </row>
        <row r="523">
          <cell r="C523">
            <v>45531</v>
          </cell>
          <cell r="D523">
            <v>355673</v>
          </cell>
          <cell r="E523">
            <v>22270</v>
          </cell>
          <cell r="F523">
            <v>26071</v>
          </cell>
          <cell r="G523">
            <v>4125</v>
          </cell>
          <cell r="H523">
            <v>2185</v>
          </cell>
          <cell r="I523">
            <v>143718</v>
          </cell>
          <cell r="J523">
            <v>170950</v>
          </cell>
          <cell r="K523">
            <v>47719.75</v>
          </cell>
          <cell r="L523">
            <v>0</v>
          </cell>
          <cell r="M523">
            <v>430054</v>
          </cell>
          <cell r="N523">
            <v>7803</v>
          </cell>
          <cell r="O523">
            <v>4040</v>
          </cell>
          <cell r="P523">
            <v>86.925035999999992</v>
          </cell>
          <cell r="Q523">
            <v>0</v>
          </cell>
          <cell r="R523">
            <v>141562.29006619999</v>
          </cell>
          <cell r="S523">
            <v>9.8400949179803305</v>
          </cell>
          <cell r="T523">
            <v>0.40707500000000002</v>
          </cell>
          <cell r="U523">
            <v>5.2667019683021515E-3</v>
          </cell>
          <cell r="V523">
            <v>1.7000000000000001E-2</v>
          </cell>
          <cell r="W523">
            <v>0.28393000000000002</v>
          </cell>
          <cell r="X523">
            <v>6.9710000000000001</v>
          </cell>
          <cell r="Y523">
            <v>11.37</v>
          </cell>
          <cell r="Z523">
            <v>0</v>
          </cell>
          <cell r="AB523">
            <v>0</v>
          </cell>
          <cell r="AC523">
            <v>0.20926129911906372</v>
          </cell>
          <cell r="AD523">
            <v>7.8097789305869789E-2</v>
          </cell>
          <cell r="AE523">
            <v>0.84050013000000001</v>
          </cell>
          <cell r="AF523">
            <v>13.757585368132817</v>
          </cell>
          <cell r="AG523">
            <v>7.7550055636911805</v>
          </cell>
          <cell r="AH523">
            <v>202408</v>
          </cell>
          <cell r="AJ523" t="str">
            <v>IEC:Prod'n deferred due to a sudden increase in water cut from 5% to 13% at well no. 133 in the Snezhnoye field.
SPOC:TJ CPF stopped export to WHCC.(Field Prod'n:-12.7k bopd)
A1&amp;A3:buyer's nomination.
BC-10:Reason awaited from the operator regarding prod'n deferment.
GPOC:Prod'n deferred due to power tripped at Field.</v>
          </cell>
        </row>
        <row r="524">
          <cell r="C524">
            <v>45532</v>
          </cell>
          <cell r="D524">
            <v>342152</v>
          </cell>
          <cell r="E524">
            <v>28252</v>
          </cell>
          <cell r="F524">
            <v>26037</v>
          </cell>
          <cell r="G524">
            <v>4120</v>
          </cell>
          <cell r="H524">
            <v>2303</v>
          </cell>
          <cell r="I524">
            <v>143718</v>
          </cell>
          <cell r="J524">
            <v>171447</v>
          </cell>
          <cell r="K524">
            <v>47852.28</v>
          </cell>
          <cell r="L524">
            <v>0</v>
          </cell>
          <cell r="M524">
            <v>404465</v>
          </cell>
          <cell r="N524">
            <v>7648</v>
          </cell>
          <cell r="O524">
            <v>3810</v>
          </cell>
          <cell r="P524">
            <v>70.886045999999993</v>
          </cell>
          <cell r="Q524">
            <v>0</v>
          </cell>
          <cell r="R524">
            <v>141979.31992070001</v>
          </cell>
          <cell r="S524">
            <v>9.7183325923765427</v>
          </cell>
          <cell r="T524">
            <v>0.44931599999999999</v>
          </cell>
          <cell r="U524">
            <v>5.080943629706609E-3</v>
          </cell>
          <cell r="V524">
            <v>1.7000000000000001E-2</v>
          </cell>
          <cell r="W524">
            <v>0.28352999999999995</v>
          </cell>
          <cell r="X524">
            <v>6.9710000000000001</v>
          </cell>
          <cell r="Y524">
            <v>11.23</v>
          </cell>
          <cell r="AB524">
            <v>0</v>
          </cell>
          <cell r="AC524">
            <v>0.20926129911906372</v>
          </cell>
          <cell r="AD524">
            <v>7.8380957504948348E-2</v>
          </cell>
          <cell r="AE524">
            <v>0.83050013</v>
          </cell>
          <cell r="AF524">
            <v>14.014079122858186</v>
          </cell>
          <cell r="AG524">
            <v>7.7658850987156613</v>
          </cell>
          <cell r="AH524">
            <v>202408</v>
          </cell>
          <cell r="AJ524" t="str">
            <v>SPOC:TJ CPF stopped export to WHCC.(Field Prod'n:-11.6k bopd)
A1&amp;A3:buyer's nomination.
GPOC:Prod'n deferred due to power tripped at Field.</v>
          </cell>
        </row>
        <row r="525">
          <cell r="C525">
            <v>45533</v>
          </cell>
          <cell r="D525">
            <v>353199</v>
          </cell>
          <cell r="E525">
            <v>27742</v>
          </cell>
          <cell r="F525">
            <v>26050</v>
          </cell>
          <cell r="G525">
            <v>4133</v>
          </cell>
          <cell r="H525">
            <v>2328</v>
          </cell>
          <cell r="I525">
            <v>143718</v>
          </cell>
          <cell r="J525">
            <v>169865</v>
          </cell>
          <cell r="K525">
            <v>48387.81</v>
          </cell>
          <cell r="L525">
            <v>0</v>
          </cell>
          <cell r="M525">
            <v>420287</v>
          </cell>
          <cell r="N525">
            <v>7683</v>
          </cell>
          <cell r="O525">
            <v>4138</v>
          </cell>
          <cell r="P525">
            <v>80.886827999999994</v>
          </cell>
          <cell r="Q525">
            <v>0</v>
          </cell>
          <cell r="R525">
            <v>142632.39847260003</v>
          </cell>
          <cell r="S525">
            <v>9.6761405307138357</v>
          </cell>
          <cell r="T525">
            <v>0.48311199999999999</v>
          </cell>
          <cell r="U525">
            <v>5.1225693549711588E-3</v>
          </cell>
          <cell r="V525">
            <v>1.7000000000000001E-2</v>
          </cell>
          <cell r="W525">
            <v>0.28354000000000001</v>
          </cell>
          <cell r="X525">
            <v>6.9710000000000001</v>
          </cell>
          <cell r="Y525">
            <v>11.25</v>
          </cell>
          <cell r="AC525">
            <v>0.20133258954486374</v>
          </cell>
          <cell r="AD525">
            <v>8.0419768538314063E-2</v>
          </cell>
          <cell r="AE525">
            <v>0.82120013000000003</v>
          </cell>
          <cell r="AF525">
            <v>14.016571003010077</v>
          </cell>
          <cell r="AG525">
            <v>7.7754565060849439</v>
          </cell>
          <cell r="AH525">
            <v>202408</v>
          </cell>
          <cell r="AJ525" t="str">
            <v>SPOC:Export from WHCC to PS#1 stopped due to low COBT level.(Field Prod'n:-13.3k bopd)
A1&amp;A3:buyer's nomination.
GPOC:Prod'n deferred due to power tripped at Field.</v>
          </cell>
        </row>
        <row r="526">
          <cell r="C526">
            <v>45534</v>
          </cell>
          <cell r="D526">
            <v>349512</v>
          </cell>
          <cell r="E526">
            <v>32459</v>
          </cell>
          <cell r="F526">
            <v>26028</v>
          </cell>
          <cell r="G526">
            <v>4182</v>
          </cell>
          <cell r="H526">
            <v>2295</v>
          </cell>
          <cell r="I526">
            <v>151900</v>
          </cell>
          <cell r="J526">
            <v>170560</v>
          </cell>
          <cell r="K526">
            <v>49245.17</v>
          </cell>
          <cell r="L526">
            <v>42192</v>
          </cell>
          <cell r="M526">
            <v>433286</v>
          </cell>
          <cell r="N526">
            <v>4265</v>
          </cell>
          <cell r="O526">
            <v>4192</v>
          </cell>
          <cell r="P526">
            <v>70.068371999999997</v>
          </cell>
          <cell r="Q526">
            <v>0</v>
          </cell>
          <cell r="R526">
            <v>156167.89046739996</v>
          </cell>
          <cell r="S526">
            <v>9.9196651819214079</v>
          </cell>
          <cell r="T526">
            <v>0.49979499999999999</v>
          </cell>
          <cell r="U526">
            <v>5.2417831667832373E-3</v>
          </cell>
          <cell r="V526">
            <v>1.7000000000000001E-2</v>
          </cell>
          <cell r="W526">
            <v>0.28129000000000004</v>
          </cell>
          <cell r="X526">
            <v>6.9710000000000001</v>
          </cell>
          <cell r="Y526">
            <v>11.59</v>
          </cell>
          <cell r="AB526">
            <v>0</v>
          </cell>
          <cell r="AC526">
            <v>0.15432666849782101</v>
          </cell>
          <cell r="AD526">
            <v>8.0674619917484786E-2</v>
          </cell>
          <cell r="AE526">
            <v>0.81600013000000005</v>
          </cell>
          <cell r="AF526">
            <v>10.502821771103818</v>
          </cell>
          <cell r="AG526">
            <v>7.2670737050085368</v>
          </cell>
          <cell r="AH526">
            <v>202408</v>
          </cell>
          <cell r="AJ526" t="str">
            <v>SPOC:WHCC resumed export to PS#1.
GPOC:Prod'n deferred due to biorem limitations and downhole complications  that stopped several wells at Toma South, Unity, El Toor, and Munga.
A1-A3:Mya-North wells shut in due to subsea communication loss &amp; SHP full production s/d due to produced water degassing.
PCB:Prod'n deferred due to power blackout in Venezuela.</v>
          </cell>
        </row>
        <row r="527">
          <cell r="C527">
            <v>45535</v>
          </cell>
          <cell r="D527">
            <v>352828</v>
          </cell>
          <cell r="E527">
            <v>29214</v>
          </cell>
          <cell r="F527">
            <v>25995</v>
          </cell>
          <cell r="G527">
            <v>4302</v>
          </cell>
          <cell r="H527">
            <v>2295</v>
          </cell>
          <cell r="I527">
            <v>151900</v>
          </cell>
          <cell r="J527">
            <v>171315</v>
          </cell>
          <cell r="K527">
            <v>49238.62</v>
          </cell>
          <cell r="L527">
            <v>47614</v>
          </cell>
          <cell r="M527">
            <v>445080</v>
          </cell>
          <cell r="N527">
            <v>2897</v>
          </cell>
          <cell r="O527">
            <v>23</v>
          </cell>
          <cell r="P527">
            <v>72.835883999999993</v>
          </cell>
          <cell r="Q527">
            <v>0</v>
          </cell>
          <cell r="R527">
            <v>155562.88544780004</v>
          </cell>
          <cell r="S527">
            <v>9.6999266594364393</v>
          </cell>
          <cell r="T527">
            <v>0.48847499999999999</v>
          </cell>
          <cell r="U527">
            <v>5.0697868026629142E-3</v>
          </cell>
          <cell r="V527">
            <v>1.7000000000000001E-2</v>
          </cell>
          <cell r="W527">
            <v>0.28127999999999997</v>
          </cell>
          <cell r="X527">
            <v>6.9710000000000001</v>
          </cell>
          <cell r="Y527">
            <v>11.18</v>
          </cell>
          <cell r="AB527">
            <v>0</v>
          </cell>
          <cell r="AC527">
            <v>0.1158157934231354</v>
          </cell>
          <cell r="AD527">
            <v>7.8664125704026935E-2</v>
          </cell>
          <cell r="AE527">
            <v>0.79880013000000005</v>
          </cell>
          <cell r="AF527">
            <v>13.9716038929964</v>
          </cell>
          <cell r="AG527">
            <v>7.7291235144623887</v>
          </cell>
          <cell r="AH527">
            <v>202408</v>
          </cell>
          <cell r="AJ527" t="str">
            <v>A1&amp;A3:buyer's nomination.
SPOC:WHCC resumed export to PS#1.
GPOC:Prod'n deferred due to biorem limitations and downhole complications  that stopped several wells at Toma South, Unity, El Toor, and Munga.
PCB:Prod'n deferred due to power blackout in Venezuela.
SCB:Prod'n deferred due to power blackout in Venezuela.</v>
          </cell>
        </row>
        <row r="528">
          <cell r="C528">
            <v>45536</v>
          </cell>
          <cell r="D528">
            <v>337533</v>
          </cell>
          <cell r="E528">
            <v>29535</v>
          </cell>
          <cell r="F528">
            <v>25819</v>
          </cell>
          <cell r="G528">
            <v>4186</v>
          </cell>
          <cell r="H528">
            <v>2317</v>
          </cell>
          <cell r="I528">
            <v>151900</v>
          </cell>
          <cell r="J528">
            <v>173341</v>
          </cell>
          <cell r="K528">
            <v>50741.4</v>
          </cell>
          <cell r="L528">
            <v>14823</v>
          </cell>
          <cell r="M528">
            <v>401374</v>
          </cell>
          <cell r="N528">
            <v>7676</v>
          </cell>
          <cell r="O528">
            <v>2949</v>
          </cell>
          <cell r="P528">
            <v>70.068371999999997</v>
          </cell>
          <cell r="Q528">
            <v>0</v>
          </cell>
          <cell r="R528">
            <v>148075.2718174</v>
          </cell>
          <cell r="S528">
            <v>9.6274356004723245</v>
          </cell>
          <cell r="T528">
            <v>0.28904400000000002</v>
          </cell>
          <cell r="U528">
            <v>5.0536745321353429E-3</v>
          </cell>
          <cell r="V528">
            <v>1.7000000000000001E-2</v>
          </cell>
          <cell r="W528">
            <v>0.28173999999999999</v>
          </cell>
          <cell r="X528">
            <v>7.6429999999999998</v>
          </cell>
          <cell r="Y528">
            <v>11.32</v>
          </cell>
          <cell r="AB528">
            <v>0</v>
          </cell>
          <cell r="AC528">
            <v>0.21549099949879227</v>
          </cell>
          <cell r="AD528">
            <v>6.4505715750098391E-2</v>
          </cell>
          <cell r="AE528">
            <v>0.79460012999999996</v>
          </cell>
          <cell r="AF528">
            <v>14.011898727725281</v>
          </cell>
          <cell r="AG528">
            <v>7.8551123530016103</v>
          </cell>
          <cell r="AH528">
            <v>202409</v>
          </cell>
          <cell r="AJ528" t="str">
            <v>LZC:Quota for the month is 421k BOPD.
GPOC:Prod'n deferred due to biorem limitations and downhole complications  that stopped several wells at Toma South, Unity, El Toor, and Munga.
A1&amp;A3:buyer's nomination.</v>
          </cell>
        </row>
        <row r="529">
          <cell r="C529">
            <v>45537</v>
          </cell>
          <cell r="D529">
            <v>281163</v>
          </cell>
          <cell r="E529">
            <v>28541</v>
          </cell>
          <cell r="F529">
            <v>25819</v>
          </cell>
          <cell r="G529">
            <v>4194</v>
          </cell>
          <cell r="H529">
            <v>2232</v>
          </cell>
          <cell r="I529">
            <v>151900</v>
          </cell>
          <cell r="J529">
            <v>175094</v>
          </cell>
          <cell r="K529">
            <v>48713.15</v>
          </cell>
          <cell r="L529">
            <v>11442</v>
          </cell>
          <cell r="M529">
            <v>384252</v>
          </cell>
          <cell r="N529">
            <v>7705</v>
          </cell>
          <cell r="O529">
            <v>4616</v>
          </cell>
          <cell r="P529">
            <v>79.503072000000003</v>
          </cell>
          <cell r="Q529">
            <v>0</v>
          </cell>
          <cell r="R529">
            <v>145546.1516824</v>
          </cell>
          <cell r="S529">
            <v>10.441544172823212</v>
          </cell>
          <cell r="T529">
            <v>0.26116800000000001</v>
          </cell>
          <cell r="U529">
            <v>5.0081127689036008E-3</v>
          </cell>
          <cell r="V529">
            <v>1.7000000000000001E-2</v>
          </cell>
          <cell r="W529">
            <v>0.27917000000000003</v>
          </cell>
          <cell r="X529">
            <v>7.6429999999999998</v>
          </cell>
          <cell r="Y529">
            <v>11.35</v>
          </cell>
          <cell r="Z529">
            <v>0</v>
          </cell>
          <cell r="AB529">
            <v>0</v>
          </cell>
          <cell r="AC529">
            <v>0.2287999048554851</v>
          </cell>
          <cell r="AD529">
            <v>6.5440170807057677E-2</v>
          </cell>
          <cell r="AE529">
            <v>0.78790013000000003</v>
          </cell>
          <cell r="AF529">
            <v>13.020356961831757</v>
          </cell>
          <cell r="AG529">
            <v>7.7018505091987741</v>
          </cell>
          <cell r="AH529">
            <v>202409</v>
          </cell>
          <cell r="AJ529" t="str">
            <v>Sakhalin-1:New Prod'n data received from Operator. Prod'n deferred due to s/d of the booster gas comp. at Chayvo in week of 23–29 Aug'24.
A1&amp;A3:Prod'n deferred due to buyer's nomination.
SPOC:TJ stopped export due to EOT issues.
LZC: The shortfall in prod'n is due to barge movement and planned activities, to be rectified in 2 days.
GPOC:Prod'n deferred due to biorem limitations and downhole complications.</v>
          </cell>
        </row>
        <row r="530">
          <cell r="C530">
            <v>45538</v>
          </cell>
          <cell r="D530">
            <v>231698</v>
          </cell>
          <cell r="E530">
            <v>28786</v>
          </cell>
          <cell r="F530">
            <v>25816</v>
          </cell>
          <cell r="G530">
            <v>4200</v>
          </cell>
          <cell r="H530">
            <v>2303</v>
          </cell>
          <cell r="I530">
            <v>151900</v>
          </cell>
          <cell r="J530">
            <v>171828</v>
          </cell>
          <cell r="K530">
            <v>49330.080000000002</v>
          </cell>
          <cell r="L530">
            <v>7113</v>
          </cell>
          <cell r="M530">
            <v>401921</v>
          </cell>
          <cell r="N530">
            <v>7704</v>
          </cell>
          <cell r="O530">
            <v>3756</v>
          </cell>
          <cell r="P530">
            <v>94.28410199999999</v>
          </cell>
          <cell r="Q530">
            <v>0</v>
          </cell>
          <cell r="R530">
            <v>143171.56289589999</v>
          </cell>
          <cell r="S530">
            <v>11.568270436956846</v>
          </cell>
          <cell r="T530">
            <v>0.28367599999999998</v>
          </cell>
          <cell r="U530">
            <v>5.3299334271563964E-3</v>
          </cell>
          <cell r="V530">
            <v>1.7000000000000001E-2</v>
          </cell>
          <cell r="W530">
            <v>0.28027999999999997</v>
          </cell>
          <cell r="X530">
            <v>7.6429999999999998</v>
          </cell>
          <cell r="Y530">
            <v>11.47</v>
          </cell>
          <cell r="Z530">
            <v>0</v>
          </cell>
          <cell r="AB530">
            <v>0</v>
          </cell>
          <cell r="AC530">
            <v>0.22087119528128513</v>
          </cell>
          <cell r="AD530">
            <v>7.6625314670661221E-2</v>
          </cell>
          <cell r="AE530">
            <v>0.78030006000000007</v>
          </cell>
          <cell r="AF530">
            <v>13.122750582618568</v>
          </cell>
          <cell r="AG530">
            <v>7.7840791038870751</v>
          </cell>
          <cell r="AH530">
            <v>202409</v>
          </cell>
          <cell r="AJ530" t="str">
            <v>ACG:Prod'n deferred as fire broke on scaffolding of GIC Train-4, Central Azeri.
A1-A3:Prod'n deferred due to buyer's nomination.
SPOC:TJ stopped export due to EOT issues.
GPOC:Prod'n deferred due to biorem limitations and downhole complications.
LZC: The shortfall in prod'n is due to barge movement and planned activities, to be rectified in 2 days.</v>
          </cell>
        </row>
        <row r="531">
          <cell r="C531">
            <v>45539</v>
          </cell>
          <cell r="D531">
            <v>316162</v>
          </cell>
          <cell r="E531">
            <v>29088</v>
          </cell>
          <cell r="F531">
            <v>25777</v>
          </cell>
          <cell r="G531">
            <v>4107</v>
          </cell>
          <cell r="H531">
            <v>2290</v>
          </cell>
          <cell r="I531">
            <v>151900</v>
          </cell>
          <cell r="J531">
            <v>172617</v>
          </cell>
          <cell r="K531">
            <v>49894.29</v>
          </cell>
          <cell r="L531">
            <v>10761</v>
          </cell>
          <cell r="M531">
            <v>408132</v>
          </cell>
          <cell r="N531">
            <v>7776</v>
          </cell>
          <cell r="O531">
            <v>3779</v>
          </cell>
          <cell r="P531">
            <v>77.867723999999995</v>
          </cell>
          <cell r="Q531">
            <v>0</v>
          </cell>
          <cell r="R531">
            <v>146601.86642579999</v>
          </cell>
          <cell r="S531">
            <v>10.79125689868525</v>
          </cell>
          <cell r="T531">
            <v>0.28705599999999998</v>
          </cell>
          <cell r="U531">
            <v>5.1795994302655827E-3</v>
          </cell>
          <cell r="V531">
            <v>1.7000000000000001E-2</v>
          </cell>
          <cell r="W531">
            <v>0.27917000000000003</v>
          </cell>
          <cell r="X531">
            <v>7.6429999999999998</v>
          </cell>
          <cell r="Y531">
            <v>11.33</v>
          </cell>
          <cell r="AB531">
            <v>0</v>
          </cell>
          <cell r="AC531">
            <v>0.22143753167944227</v>
          </cell>
          <cell r="AD531">
            <v>7.2434425324298377E-2</v>
          </cell>
          <cell r="AE531">
            <v>0.76780006000000001</v>
          </cell>
          <cell r="AF531">
            <v>12.961599560522954</v>
          </cell>
          <cell r="AG531">
            <v>7.6947927248641754</v>
          </cell>
          <cell r="AH531">
            <v>202409</v>
          </cell>
          <cell r="AJ531" t="str">
            <v>ACG:Prod'n deferred as fire broke on scaffolding of GIC Train-4, Central Azeri.
A1-A3:Prod'n deferred due to buyer's nomination.
SPOC:TJ stopped export due to EOT issues (Prod'n:-10.7k bopd).
GPOC:Prod'n deferred due to biorem limitations and downhole complications.</v>
          </cell>
        </row>
        <row r="532">
          <cell r="C532">
            <v>45540</v>
          </cell>
          <cell r="D532">
            <v>351839</v>
          </cell>
          <cell r="E532">
            <v>28409</v>
          </cell>
          <cell r="F532">
            <v>25770</v>
          </cell>
          <cell r="G532">
            <v>4138</v>
          </cell>
          <cell r="H532">
            <v>2303</v>
          </cell>
          <cell r="I532">
            <v>151900</v>
          </cell>
          <cell r="J532">
            <v>174721</v>
          </cell>
          <cell r="K532">
            <v>48987.95</v>
          </cell>
          <cell r="L532">
            <v>7206</v>
          </cell>
          <cell r="M532">
            <v>417005</v>
          </cell>
          <cell r="N532">
            <v>7639</v>
          </cell>
          <cell r="O532">
            <v>3754</v>
          </cell>
          <cell r="P532">
            <v>71.200536</v>
          </cell>
          <cell r="Q532">
            <v>0</v>
          </cell>
          <cell r="R532">
            <v>147055.93614120004</v>
          </cell>
          <cell r="S532">
            <v>10.404165970544845</v>
          </cell>
          <cell r="T532">
            <v>0.27773999999999999</v>
          </cell>
          <cell r="U532">
            <v>5.2363180205410214E-3</v>
          </cell>
          <cell r="V532">
            <v>1.7000000000000001E-2</v>
          </cell>
          <cell r="W532">
            <v>0.28837999999999997</v>
          </cell>
          <cell r="X532">
            <v>7.6429999999999998</v>
          </cell>
          <cell r="Y532">
            <v>11.44</v>
          </cell>
          <cell r="AB532">
            <v>0</v>
          </cell>
          <cell r="AC532">
            <v>0.22257020447575654</v>
          </cell>
          <cell r="AD532">
            <v>7.6313829651674783E-2</v>
          </cell>
          <cell r="AE532">
            <v>0.7599000600000001</v>
          </cell>
          <cell r="AF532">
            <v>8.6658247132214061</v>
          </cell>
          <cell r="AG532">
            <v>6.9890249391346071</v>
          </cell>
          <cell r="AH532">
            <v>202409</v>
          </cell>
          <cell r="AJ532" t="str">
            <v>ACG:Prod'n ramped up after s/d, Central Azeri.
A1-A3:Prod'n deferred due to buyer's nomination.
SPOC:TJ stopped export due to EOT &amp; BONO heater issues (Prod'n:-7.2k bopd).
GPOC:Prod'n deferred due to biorem limitations and downhole complications.</v>
          </cell>
        </row>
        <row r="533">
          <cell r="C533">
            <v>45541</v>
          </cell>
          <cell r="D533">
            <v>331540</v>
          </cell>
          <cell r="E533">
            <v>26384</v>
          </cell>
          <cell r="F533">
            <v>25736</v>
          </cell>
          <cell r="G533">
            <v>4146</v>
          </cell>
          <cell r="H533">
            <v>2309</v>
          </cell>
          <cell r="I533">
            <v>148800</v>
          </cell>
          <cell r="J533">
            <v>175004</v>
          </cell>
          <cell r="K533">
            <v>49393.43</v>
          </cell>
          <cell r="L533">
            <v>805</v>
          </cell>
          <cell r="M533">
            <v>406236</v>
          </cell>
          <cell r="N533">
            <v>7914</v>
          </cell>
          <cell r="O533">
            <v>4208</v>
          </cell>
          <cell r="P533">
            <v>61.765836</v>
          </cell>
          <cell r="Q533">
            <v>0</v>
          </cell>
          <cell r="R533">
            <v>143814.03237620002</v>
          </cell>
          <cell r="S533">
            <v>11.815759442951517</v>
          </cell>
          <cell r="T533">
            <v>0.26468799999999998</v>
          </cell>
          <cell r="U533">
            <v>5.2473615803050851E-3</v>
          </cell>
          <cell r="V533">
            <v>1.7000000000000001E-2</v>
          </cell>
          <cell r="W533">
            <v>0.29161999999999999</v>
          </cell>
          <cell r="X533">
            <v>7.6429999999999998</v>
          </cell>
          <cell r="Y533">
            <v>11.2</v>
          </cell>
          <cell r="AB533">
            <v>0</v>
          </cell>
          <cell r="AC533">
            <v>0.2355959416333708</v>
          </cell>
          <cell r="AD533">
            <v>7.5351057774807662E-2</v>
          </cell>
          <cell r="AE533">
            <v>0.74900006000000008</v>
          </cell>
          <cell r="AF533">
            <v>8.525061801459449</v>
          </cell>
          <cell r="AG533">
            <v>6.9311694661760939</v>
          </cell>
          <cell r="AH533">
            <v>202409</v>
          </cell>
          <cell r="AJ533" t="str">
            <v>A1-A3:Prod'n deferred due to buyer's nomination &amp; pipeline maintenance in China.
SPOC:Export not yet started. 15 wells flowing (TJ-6 Mala-9 Prod'n-803.2 bopd) Prod'n deferred due to Oil Treater &amp; BONO heater issues.
GPOC:Prod'n deferred due to biorem limitations and downhole complications.</v>
          </cell>
        </row>
        <row r="534">
          <cell r="C534">
            <v>45542</v>
          </cell>
          <cell r="D534">
            <v>337273</v>
          </cell>
          <cell r="E534">
            <v>26786</v>
          </cell>
          <cell r="F534">
            <v>25702</v>
          </cell>
          <cell r="G534">
            <v>4010</v>
          </cell>
          <cell r="H534">
            <v>2328</v>
          </cell>
          <cell r="I534">
            <v>148800</v>
          </cell>
          <cell r="J534">
            <v>172510</v>
          </cell>
          <cell r="K534">
            <v>48365.03</v>
          </cell>
          <cell r="L534">
            <v>2336</v>
          </cell>
          <cell r="M534">
            <v>419194</v>
          </cell>
          <cell r="N534">
            <v>7943</v>
          </cell>
          <cell r="O534">
            <v>3670</v>
          </cell>
          <cell r="P534">
            <v>47.928275999999997</v>
          </cell>
          <cell r="Q534">
            <v>0</v>
          </cell>
          <cell r="R534">
            <v>143746.10152420003</v>
          </cell>
          <cell r="S534">
            <v>14.40108510053887</v>
          </cell>
          <cell r="T534">
            <v>0.263071</v>
          </cell>
          <cell r="U534">
            <v>5.3291971898387922E-3</v>
          </cell>
          <cell r="V534">
            <v>1.7000000000000001E-2</v>
          </cell>
          <cell r="W534">
            <v>0.28832999999999998</v>
          </cell>
          <cell r="X534">
            <v>7.6429999999999998</v>
          </cell>
          <cell r="Y534">
            <v>11.05</v>
          </cell>
          <cell r="AB534">
            <v>0</v>
          </cell>
          <cell r="AC534">
            <v>0.23106525044811366</v>
          </cell>
          <cell r="AD534">
            <v>7.2774227163192651E-2</v>
          </cell>
          <cell r="AE534">
            <v>0.73880006000000009</v>
          </cell>
          <cell r="AF534">
            <v>8.5320560559766889</v>
          </cell>
          <cell r="AG534">
            <v>6.9432910987859415</v>
          </cell>
          <cell r="AH534">
            <v>202409</v>
          </cell>
          <cell r="AJ534" t="str">
            <v>A1-A3:Prod'n deferred due to buyer's nomination &amp; pipeline maintenance in China.
SPOC:Export not yet started. 15 wells flowing (TJ-6 Mala-9 Prod'n-2.3k bopd) Prod'n deferred due to Oil Treater &amp; BONO heater issues.
GPOC:Prod'n deferred due to biorem limitations and downhole complications.</v>
          </cell>
        </row>
        <row r="535">
          <cell r="C535">
            <v>45543</v>
          </cell>
          <cell r="D535">
            <v>352888</v>
          </cell>
          <cell r="E535">
            <v>25094</v>
          </cell>
          <cell r="F535">
            <v>25699</v>
          </cell>
          <cell r="G535">
            <v>4029</v>
          </cell>
          <cell r="H535">
            <v>2281</v>
          </cell>
          <cell r="I535">
            <v>148800</v>
          </cell>
          <cell r="J535">
            <v>172112</v>
          </cell>
          <cell r="K535">
            <v>48690.9</v>
          </cell>
          <cell r="L535">
            <v>1639</v>
          </cell>
          <cell r="M535">
            <v>423991</v>
          </cell>
          <cell r="N535">
            <v>7909</v>
          </cell>
          <cell r="O535">
            <v>4303</v>
          </cell>
          <cell r="P535">
            <v>67.615349999999992</v>
          </cell>
          <cell r="Q535">
            <v>0</v>
          </cell>
          <cell r="R535">
            <v>143870.40345750001</v>
          </cell>
          <cell r="S535">
            <v>12.187842456540759</v>
          </cell>
          <cell r="T535">
            <v>0.26476899999999998</v>
          </cell>
          <cell r="U535">
            <v>5.1843849728300112E-3</v>
          </cell>
          <cell r="V535">
            <v>1.7000000000000001E-2</v>
          </cell>
          <cell r="W535">
            <v>0.28488999999999998</v>
          </cell>
          <cell r="X535">
            <v>7.6429999999999998</v>
          </cell>
          <cell r="Y535">
            <v>10.99</v>
          </cell>
          <cell r="AB535">
            <v>0</v>
          </cell>
          <cell r="AC535">
            <v>0.22851673665640654</v>
          </cell>
          <cell r="AD535">
            <v>7.3368880381257662E-2</v>
          </cell>
          <cell r="AE535">
            <v>0.72840006000000002</v>
          </cell>
          <cell r="AF535">
            <v>12.961514610063231</v>
          </cell>
          <cell r="AG535">
            <v>7.6217677641225308</v>
          </cell>
          <cell r="AH535">
            <v>202409</v>
          </cell>
          <cell r="AJ535" t="str">
            <v>A1-A3:Prod'n deferred due to buyer's nomination.
SPOC:15 wells flowing &amp; Prod'n deferred due to Oil Treater &amp; BONO heater issues.
GPOC:Prod'n deferred due to biorem limitations and downhole complications.</v>
          </cell>
        </row>
        <row r="536">
          <cell r="C536">
            <v>45544</v>
          </cell>
          <cell r="D536">
            <v>354884</v>
          </cell>
          <cell r="E536">
            <v>24585</v>
          </cell>
          <cell r="F536">
            <v>25684</v>
          </cell>
          <cell r="G536">
            <v>4081</v>
          </cell>
          <cell r="H536">
            <v>2313</v>
          </cell>
          <cell r="I536">
            <v>148800</v>
          </cell>
          <cell r="J536">
            <v>171623</v>
          </cell>
          <cell r="K536">
            <v>49259.65</v>
          </cell>
          <cell r="L536">
            <v>2434</v>
          </cell>
          <cell r="M536">
            <v>423654</v>
          </cell>
          <cell r="N536">
            <v>7685</v>
          </cell>
          <cell r="O536">
            <v>3481</v>
          </cell>
          <cell r="P536">
            <v>77.427437999999995</v>
          </cell>
          <cell r="Q536">
            <v>0</v>
          </cell>
          <cell r="R536">
            <v>143670.9177471</v>
          </cell>
          <cell r="S536">
            <v>9.7019088368299915</v>
          </cell>
          <cell r="T536">
            <v>0.26114500000000002</v>
          </cell>
          <cell r="U536">
            <v>5.2877130486737815E-3</v>
          </cell>
          <cell r="V536">
            <v>1.7000000000000001E-2</v>
          </cell>
          <cell r="W536">
            <v>0.28373000000000004</v>
          </cell>
          <cell r="X536">
            <v>7.6429999999999998</v>
          </cell>
          <cell r="Y536">
            <v>11.2</v>
          </cell>
          <cell r="Z536">
            <v>0</v>
          </cell>
          <cell r="AB536">
            <v>0</v>
          </cell>
          <cell r="AC536">
            <v>0.2268177274619351</v>
          </cell>
          <cell r="AD536">
            <v>6.6572843603371956E-2</v>
          </cell>
          <cell r="AE536">
            <v>0.7226000600000001</v>
          </cell>
          <cell r="AF536">
            <v>14.171775492925041</v>
          </cell>
          <cell r="AG536">
            <v>7.817105591524264</v>
          </cell>
          <cell r="AH536">
            <v>202409</v>
          </cell>
          <cell r="AJ536" t="str">
            <v>Sakhalin-1:New Oil Prod'n data received from the Operator.
BC-10:Prod'n reduced to keep GE header pressure down.
SPOC:15 wells flowing &amp; Prod'n deferred due to Oil Treater &amp; BONO heater issues.
A1-A3:Prod'n deferred due to buyer's nomination.
GPOC:Prod'n deferred due to biorem limitations and downhole complications.</v>
          </cell>
        </row>
        <row r="537">
          <cell r="C537">
            <v>45545</v>
          </cell>
          <cell r="D537">
            <v>354298</v>
          </cell>
          <cell r="E537">
            <v>24220</v>
          </cell>
          <cell r="F537">
            <v>25645</v>
          </cell>
          <cell r="G537">
            <v>4093</v>
          </cell>
          <cell r="H537">
            <v>2249</v>
          </cell>
          <cell r="I537">
            <v>148800</v>
          </cell>
          <cell r="J537">
            <v>171503</v>
          </cell>
          <cell r="K537">
            <v>47886.13</v>
          </cell>
          <cell r="L537">
            <v>5462</v>
          </cell>
          <cell r="M537">
            <v>421418</v>
          </cell>
          <cell r="N537">
            <v>7993</v>
          </cell>
          <cell r="O537">
            <v>4043.9999999999995</v>
          </cell>
          <cell r="P537">
            <v>81.893195999999989</v>
          </cell>
          <cell r="Q537">
            <v>0</v>
          </cell>
          <cell r="R537">
            <v>144001.10573820001</v>
          </cell>
          <cell r="S537">
            <v>9.6234712456852218</v>
          </cell>
          <cell r="T537">
            <v>0.26184400000000002</v>
          </cell>
          <cell r="U537">
            <v>5.198826550983018E-3</v>
          </cell>
          <cell r="V537">
            <v>1.7000000000000001E-2</v>
          </cell>
          <cell r="W537">
            <v>0.28344999999999998</v>
          </cell>
          <cell r="X537">
            <v>7.6429999999999998</v>
          </cell>
          <cell r="Y537">
            <v>11.25</v>
          </cell>
          <cell r="AB537">
            <v>0</v>
          </cell>
          <cell r="AC537">
            <v>0.22257020447575654</v>
          </cell>
          <cell r="AD537">
            <v>7.0537198390471956E-2</v>
          </cell>
          <cell r="AE537">
            <v>0.71320006000000002</v>
          </cell>
          <cell r="AF537">
            <v>14.172851532081539</v>
          </cell>
          <cell r="AG537">
            <v>7.8252116336634012</v>
          </cell>
          <cell r="AH537">
            <v>202409</v>
          </cell>
          <cell r="AJ537" t="str">
            <v>SPOC:6 wells flowing &amp; Prod'n deferred due to Oil Treater &amp; BONO heater issues.
A1-A3:Prod'n deferred due to buyer's nomination.
GPOC:Prod'n deferred due to biorem limitations and downhole complications.
BC-10:Prod'n reduced to keep GE header pressure down.</v>
          </cell>
        </row>
        <row r="538">
          <cell r="C538">
            <v>45546</v>
          </cell>
          <cell r="D538">
            <v>367005</v>
          </cell>
          <cell r="E538">
            <v>24818</v>
          </cell>
          <cell r="F538">
            <v>25614</v>
          </cell>
          <cell r="G538">
            <v>4118</v>
          </cell>
          <cell r="H538">
            <v>2267</v>
          </cell>
          <cell r="I538">
            <v>148800</v>
          </cell>
          <cell r="J538">
            <v>172668</v>
          </cell>
          <cell r="K538">
            <v>47758.62</v>
          </cell>
          <cell r="L538">
            <v>2724</v>
          </cell>
          <cell r="M538">
            <v>422048</v>
          </cell>
          <cell r="N538">
            <v>7502</v>
          </cell>
          <cell r="O538">
            <v>3502</v>
          </cell>
          <cell r="P538">
            <v>80.509439999999998</v>
          </cell>
          <cell r="Q538">
            <v>0</v>
          </cell>
          <cell r="R538">
            <v>143829.14474799996</v>
          </cell>
          <cell r="S538">
            <v>9.8279186854199541</v>
          </cell>
          <cell r="T538">
            <v>0.26332699999999998</v>
          </cell>
          <cell r="U538">
            <v>5.198826550983018E-3</v>
          </cell>
          <cell r="V538">
            <v>1.7000000000000001E-2</v>
          </cell>
          <cell r="W538">
            <v>0.28097000000000005</v>
          </cell>
          <cell r="X538">
            <v>7.6429999999999998</v>
          </cell>
          <cell r="Y538">
            <v>11.13</v>
          </cell>
          <cell r="AB538">
            <v>0</v>
          </cell>
          <cell r="AC538">
            <v>0.22257020447575654</v>
          </cell>
          <cell r="AD538">
            <v>6.8101951878396239E-2</v>
          </cell>
          <cell r="AE538">
            <v>0.69760006000000008</v>
          </cell>
          <cell r="AF538">
            <v>14.110639478743979</v>
          </cell>
          <cell r="AG538">
            <v>7.7780846318490582</v>
          </cell>
          <cell r="AH538">
            <v>202409</v>
          </cell>
          <cell r="AJ538" t="str">
            <v>SPOC:6 wells flowing &amp; Prod'n deferred due to Oil Treater &amp; BONO heater issues.
A1-A3:Prod'n deferred due to buyer's nomination.
GPOC:Prod'n deferred due to biorem limitations and downhole complications.
BC-10:Prod'n reduced to keep GE header pressure down.</v>
          </cell>
        </row>
        <row r="539">
          <cell r="C539">
            <v>45547</v>
          </cell>
          <cell r="D539">
            <v>355676</v>
          </cell>
          <cell r="E539">
            <v>24333</v>
          </cell>
          <cell r="F539">
            <v>25568</v>
          </cell>
          <cell r="G539">
            <v>4038</v>
          </cell>
          <cell r="H539">
            <v>2296</v>
          </cell>
          <cell r="I539">
            <v>148800</v>
          </cell>
          <cell r="J539">
            <v>173460</v>
          </cell>
          <cell r="K539">
            <v>48435.17</v>
          </cell>
          <cell r="L539">
            <v>2894</v>
          </cell>
          <cell r="M539">
            <v>398000</v>
          </cell>
          <cell r="N539">
            <v>7454</v>
          </cell>
          <cell r="O539">
            <v>5168</v>
          </cell>
          <cell r="P539">
            <v>90.384425999999991</v>
          </cell>
          <cell r="Q539">
            <v>0</v>
          </cell>
          <cell r="R539">
            <v>143513.00859170003</v>
          </cell>
          <cell r="S539">
            <v>9.7364553571175723</v>
          </cell>
          <cell r="T539">
            <v>0.22501599999999999</v>
          </cell>
          <cell r="U539">
            <v>5.0945073864424725E-3</v>
          </cell>
          <cell r="V539">
            <v>1.7000000000000001E-2</v>
          </cell>
          <cell r="W539">
            <v>0.27944000000000002</v>
          </cell>
          <cell r="X539">
            <v>7.6429999999999998</v>
          </cell>
          <cell r="Y539">
            <v>11.01</v>
          </cell>
          <cell r="AC539">
            <v>0.21401852486358369</v>
          </cell>
          <cell r="AD539">
            <v>7.9173828462368354E-2</v>
          </cell>
          <cell r="AE539">
            <v>0.69000006000000003</v>
          </cell>
          <cell r="AF539">
            <v>13.10476940197708</v>
          </cell>
          <cell r="AG539">
            <v>7.561894988375971</v>
          </cell>
          <cell r="AH539">
            <v>202409</v>
          </cell>
          <cell r="AJ539" t="str">
            <v>LZC:Prod'n deferred due to ZK-45 Oil radial s/d for 5hrs due to Rig Junanah Skid-in Operation.
SPOC:6 wells flowing prod'n deferred due to Oil Treater &amp; BONO heater issues.
A1-A3:Prod'n deferred due to buyer's nomination.
GPOC:Prod'n deferred due to biorem limitations and downhole complications.</v>
          </cell>
        </row>
        <row r="540">
          <cell r="C540">
            <v>45548</v>
          </cell>
          <cell r="D540">
            <v>358059</v>
          </cell>
          <cell r="E540">
            <v>25440</v>
          </cell>
          <cell r="F540">
            <v>25587</v>
          </cell>
          <cell r="G540">
            <v>4024</v>
          </cell>
          <cell r="H540">
            <v>2293</v>
          </cell>
          <cell r="I540">
            <v>144200</v>
          </cell>
          <cell r="J540">
            <v>174224</v>
          </cell>
          <cell r="K540">
            <v>48996.639999999999</v>
          </cell>
          <cell r="L540">
            <v>6892</v>
          </cell>
          <cell r="M540">
            <v>426046</v>
          </cell>
          <cell r="N540">
            <v>7601</v>
          </cell>
          <cell r="O540">
            <v>4219</v>
          </cell>
          <cell r="P540">
            <v>68.370125999999985</v>
          </cell>
          <cell r="Q540">
            <v>0</v>
          </cell>
          <cell r="R540">
            <v>145002.27445669999</v>
          </cell>
          <cell r="S540">
            <v>9.7511801034696592</v>
          </cell>
          <cell r="T540">
            <v>0.23195399999999999</v>
          </cell>
          <cell r="U540">
            <v>5.1186050001840594E-3</v>
          </cell>
          <cell r="V540">
            <v>1.7000000000000001E-2</v>
          </cell>
          <cell r="W540">
            <v>0.27960000000000002</v>
          </cell>
          <cell r="X540">
            <v>7.6429999999999998</v>
          </cell>
          <cell r="Y540">
            <v>11.25</v>
          </cell>
          <cell r="AB540">
            <v>0</v>
          </cell>
          <cell r="AC540">
            <v>0.21350882210524227</v>
          </cell>
          <cell r="AD540">
            <v>7.9287095741999783E-2</v>
          </cell>
          <cell r="AE540">
            <v>0.68180006000000004</v>
          </cell>
          <cell r="AF540">
            <v>12.961684510982678</v>
          </cell>
          <cell r="AG540">
            <v>7.5986600664857109</v>
          </cell>
          <cell r="AH540">
            <v>202409</v>
          </cell>
          <cell r="AJ540" t="str">
            <v>Sakhalin-1:New Oil Prod'n data received from the Operator.
SPOC:21 wells flowing Prod'n deferred due to Oil Treater &amp; BONO heater issues.
A1-A3:Prod'n deferred due to buyer's nomination.
GPOC:Prod'n deferred due to biorem limitations and downhole complications.
BC-10:Prod'n reduced to keep GE header pressure down.</v>
          </cell>
        </row>
        <row r="541">
          <cell r="C541">
            <v>45549</v>
          </cell>
          <cell r="D541">
            <v>349873</v>
          </cell>
          <cell r="E541">
            <v>23560</v>
          </cell>
          <cell r="F541">
            <v>25741</v>
          </cell>
          <cell r="G541">
            <v>3977</v>
          </cell>
          <cell r="H541">
            <v>2296</v>
          </cell>
          <cell r="I541">
            <v>144200</v>
          </cell>
          <cell r="J541">
            <v>173761</v>
          </cell>
          <cell r="K541">
            <v>48480.72</v>
          </cell>
          <cell r="L541">
            <v>9580</v>
          </cell>
          <cell r="M541">
            <v>422521</v>
          </cell>
          <cell r="N541">
            <v>7606</v>
          </cell>
          <cell r="O541">
            <v>4365</v>
          </cell>
          <cell r="P541">
            <v>71.766617999999994</v>
          </cell>
          <cell r="Q541">
            <v>0</v>
          </cell>
          <cell r="R541">
            <v>144711.47627810002</v>
          </cell>
          <cell r="S541">
            <v>10.373300636845281</v>
          </cell>
          <cell r="T541">
            <v>0.254965</v>
          </cell>
          <cell r="U541">
            <v>5.3360215434365855E-3</v>
          </cell>
          <cell r="V541">
            <v>1.7000000000000001E-2</v>
          </cell>
          <cell r="W541">
            <v>0.28108</v>
          </cell>
          <cell r="X541">
            <v>7.6429999999999998</v>
          </cell>
          <cell r="Y541">
            <v>11.22</v>
          </cell>
          <cell r="AB541">
            <v>0</v>
          </cell>
          <cell r="AC541">
            <v>0.21152664471169227</v>
          </cell>
          <cell r="AD541">
            <v>8.299659914992906E-2</v>
          </cell>
          <cell r="AE541">
            <v>0.67560006000000006</v>
          </cell>
          <cell r="AF541">
            <v>12.959787284048851</v>
          </cell>
          <cell r="AG541">
            <v>7.6112294456580951</v>
          </cell>
          <cell r="AH541">
            <v>202409</v>
          </cell>
          <cell r="AJ541" t="str">
            <v>SPOC:27 wells flowing &amp; Prod'n deferred due to Oil Treater &amp; BONO heater issues.
A1-A3:Prod'n deferred due to buyer's nomination.
GPOC:Prod'n deferred due to biorem limitations and downhole complications.
BC-10:Prod'n reduced to keep GE header pressure down.</v>
          </cell>
        </row>
        <row r="542">
          <cell r="C542">
            <v>45550</v>
          </cell>
          <cell r="D542">
            <v>355955</v>
          </cell>
          <cell r="E542">
            <v>23786</v>
          </cell>
          <cell r="F542">
            <v>25693</v>
          </cell>
          <cell r="G542">
            <v>3938</v>
          </cell>
          <cell r="H542">
            <v>2293</v>
          </cell>
          <cell r="I542">
            <v>144200</v>
          </cell>
          <cell r="J542">
            <v>173254</v>
          </cell>
          <cell r="K542">
            <v>48634.67</v>
          </cell>
          <cell r="L542">
            <v>10329</v>
          </cell>
          <cell r="M542">
            <v>416026</v>
          </cell>
          <cell r="N542">
            <v>7681</v>
          </cell>
          <cell r="O542">
            <v>3644</v>
          </cell>
          <cell r="P542">
            <v>73.842252000000002</v>
          </cell>
          <cell r="Q542">
            <v>0</v>
          </cell>
          <cell r="R542">
            <v>144405.23826340001</v>
          </cell>
          <cell r="S542">
            <v>9.9587423933942532</v>
          </cell>
          <cell r="T542">
            <v>0.244532</v>
          </cell>
          <cell r="U542">
            <v>5.4101266611354471E-3</v>
          </cell>
          <cell r="V542">
            <v>1.7000000000000001E-2</v>
          </cell>
          <cell r="W542">
            <v>0.27875</v>
          </cell>
          <cell r="X542">
            <v>7.6429999999999998</v>
          </cell>
          <cell r="Y542">
            <v>11.2</v>
          </cell>
          <cell r="AB542">
            <v>0</v>
          </cell>
          <cell r="AC542">
            <v>0.22143753167944227</v>
          </cell>
          <cell r="AD542">
            <v>8.4270856045782633E-2</v>
          </cell>
          <cell r="AE542">
            <v>0.66980006000000003</v>
          </cell>
          <cell r="AF542">
            <v>12.965592232129961</v>
          </cell>
          <cell r="AG542">
            <v>7.5913348553153472</v>
          </cell>
          <cell r="AH542">
            <v>202409</v>
          </cell>
          <cell r="AJ542" t="str">
            <v>SPOC:28 wells flowing &amp; Prod'n deferred due to Oil Treater &amp; BONO heater issues.
A1-A3:Prod'n deferred due to buyer's nomination.
GPOC:Prod'n deferred due to biorem limitations and downhole complications.
BC-10:Prod'n reduced to keep GE header pressure down.
LZC:Al Ghallan zero prod'n due to gas lift compressor s/d.</v>
          </cell>
        </row>
        <row r="543">
          <cell r="C543">
            <v>45551</v>
          </cell>
          <cell r="D543">
            <v>371551</v>
          </cell>
          <cell r="E543">
            <v>23937</v>
          </cell>
          <cell r="F543">
            <v>25669</v>
          </cell>
          <cell r="G543">
            <v>3962</v>
          </cell>
          <cell r="H543">
            <v>2276</v>
          </cell>
          <cell r="I543">
            <v>144200</v>
          </cell>
          <cell r="J543">
            <v>170836</v>
          </cell>
          <cell r="K543">
            <v>48575.71</v>
          </cell>
          <cell r="L543">
            <v>12574</v>
          </cell>
          <cell r="M543">
            <v>415933</v>
          </cell>
          <cell r="N543">
            <v>7741</v>
          </cell>
          <cell r="O543">
            <v>4134</v>
          </cell>
          <cell r="P543">
            <v>90.698915999999997</v>
          </cell>
          <cell r="Q543">
            <v>0</v>
          </cell>
          <cell r="R543">
            <v>144889.12761220001</v>
          </cell>
          <cell r="S543">
            <v>9.9825285221168514</v>
          </cell>
          <cell r="T543">
            <v>0.24176500000000001</v>
          </cell>
          <cell r="U543">
            <v>5.2120788226998945E-3</v>
          </cell>
          <cell r="V543">
            <v>1.7000000000000001E-2</v>
          </cell>
          <cell r="W543">
            <v>0.29862</v>
          </cell>
          <cell r="X543">
            <v>7.6429999999999998</v>
          </cell>
          <cell r="Y543">
            <v>11.22</v>
          </cell>
          <cell r="AC543">
            <v>0.21350882210524227</v>
          </cell>
          <cell r="AD543">
            <v>7.8041155666054074E-2</v>
          </cell>
          <cell r="AE543">
            <v>0.66320006000000009</v>
          </cell>
          <cell r="AF543">
            <v>12.967234607684619</v>
          </cell>
          <cell r="AG543">
            <v>7.6100137570411714</v>
          </cell>
          <cell r="AH543">
            <v>202409</v>
          </cell>
          <cell r="AJ543" t="str">
            <v>SPOC:28 wells flowing &amp; Prod'n deferred due to Oil Treater &amp; BONO heater issues.
A1-A3:Prod'n deferred due to buyer's nomination.
GPOC:Prod'n deferred due to biorem limitations and downhole complications.
BC-10:Prod'n reduced to keep GE header pressure down.
LZC:Al Ghallan zero prod'n due to gas lift compressor s/d.</v>
          </cell>
        </row>
        <row r="544">
          <cell r="C544">
            <v>45552</v>
          </cell>
          <cell r="D544">
            <v>373908</v>
          </cell>
          <cell r="E544">
            <v>26088</v>
          </cell>
          <cell r="F544">
            <v>27201</v>
          </cell>
          <cell r="G544">
            <v>4004</v>
          </cell>
          <cell r="H544">
            <v>2143</v>
          </cell>
          <cell r="I544">
            <v>144200</v>
          </cell>
          <cell r="J544">
            <v>171128</v>
          </cell>
          <cell r="K544">
            <v>48005.5</v>
          </cell>
          <cell r="L544">
            <v>11996</v>
          </cell>
          <cell r="M544">
            <v>417458</v>
          </cell>
          <cell r="N544">
            <v>7618</v>
          </cell>
          <cell r="O544">
            <v>4540</v>
          </cell>
          <cell r="P544">
            <v>54.532565999999996</v>
          </cell>
          <cell r="Q544">
            <v>0</v>
          </cell>
          <cell r="R544">
            <v>146472.26445470002</v>
          </cell>
          <cell r="S544">
            <v>9.9765819899362</v>
          </cell>
          <cell r="T544">
            <v>0.221133</v>
          </cell>
          <cell r="U544">
            <v>5.1597210226902671E-3</v>
          </cell>
          <cell r="V544">
            <v>1.7000000000000001E-2</v>
          </cell>
          <cell r="W544">
            <v>0.31229000000000001</v>
          </cell>
          <cell r="X544">
            <v>7.6429999999999998</v>
          </cell>
          <cell r="Y544">
            <v>11.4</v>
          </cell>
          <cell r="AB544">
            <v>0</v>
          </cell>
          <cell r="AC544">
            <v>0.21011080371629942</v>
          </cell>
          <cell r="AD544">
            <v>7.8352640685040498E-2</v>
          </cell>
          <cell r="AE544">
            <v>0.57290006000000004</v>
          </cell>
          <cell r="AF544">
            <v>12.958513027152998</v>
          </cell>
          <cell r="AG544">
            <v>7.6223722449822287</v>
          </cell>
          <cell r="AH544">
            <v>202409</v>
          </cell>
          <cell r="AJ544" t="str">
            <v>CPO-5:Cante Flamenco-2 prod'n started with 1541.61 bopd.
IEC: Prod'n deferred due to well SM-314 s/d due to ESP trip, Snezhnoye.
A1-A3:Prod'n deferred due to buyer's nomination.
GPOC:Prod'n deferred due to biorem limitations and downhole complications.</v>
          </cell>
        </row>
        <row r="545">
          <cell r="C545">
            <v>45553</v>
          </cell>
          <cell r="D545">
            <v>351893</v>
          </cell>
          <cell r="E545">
            <v>22811</v>
          </cell>
          <cell r="F545">
            <v>26613</v>
          </cell>
          <cell r="G545">
            <v>4000</v>
          </cell>
          <cell r="H545">
            <v>2281</v>
          </cell>
          <cell r="I545">
            <v>144200</v>
          </cell>
          <cell r="J545">
            <v>166786</v>
          </cell>
          <cell r="K545">
            <v>47642.71</v>
          </cell>
          <cell r="L545">
            <v>9075</v>
          </cell>
          <cell r="M545">
            <v>410274</v>
          </cell>
          <cell r="N545">
            <v>7929</v>
          </cell>
          <cell r="O545">
            <v>3926</v>
          </cell>
          <cell r="P545">
            <v>99.190145999999984</v>
          </cell>
          <cell r="Q545">
            <v>0</v>
          </cell>
          <cell r="R545">
            <v>142400.3651157</v>
          </cell>
          <cell r="S545">
            <v>9.8420770953738792</v>
          </cell>
          <cell r="T545">
            <v>0.21284400000000001</v>
          </cell>
          <cell r="U545">
            <v>5.3674815303542149E-3</v>
          </cell>
          <cell r="V545">
            <v>1.7000000000000001E-2</v>
          </cell>
          <cell r="W545">
            <v>0.29825000000000002</v>
          </cell>
          <cell r="X545">
            <v>7.6429999999999998</v>
          </cell>
          <cell r="Y545">
            <v>11.23</v>
          </cell>
          <cell r="AC545">
            <v>0.2016157577439423</v>
          </cell>
          <cell r="AD545">
            <v>7.9655214400801935E-2</v>
          </cell>
          <cell r="AE545">
            <v>0.62540006000000004</v>
          </cell>
          <cell r="AF545">
            <v>12.958513027152998</v>
          </cell>
          <cell r="AG545">
            <v>7.5821441587025493</v>
          </cell>
          <cell r="AH545">
            <v>202409</v>
          </cell>
          <cell r="AJ545" t="str">
            <v>CPO-5:Cante Flamenco-2 prod'n:946.27 bopd &amp; Chk change from 28/64 to 24/64.
Vankor:Prod'n deferred due to Replacement of faulty sections in the oil gathering pipeline.
A1-A3:Prod'n deferred due to buyer's nomination.
GPOC:Prod'n deferred due to biorem limitations and downhole complications.
BC-10:Prod'n reduced to keep GE header pressure down.
LZC:Reason awaited from the operator regarding prod'n deferment.</v>
          </cell>
        </row>
        <row r="546">
          <cell r="C546">
            <v>45554</v>
          </cell>
          <cell r="D546">
            <v>350287</v>
          </cell>
          <cell r="E546">
            <v>22893</v>
          </cell>
          <cell r="F546">
            <v>26184</v>
          </cell>
          <cell r="G546">
            <v>4005</v>
          </cell>
          <cell r="H546">
            <v>2268</v>
          </cell>
          <cell r="I546">
            <v>144200</v>
          </cell>
          <cell r="J546">
            <v>170812</v>
          </cell>
          <cell r="K546">
            <v>48274.28</v>
          </cell>
          <cell r="L546">
            <v>12050</v>
          </cell>
          <cell r="M546">
            <v>404710</v>
          </cell>
          <cell r="N546">
            <v>7667</v>
          </cell>
          <cell r="O546">
            <v>4057.0000000000005</v>
          </cell>
          <cell r="P546">
            <v>50.444195999999991</v>
          </cell>
          <cell r="R546">
            <v>143776.06208819998</v>
          </cell>
          <cell r="S546">
            <v>9.9893245588947366</v>
          </cell>
          <cell r="T546">
            <v>0.230772</v>
          </cell>
          <cell r="U546">
            <v>5.4718856453544835E-3</v>
          </cell>
          <cell r="V546">
            <v>1.7000000000000001E-2</v>
          </cell>
          <cell r="W546">
            <v>0.28523000000000004</v>
          </cell>
          <cell r="X546">
            <v>7.6429999999999998</v>
          </cell>
          <cell r="Y546">
            <v>11.19</v>
          </cell>
          <cell r="AC546">
            <v>0.20727912172551374</v>
          </cell>
          <cell r="AD546">
            <v>7.9966699419788345E-2</v>
          </cell>
          <cell r="AE546">
            <v>0.63330006000000005</v>
          </cell>
          <cell r="AF546">
            <v>12.958513027152998</v>
          </cell>
          <cell r="AG546">
            <v>7.5713417820359474</v>
          </cell>
          <cell r="AH546">
            <v>202409</v>
          </cell>
          <cell r="AJ546" t="str">
            <v>A1-A3:Prod'n deferred due to buyer's nomination.
GPOC:Prod'n deferred due to biorem limitations and downhole complications.
BC-10:Prod'n reduced to keep GE header pressure down.
LZC:Al Ghallan zero prod'n due to gas lift compressor s/d. prod'n will resume after 2 days._x000D_</v>
          </cell>
        </row>
        <row r="547">
          <cell r="C547">
            <v>45555</v>
          </cell>
          <cell r="D547">
            <v>342273</v>
          </cell>
          <cell r="E547">
            <v>22912</v>
          </cell>
          <cell r="F547">
            <v>25974</v>
          </cell>
          <cell r="G547">
            <v>4001</v>
          </cell>
          <cell r="H547">
            <v>2284</v>
          </cell>
          <cell r="I547">
            <v>145900</v>
          </cell>
          <cell r="J547">
            <v>172899</v>
          </cell>
          <cell r="K547">
            <v>46239.95</v>
          </cell>
          <cell r="L547">
            <v>12288</v>
          </cell>
          <cell r="M547">
            <v>412888</v>
          </cell>
          <cell r="N547">
            <v>7624</v>
          </cell>
          <cell r="O547">
            <v>4385</v>
          </cell>
          <cell r="P547">
            <v>68.055635999999993</v>
          </cell>
          <cell r="Q547">
            <v>0</v>
          </cell>
          <cell r="R547">
            <v>144356.03883620002</v>
          </cell>
          <cell r="S547">
            <v>9.8774731202587009</v>
          </cell>
          <cell r="T547">
            <v>0.23525799999999999</v>
          </cell>
          <cell r="U547">
            <v>5.2095019920882805E-3</v>
          </cell>
          <cell r="V547">
            <v>1.7000000000000001E-2</v>
          </cell>
          <cell r="W547">
            <v>0.28292</v>
          </cell>
          <cell r="X547">
            <v>7.6429999999999998</v>
          </cell>
          <cell r="Y547">
            <v>11.23</v>
          </cell>
          <cell r="AB547">
            <v>0</v>
          </cell>
          <cell r="AC547">
            <v>0.20897813091998516</v>
          </cell>
          <cell r="AD547">
            <v>7.9655214400801935E-2</v>
          </cell>
          <cell r="AE547">
            <v>0.62860006000000002</v>
          </cell>
          <cell r="AF547">
            <v>12.749818064432091</v>
          </cell>
          <cell r="AG547">
            <v>7.5403447185874128</v>
          </cell>
          <cell r="AH547">
            <v>202409</v>
          </cell>
          <cell r="AJ547" t="str">
            <v>A1-A3:Prod'n deferred due to buyer's nomination.
GPOC:Prod'n deferred due to biorem limitations, downhole complications and power trip at EL Nar.
BC-10:Prod'n reduced to keep GE header pressure down.
CPO-5:CF-2 prod'n:319.31 bopd &amp; THP decrease from 40 psi to 20 psi.</v>
          </cell>
        </row>
        <row r="548">
          <cell r="C548">
            <v>45556</v>
          </cell>
          <cell r="D548">
            <v>334244</v>
          </cell>
          <cell r="E548">
            <v>23893</v>
          </cell>
          <cell r="F548">
            <v>25772</v>
          </cell>
          <cell r="G548">
            <v>3939</v>
          </cell>
          <cell r="H548">
            <v>2249</v>
          </cell>
          <cell r="I548">
            <v>145900</v>
          </cell>
          <cell r="J548">
            <v>172844</v>
          </cell>
          <cell r="K548">
            <v>49361</v>
          </cell>
          <cell r="L548">
            <v>11525</v>
          </cell>
          <cell r="M548">
            <v>404234</v>
          </cell>
          <cell r="N548">
            <v>7819</v>
          </cell>
          <cell r="O548">
            <v>5111</v>
          </cell>
          <cell r="P548">
            <v>92.208467999999996</v>
          </cell>
          <cell r="Q548">
            <v>0</v>
          </cell>
          <cell r="R548">
            <v>144786.48646059996</v>
          </cell>
          <cell r="S548">
            <v>9.6404613376299402</v>
          </cell>
          <cell r="T548">
            <v>0.25685799999999998</v>
          </cell>
          <cell r="U548">
            <v>5.2980770047600569E-3</v>
          </cell>
          <cell r="V548">
            <v>1.7000000000000001E-2</v>
          </cell>
          <cell r="W548">
            <v>0.28104000000000001</v>
          </cell>
          <cell r="X548">
            <v>7.6429999999999998</v>
          </cell>
          <cell r="Y548">
            <v>11.4</v>
          </cell>
          <cell r="AB548">
            <v>0</v>
          </cell>
          <cell r="AC548">
            <v>0.21407515850339942</v>
          </cell>
          <cell r="AD548">
            <v>7.5549275514162656E-2</v>
          </cell>
          <cell r="AE548">
            <v>0.62560006000000001</v>
          </cell>
          <cell r="AF548">
            <v>12.693439275995548</v>
          </cell>
          <cell r="AG548">
            <v>7.5710676523628662</v>
          </cell>
          <cell r="AH548">
            <v>202409</v>
          </cell>
          <cell r="AJ548" t="str">
            <v>A1-A3:Prod'n deferred due to buyer's nomination.
CPO-5:CF-2 prod'n:98.70 bopd &amp; Well closed at 15:20 hrs for slickline operations (multirate and PBU tests).
GPOC:Prod'n deferred due to biorem limitations and downhole complications.
BC-10:Prod'n less as some of produced oil is used to fill hot oil tank.
LZC:Reason awaited from the operator regarding prod'n deferment.</v>
          </cell>
        </row>
        <row r="549">
          <cell r="C549">
            <v>45557</v>
          </cell>
          <cell r="D549">
            <v>355855</v>
          </cell>
          <cell r="E549">
            <v>22987</v>
          </cell>
          <cell r="F549">
            <v>25685</v>
          </cell>
          <cell r="G549">
            <v>4063</v>
          </cell>
          <cell r="H549">
            <v>2271</v>
          </cell>
          <cell r="I549">
            <v>145900</v>
          </cell>
          <cell r="J549">
            <v>173786</v>
          </cell>
          <cell r="K549">
            <v>48104.44</v>
          </cell>
          <cell r="L549">
            <v>11997</v>
          </cell>
          <cell r="M549">
            <v>397111</v>
          </cell>
          <cell r="N549">
            <v>7924</v>
          </cell>
          <cell r="O549">
            <v>4062.0000000000005</v>
          </cell>
          <cell r="P549">
            <v>54.532565999999996</v>
          </cell>
          <cell r="Q549">
            <v>0</v>
          </cell>
          <cell r="R549">
            <v>144398.90640469998</v>
          </cell>
          <cell r="S549">
            <v>8.8243705878855003</v>
          </cell>
          <cell r="T549">
            <v>0.26049800000000001</v>
          </cell>
          <cell r="U549">
            <v>5.2825877042704588E-3</v>
          </cell>
          <cell r="V549">
            <v>1.7000000000000001E-2</v>
          </cell>
          <cell r="W549">
            <v>0.27979999999999999</v>
          </cell>
          <cell r="X549">
            <v>7.6429999999999998</v>
          </cell>
          <cell r="Y549">
            <v>11.53</v>
          </cell>
          <cell r="AB549">
            <v>0</v>
          </cell>
          <cell r="AC549">
            <v>0.21464149490155657</v>
          </cell>
          <cell r="AD549">
            <v>7.8664125704026935E-2</v>
          </cell>
          <cell r="AE549">
            <v>0.61420006000000005</v>
          </cell>
          <cell r="AF549">
            <v>12.693665810554812</v>
          </cell>
          <cell r="AG549">
            <v>7.5819646614882439</v>
          </cell>
          <cell r="AH549">
            <v>202409</v>
          </cell>
          <cell r="AJ549" t="str">
            <v>A1-A3:Prod'n deferred due to buyer's nomination.
CPO-5:CF-2 prod'n:0.67 bopd &amp;  slickline operations (multirate and PBU tests) ongoing.
GPOC:Prod'n deferred due to biorem limitations and downhole complications.
BC-10:Prod'n less as some of produced oil is used to fill hot oil tank.
LZC:Reason awaited from the operator regarding prod'n deferment.</v>
          </cell>
        </row>
        <row r="550">
          <cell r="C550">
            <v>45558</v>
          </cell>
          <cell r="D550">
            <v>344321</v>
          </cell>
          <cell r="E550">
            <v>23019</v>
          </cell>
          <cell r="F550">
            <v>25568</v>
          </cell>
          <cell r="G550">
            <v>4035</v>
          </cell>
          <cell r="H550">
            <v>1796</v>
          </cell>
          <cell r="I550">
            <v>145900</v>
          </cell>
          <cell r="J550">
            <v>171985</v>
          </cell>
          <cell r="K550">
            <v>49271.78</v>
          </cell>
          <cell r="L550">
            <v>15970</v>
          </cell>
          <cell r="M550">
            <v>426188</v>
          </cell>
          <cell r="N550">
            <v>8080</v>
          </cell>
          <cell r="O550">
            <v>4187</v>
          </cell>
          <cell r="P550">
            <v>82.585074000000006</v>
          </cell>
          <cell r="Q550">
            <v>0</v>
          </cell>
          <cell r="R550">
            <v>145595.13588329998</v>
          </cell>
          <cell r="S550">
            <v>8.2934302146131778</v>
          </cell>
          <cell r="T550">
            <v>0.260822</v>
          </cell>
          <cell r="U550">
            <v>5.2733564209804977E-3</v>
          </cell>
          <cell r="V550">
            <v>1.7000000000000001E-2</v>
          </cell>
          <cell r="W550">
            <v>9.4890000000000002E-2</v>
          </cell>
          <cell r="X550">
            <v>7.6429999999999998</v>
          </cell>
          <cell r="Y550">
            <v>11.44</v>
          </cell>
          <cell r="AB550">
            <v>0</v>
          </cell>
          <cell r="AC550">
            <v>0.21379199030432083</v>
          </cell>
          <cell r="AD550">
            <v>7.9683531220709786E-2</v>
          </cell>
          <cell r="AE550">
            <v>0.60720006000000004</v>
          </cell>
          <cell r="AF550">
            <v>12.71297788173197</v>
          </cell>
          <cell r="AG550">
            <v>7.3619183257684444</v>
          </cell>
          <cell r="AH550">
            <v>202409</v>
          </cell>
          <cell r="AJ550" t="str">
            <v>IEC:Prod'n deferred due to APG Plant s/d.
A1-A3:Prod'n deferred due to buyer's nomination.
CPO-5:CF-2 Well closed for PBU test.
GPOC:Prod'n deferred due to biorem limitations and downhole complications.
BC-10:Prod'n less as some of produced oil is used to fill hot oil tank.</v>
          </cell>
        </row>
        <row r="551">
          <cell r="C551">
            <v>45559</v>
          </cell>
          <cell r="D551">
            <v>351472</v>
          </cell>
          <cell r="E551">
            <v>23044</v>
          </cell>
          <cell r="F551">
            <v>25666</v>
          </cell>
          <cell r="G551">
            <v>3995</v>
          </cell>
          <cell r="H551">
            <v>1632</v>
          </cell>
          <cell r="I551">
            <v>145900</v>
          </cell>
          <cell r="J551">
            <v>174411</v>
          </cell>
          <cell r="K551">
            <v>50201.83</v>
          </cell>
          <cell r="L551">
            <v>10189</v>
          </cell>
          <cell r="M551">
            <v>447585</v>
          </cell>
          <cell r="N551">
            <v>8016</v>
          </cell>
          <cell r="O551">
            <v>3737</v>
          </cell>
          <cell r="P551">
            <v>67.237961999999996</v>
          </cell>
          <cell r="Q551">
            <v>0</v>
          </cell>
          <cell r="R551">
            <v>145782.2140329</v>
          </cell>
          <cell r="S551">
            <v>8.750746856125069</v>
          </cell>
          <cell r="T551">
            <v>0.27619100000000002</v>
          </cell>
          <cell r="U551">
            <v>5.3773924173219651E-3</v>
          </cell>
          <cell r="V551">
            <v>1.7000000000000001E-2</v>
          </cell>
          <cell r="W551">
            <v>5.1639999999999998E-2</v>
          </cell>
          <cell r="X551">
            <v>7.6429999999999998</v>
          </cell>
          <cell r="Y551">
            <v>11.3</v>
          </cell>
          <cell r="AB551">
            <v>0</v>
          </cell>
          <cell r="AC551">
            <v>0.20671278532735657</v>
          </cell>
          <cell r="AD551">
            <v>7.9938382599880495E-2</v>
          </cell>
          <cell r="AE551">
            <v>0.53660006000000005</v>
          </cell>
          <cell r="AF551">
            <v>12.405966920290982</v>
          </cell>
          <cell r="AG551">
            <v>7.2124161599440439</v>
          </cell>
          <cell r="AH551">
            <v>202409</v>
          </cell>
          <cell r="AJ551" t="str">
            <v>IEC:Prod'n deferred due to APG Plant s/d.
A1-A3:Prod'n deferred due to buyer's nomination.
CPO-5:CF-2 Well closed for PBU test.
GPOC:Prod'n deferred due to biorem limitations and downhole complications.
BC-10:Prod'n less as some of produced oil is used to fill hot oil tank.
B-06.1:prod'n deferred due to LD1P &amp; LD2P  Both wells were closed due to GT-B tripped.</v>
          </cell>
        </row>
        <row r="552">
          <cell r="C552">
            <v>45560</v>
          </cell>
          <cell r="D552">
            <v>361861</v>
          </cell>
          <cell r="E552">
            <v>22296</v>
          </cell>
          <cell r="F552">
            <v>25642</v>
          </cell>
          <cell r="G552">
            <v>3941</v>
          </cell>
          <cell r="H552">
            <v>1593</v>
          </cell>
          <cell r="I552">
            <v>145900</v>
          </cell>
          <cell r="J552">
            <v>173465</v>
          </cell>
          <cell r="K552">
            <v>47221.65</v>
          </cell>
          <cell r="L552">
            <v>11094</v>
          </cell>
          <cell r="M552">
            <v>449939</v>
          </cell>
          <cell r="N552">
            <v>8086</v>
          </cell>
          <cell r="O552">
            <v>4849</v>
          </cell>
          <cell r="P552">
            <v>65.539715999999999</v>
          </cell>
          <cell r="Q552">
            <v>0</v>
          </cell>
          <cell r="R552">
            <v>145510.66197220003</v>
          </cell>
          <cell r="S552">
            <v>10.034631470747309</v>
          </cell>
          <cell r="T552">
            <v>0.26846700000000001</v>
          </cell>
          <cell r="U552">
            <v>5.1843566560101032E-3</v>
          </cell>
          <cell r="V552">
            <v>1.7000000000000001E-2</v>
          </cell>
          <cell r="W552">
            <v>4.8119999999999996E-2</v>
          </cell>
          <cell r="X552">
            <v>7.6429999999999998</v>
          </cell>
          <cell r="Y552">
            <v>11.32</v>
          </cell>
          <cell r="Z552">
            <v>0</v>
          </cell>
          <cell r="AB552">
            <v>0</v>
          </cell>
          <cell r="AC552">
            <v>0.20671278532735657</v>
          </cell>
          <cell r="AD552">
            <v>7.8834026623474066E-2</v>
          </cell>
          <cell r="AE552">
            <v>0.59030006000000002</v>
          </cell>
          <cell r="AF552">
            <v>12.40480593067476</v>
          </cell>
          <cell r="AG552">
            <v>7.265059178883579</v>
          </cell>
          <cell r="AH552">
            <v>202409</v>
          </cell>
          <cell r="AJ552" t="str">
            <v>Sakhalin-1:New Oil Prod'n data received from Operator &amp; less production at Odoptu, completed 8K maintenance of GT engines on gas compression line #2.
IEC:Prod'n deferred due to APG Plant s/d from 23 to 29 Sep'24. 
A1-A3:Prod'n deferred due to buyer's nomination.
CPO-5:CF-2 Well, closed temporarily.
GPOC:Prod'n deferred due to biorem limitations and downhole complications.
BC-10:Prod'n less as some of produced oil is used to fill hot oil tank.</v>
          </cell>
        </row>
        <row r="553">
          <cell r="C553">
            <v>45561</v>
          </cell>
          <cell r="D553">
            <v>342371</v>
          </cell>
          <cell r="E553">
            <v>25201</v>
          </cell>
          <cell r="F553">
            <v>25615</v>
          </cell>
          <cell r="G553">
            <v>3888</v>
          </cell>
          <cell r="H553">
            <v>1589</v>
          </cell>
          <cell r="I553">
            <v>145900</v>
          </cell>
          <cell r="J553">
            <v>174287</v>
          </cell>
          <cell r="K553">
            <v>44193.79</v>
          </cell>
          <cell r="L553">
            <v>7394</v>
          </cell>
          <cell r="M553">
            <v>445761</v>
          </cell>
          <cell r="N553">
            <v>7019</v>
          </cell>
          <cell r="O553">
            <v>3882</v>
          </cell>
          <cell r="P553">
            <v>69.942575999999988</v>
          </cell>
          <cell r="Q553">
            <v>0</v>
          </cell>
          <cell r="R553">
            <v>143690.2142592</v>
          </cell>
          <cell r="S553">
            <v>8.9631230054339994</v>
          </cell>
          <cell r="T553">
            <v>0.271032</v>
          </cell>
          <cell r="U553">
            <v>5.1252877696823127E-3</v>
          </cell>
          <cell r="V553">
            <v>1.7000000000000001E-2</v>
          </cell>
          <cell r="W553">
            <v>3.4619999999999998E-2</v>
          </cell>
          <cell r="X553">
            <v>7.6429999999999998</v>
          </cell>
          <cell r="Y553">
            <v>11.37</v>
          </cell>
          <cell r="AB553">
            <v>0</v>
          </cell>
          <cell r="AC553">
            <v>0.18547517039646377</v>
          </cell>
          <cell r="AD553">
            <v>7.9117194822552639E-2</v>
          </cell>
          <cell r="AE553">
            <v>0.58280006000000006</v>
          </cell>
          <cell r="AF553">
            <v>12.407524345385916</v>
          </cell>
          <cell r="AG553">
            <v>7.2353227952525412</v>
          </cell>
          <cell r="AH553">
            <v>202409</v>
          </cell>
          <cell r="AJ553" t="str">
            <v>SPOC:TJH-17, TJH-20 &amp; TJH-23 wells were shut in due to high w/c issues at CPF, hence prod'n was deferred.
IEC:Prod'n deferred due to APG Plant s/d from 23 to 29 Sep'24.
A1-A3:Prod'n deferred due to buyer's nomination.
CPO-5:CF-2 Well, closed temporarily.
GPOC:Prod'n deferred due to biorem limitations, downhole complications and power trip at EL Toor.
BC-10:Prod'n less as some of produced oil is used to fill hot oil tank.</v>
          </cell>
        </row>
        <row r="554">
          <cell r="C554">
            <v>45562</v>
          </cell>
          <cell r="D554">
            <v>353572</v>
          </cell>
          <cell r="E554">
            <v>27591</v>
          </cell>
          <cell r="F554">
            <v>25778</v>
          </cell>
          <cell r="G554">
            <v>3912</v>
          </cell>
          <cell r="H554">
            <v>1612</v>
          </cell>
          <cell r="I554">
            <v>134300</v>
          </cell>
          <cell r="J554">
            <v>173371</v>
          </cell>
          <cell r="K554">
            <v>47550</v>
          </cell>
          <cell r="L554">
            <v>10499</v>
          </cell>
          <cell r="M554">
            <v>446490</v>
          </cell>
          <cell r="N554">
            <v>7811</v>
          </cell>
          <cell r="O554">
            <v>4482</v>
          </cell>
          <cell r="P554">
            <v>64.407551999999995</v>
          </cell>
          <cell r="Q554">
            <v>0</v>
          </cell>
          <cell r="R554">
            <v>144127.12034839997</v>
          </cell>
          <cell r="S554">
            <v>9.3068891991153802</v>
          </cell>
          <cell r="T554">
            <v>0.28053499999999998</v>
          </cell>
          <cell r="U554">
            <v>4.9385949760298118E-3</v>
          </cell>
          <cell r="V554">
            <v>1.7000000000000001E-2</v>
          </cell>
          <cell r="W554">
            <v>3.3619999999999997E-2</v>
          </cell>
          <cell r="X554">
            <v>7.6429999999999998</v>
          </cell>
          <cell r="Y554">
            <v>11.16</v>
          </cell>
          <cell r="AB554">
            <v>0</v>
          </cell>
          <cell r="AC554">
            <v>0.20812862632274942</v>
          </cell>
          <cell r="AD554">
            <v>7.9400363021631212E-2</v>
          </cell>
          <cell r="AE554">
            <v>0.57450006000000009</v>
          </cell>
          <cell r="AF554">
            <v>12.414065530784629</v>
          </cell>
          <cell r="AG554">
            <v>7.1900810683203282</v>
          </cell>
          <cell r="AH554">
            <v>202409</v>
          </cell>
          <cell r="AJ554" t="str">
            <v>Sakhalin-1:New Prod'n data received from operator &amp; less prod'n at Odoptu, replaced dry gas seals on GIC#1. At Chayvo, the membrane replaced, and the water glycol system was put back online.
IEC:Prod'n deferred due to APG Plant s/d from 23 to 29 Sep'24.
A1-A3:Prod'n deferred due to buyer's nomination.
CPO-5:CF-2 prod'n:164.91 bopd &amp;Well flowing under N2 Injection.
GPOC:Prod'n deferred due to biorem limitations, downhole complications.</v>
          </cell>
        </row>
        <row r="555">
          <cell r="C555">
            <v>45563</v>
          </cell>
          <cell r="D555">
            <v>351959</v>
          </cell>
          <cell r="E555">
            <v>28453</v>
          </cell>
          <cell r="F555">
            <v>25734</v>
          </cell>
          <cell r="G555">
            <v>3959</v>
          </cell>
          <cell r="H555">
            <v>1629</v>
          </cell>
          <cell r="I555">
            <v>134300</v>
          </cell>
          <cell r="J555">
            <v>167556</v>
          </cell>
          <cell r="K555">
            <v>48932.88</v>
          </cell>
          <cell r="L555">
            <v>8033</v>
          </cell>
          <cell r="M555">
            <v>457921</v>
          </cell>
          <cell r="N555">
            <v>7993</v>
          </cell>
          <cell r="O555">
            <v>3871</v>
          </cell>
          <cell r="P555">
            <v>120.44966999999998</v>
          </cell>
          <cell r="Q555">
            <v>0</v>
          </cell>
          <cell r="R555">
            <v>142829.27650149999</v>
          </cell>
          <cell r="S555">
            <v>8.2138599506721004</v>
          </cell>
          <cell r="T555">
            <v>0.285858</v>
          </cell>
          <cell r="U555">
            <v>4.8735512407014642E-3</v>
          </cell>
          <cell r="V555">
            <v>1.7000000000000001E-2</v>
          </cell>
          <cell r="W555">
            <v>3.551E-2</v>
          </cell>
          <cell r="X555">
            <v>7.6429999999999998</v>
          </cell>
          <cell r="Y555">
            <v>11.24</v>
          </cell>
          <cell r="AB555">
            <v>0</v>
          </cell>
          <cell r="AC555">
            <v>0.21775634509142086</v>
          </cell>
          <cell r="AD555">
            <v>7.7361551988265512E-2</v>
          </cell>
          <cell r="AE555">
            <v>0.57360006000000008</v>
          </cell>
          <cell r="AF555">
            <v>12.403984742897434</v>
          </cell>
          <cell r="AG555">
            <v>7.1870385627769426</v>
          </cell>
          <cell r="AH555">
            <v>202409</v>
          </cell>
          <cell r="AJ555" t="str">
            <v>SPOC:high w/c issues at CPF, hence prod'n was deferred.
IEC:Prod'n deferred due to APG Plant s/d from 23 to 29 Sep'24.
A1-A3:Prod'n deferred due to buyer's nomination.
CPO-5:CF-2 prod'n:160.38 bopd &amp;Well flowing under N2 Injection.
GPOC:Prod'n deferred due to biorem limitations, downhole complications.</v>
          </cell>
        </row>
        <row r="556">
          <cell r="C556">
            <v>45564</v>
          </cell>
          <cell r="D556">
            <v>343533</v>
          </cell>
          <cell r="E556">
            <v>28686</v>
          </cell>
          <cell r="F556">
            <v>25984</v>
          </cell>
          <cell r="G556">
            <v>3958</v>
          </cell>
          <cell r="H556">
            <v>1678</v>
          </cell>
          <cell r="I556">
            <v>134300</v>
          </cell>
          <cell r="J556">
            <v>168696</v>
          </cell>
          <cell r="K556">
            <v>48590</v>
          </cell>
          <cell r="L556">
            <v>6902</v>
          </cell>
          <cell r="M556">
            <v>458605</v>
          </cell>
          <cell r="N556">
            <v>7568</v>
          </cell>
          <cell r="O556">
            <v>4182</v>
          </cell>
          <cell r="P556">
            <v>49.249133999999998</v>
          </cell>
          <cell r="Q556">
            <v>0</v>
          </cell>
          <cell r="R556">
            <v>142931.84191029999</v>
          </cell>
          <cell r="S556">
            <v>8.0094125109373753</v>
          </cell>
          <cell r="T556">
            <v>0.29012399999999999</v>
          </cell>
          <cell r="U556">
            <v>4.8885874720725362E-3</v>
          </cell>
          <cell r="V556">
            <v>1.7000000000000001E-2</v>
          </cell>
          <cell r="W556">
            <v>3.5189999999999999E-2</v>
          </cell>
          <cell r="X556">
            <v>7.6429999999999998</v>
          </cell>
          <cell r="Y556">
            <v>11.18</v>
          </cell>
          <cell r="AB556">
            <v>0</v>
          </cell>
          <cell r="AC556">
            <v>0.22228703627667795</v>
          </cell>
          <cell r="AD556">
            <v>7.7361551988265512E-2</v>
          </cell>
          <cell r="AE556">
            <v>0.56060006000000007</v>
          </cell>
          <cell r="AF556">
            <v>12.404522762475683</v>
          </cell>
          <cell r="AG556">
            <v>7.1622980116397121</v>
          </cell>
          <cell r="AH556">
            <v>202409</v>
          </cell>
          <cell r="AJ556" t="str">
            <v>SPOC:high w/c issues at CPF, hence prod'n was deferred.
IEC:Prod'n deferred due to APG Plant s/d from 23 to 29 Sep'24.
A1-A3:Prod'n deferred due to buyer's nomination.
CPO-5:CF-2 prod'n:431.90 bopd &amp;Well flowing under N2 Injection.
GPOC:Prod'n deferred due to biorem limitations, downhole complications.
Vankor:Routine repair of the overhead line and power equipment.</v>
          </cell>
        </row>
        <row r="557">
          <cell r="C557">
            <v>45565</v>
          </cell>
          <cell r="D557">
            <v>351620</v>
          </cell>
          <cell r="E557">
            <v>28818</v>
          </cell>
          <cell r="F557">
            <v>25500</v>
          </cell>
          <cell r="G557">
            <v>3978</v>
          </cell>
          <cell r="H557">
            <v>1626</v>
          </cell>
          <cell r="I557">
            <v>134300</v>
          </cell>
          <cell r="J557">
            <v>168779</v>
          </cell>
          <cell r="K557">
            <v>46839.32</v>
          </cell>
          <cell r="L557">
            <v>4061</v>
          </cell>
          <cell r="M557">
            <v>461847</v>
          </cell>
          <cell r="N557">
            <v>7478</v>
          </cell>
          <cell r="O557">
            <v>4531</v>
          </cell>
          <cell r="P557">
            <v>67.363758000000004</v>
          </cell>
          <cell r="Q557">
            <v>0</v>
          </cell>
          <cell r="R557">
            <v>141939.54194109997</v>
          </cell>
          <cell r="S557">
            <v>8.0640639733595378</v>
          </cell>
          <cell r="T557">
            <v>0.29105199999999998</v>
          </cell>
          <cell r="U557">
            <v>5.1980053632056907E-3</v>
          </cell>
          <cell r="V557">
            <v>1.7000000000000001E-2</v>
          </cell>
          <cell r="W557">
            <v>3.2000000000000001E-2</v>
          </cell>
          <cell r="X557">
            <v>7.6429999999999998</v>
          </cell>
          <cell r="Y557">
            <v>11.26</v>
          </cell>
          <cell r="AB557">
            <v>0</v>
          </cell>
          <cell r="AC557">
            <v>0.20303159873933516</v>
          </cell>
          <cell r="AD557">
            <v>7.6257196011859082E-2</v>
          </cell>
          <cell r="AE557">
            <v>0.55260006000000006</v>
          </cell>
          <cell r="AF557">
            <v>12.393026133593093</v>
          </cell>
          <cell r="AG557">
            <v>7.1735233455157452</v>
          </cell>
          <cell r="AH557">
            <v>202409</v>
          </cell>
          <cell r="AJ557" t="str">
            <v>SPOC:high w/c issues at CPF, hence prod'n was deferred.
A1-A3:Prod'n deferred due to buyer's nomination.
CPO-5:CF-2 Well closed temporarily.
IEC:Prod'n deferred due to APG Plant s/d.
GPOC:Prod'n deferred due to biorem limitations, downhole complications.
Vankor:Routine repair of the overhead line and power equipment.
PCB:Electrical flickering at PCB, affecting process equipment and 22 wells.</v>
          </cell>
        </row>
        <row r="558">
          <cell r="C558">
            <v>45566</v>
          </cell>
          <cell r="D558">
            <v>342045</v>
          </cell>
          <cell r="E558">
            <v>28761</v>
          </cell>
          <cell r="F558">
            <v>25545</v>
          </cell>
          <cell r="G558">
            <v>3953</v>
          </cell>
          <cell r="H558">
            <v>2074</v>
          </cell>
          <cell r="I558">
            <v>134300</v>
          </cell>
          <cell r="J558">
            <v>170072</v>
          </cell>
          <cell r="K558">
            <v>47974.35</v>
          </cell>
          <cell r="L558">
            <v>3938</v>
          </cell>
          <cell r="M558">
            <v>392457</v>
          </cell>
          <cell r="N558">
            <v>7744</v>
          </cell>
          <cell r="O558">
            <v>5769</v>
          </cell>
          <cell r="P558">
            <v>68.999105999999998</v>
          </cell>
          <cell r="Q558">
            <v>0</v>
          </cell>
          <cell r="R558">
            <v>140509.82909770001</v>
          </cell>
          <cell r="S558">
            <v>7.6234542555932805</v>
          </cell>
          <cell r="T558">
            <v>0.293236</v>
          </cell>
          <cell r="U558">
            <v>5.3692654900084095E-3</v>
          </cell>
          <cell r="V558">
            <v>1.7000000000000001E-2</v>
          </cell>
          <cell r="W558">
            <v>0.22487000000000001</v>
          </cell>
          <cell r="X558">
            <v>10.611000000000001</v>
          </cell>
          <cell r="Y558">
            <v>11.17</v>
          </cell>
          <cell r="AB558">
            <v>0</v>
          </cell>
          <cell r="AC558">
            <v>0.20841179452182801</v>
          </cell>
          <cell r="AD558">
            <v>7.7361551988265498E-2</v>
          </cell>
          <cell r="AE558">
            <v>0.54950006000000007</v>
          </cell>
          <cell r="AF558">
            <v>13.463543510209629</v>
          </cell>
          <cell r="AG558">
            <v>8.1087513410755552</v>
          </cell>
          <cell r="AH558">
            <v>202410</v>
          </cell>
          <cell r="AJ558" t="str">
            <v>LZC::Quota for the month is 425k bopd &amp; Prod'n deferred due to barge movement.
SPOC:high w/c issues at CPF, hence prod'n was deferred.
IEC:Prod'n ramp-up.
A1-A3:Prod'n deferred due to buyer's nomination.
CPO-5:CF-2 Well closed temporarily.
GPOC:Prod'n deferred due to biorem limitations, downhole complications.</v>
          </cell>
        </row>
        <row r="559">
          <cell r="C559">
            <v>45567</v>
          </cell>
          <cell r="D559">
            <v>363019</v>
          </cell>
          <cell r="E559">
            <v>28774</v>
          </cell>
          <cell r="F559">
            <v>25494</v>
          </cell>
          <cell r="G559">
            <v>3977</v>
          </cell>
          <cell r="H559">
            <v>2308</v>
          </cell>
          <cell r="I559">
            <v>134300</v>
          </cell>
          <cell r="J559">
            <v>170342</v>
          </cell>
          <cell r="K559">
            <v>48578.71</v>
          </cell>
          <cell r="L559">
            <v>12161</v>
          </cell>
          <cell r="M559">
            <v>403458</v>
          </cell>
          <cell r="N559">
            <v>7826</v>
          </cell>
          <cell r="O559">
            <v>3550</v>
          </cell>
          <cell r="P559">
            <v>111.45525599999999</v>
          </cell>
          <cell r="Q559">
            <v>0</v>
          </cell>
          <cell r="R559">
            <v>142993.79251519998</v>
          </cell>
          <cell r="S559">
            <v>7.8938798857133143</v>
          </cell>
          <cell r="T559">
            <v>0.28870499999999999</v>
          </cell>
          <cell r="U559">
            <v>5.0271983055214962E-3</v>
          </cell>
          <cell r="V559">
            <v>1.7000000000000001E-2</v>
          </cell>
          <cell r="W559">
            <v>0.26538999999999996</v>
          </cell>
          <cell r="X559">
            <v>10.611000000000001</v>
          </cell>
          <cell r="Y559">
            <v>11.07</v>
          </cell>
          <cell r="AB559">
            <v>0</v>
          </cell>
          <cell r="AC559">
            <v>0.21180981291077086</v>
          </cell>
          <cell r="AD559">
            <v>7.7333235168357647E-2</v>
          </cell>
          <cell r="AE559">
            <v>0.54500006000000001</v>
          </cell>
          <cell r="AF559">
            <v>13.463345292470274</v>
          </cell>
          <cell r="AG559">
            <v>8.1263591143813176</v>
          </cell>
          <cell r="AH559">
            <v>202410</v>
          </cell>
          <cell r="AJ559" t="str">
            <v>LZC:prod'n deferred due to barge movement.
A1-A3:Prod'n deferred due to buyer's nomination.
CPO-5:CF-2 Well closed temporarily.
GPOC:Prod'n deferred due to biorem limitations, downhole complications &amp; power tripped at Toma South.</v>
          </cell>
        </row>
        <row r="560">
          <cell r="C560">
            <v>45568</v>
          </cell>
          <cell r="D560">
            <v>348484</v>
          </cell>
          <cell r="E560">
            <v>28283</v>
          </cell>
          <cell r="F560">
            <v>25472</v>
          </cell>
          <cell r="G560">
            <v>3942</v>
          </cell>
          <cell r="H560">
            <v>2342</v>
          </cell>
          <cell r="I560">
            <v>134300</v>
          </cell>
          <cell r="J560">
            <v>172340</v>
          </cell>
          <cell r="K560">
            <v>45549.24</v>
          </cell>
          <cell r="L560">
            <v>1437</v>
          </cell>
          <cell r="M560">
            <v>417224</v>
          </cell>
          <cell r="N560">
            <v>7846</v>
          </cell>
          <cell r="O560">
            <v>4136</v>
          </cell>
          <cell r="P560">
            <v>72.521393999999987</v>
          </cell>
          <cell r="Q560">
            <v>0</v>
          </cell>
          <cell r="R560">
            <v>140471.23127729999</v>
          </cell>
          <cell r="S560">
            <v>8.1212639495734091</v>
          </cell>
          <cell r="T560">
            <v>0.29008099999999998</v>
          </cell>
          <cell r="U560">
            <v>5.2174023848425722E-3</v>
          </cell>
          <cell r="V560">
            <v>1.7000000000000001E-2</v>
          </cell>
          <cell r="W560">
            <v>0.29152999999999996</v>
          </cell>
          <cell r="X560">
            <v>10.611000000000001</v>
          </cell>
          <cell r="Y560">
            <v>11.1</v>
          </cell>
          <cell r="AB560">
            <v>0</v>
          </cell>
          <cell r="AC560">
            <v>0.21096030831353516</v>
          </cell>
          <cell r="AD560">
            <v>0.11363539829023041</v>
          </cell>
          <cell r="AE560">
            <v>0.54030006000000008</v>
          </cell>
          <cell r="AF560">
            <v>13.476257762348258</v>
          </cell>
          <cell r="AG560">
            <v>8.1805638887343211</v>
          </cell>
          <cell r="AH560">
            <v>202410</v>
          </cell>
          <cell r="AJ560" t="str">
            <v>A1-A3:Prod'n deferred due to buyer's nomination.
SPOC:All Mala, 6 TJ wells shut-in due to high w/c issues at CPF &amp; TJH-13,14 tripped due to power fluctuation and overload alarm, hence prod'n was deferred.
CPO-5:CF-2 Well closed temporarily.
GPOC:Prod'n deferred due to biorem limitations, downhole complications &amp; power tripped at Toma South.</v>
          </cell>
        </row>
        <row r="561">
          <cell r="C561">
            <v>45569</v>
          </cell>
          <cell r="D561">
            <v>345897</v>
          </cell>
          <cell r="E561">
            <v>28296</v>
          </cell>
          <cell r="F561">
            <v>25469</v>
          </cell>
          <cell r="G561">
            <v>3958</v>
          </cell>
          <cell r="H561">
            <v>2352</v>
          </cell>
          <cell r="I561">
            <v>151400</v>
          </cell>
          <cell r="J561">
            <v>173804</v>
          </cell>
          <cell r="K561">
            <v>48156.32</v>
          </cell>
          <cell r="L561">
            <v>7621</v>
          </cell>
          <cell r="M561">
            <v>424204</v>
          </cell>
          <cell r="N561">
            <v>7823</v>
          </cell>
          <cell r="O561">
            <v>4062.9999999999995</v>
          </cell>
          <cell r="P561">
            <v>52.079543999999991</v>
          </cell>
          <cell r="Q561">
            <v>0</v>
          </cell>
          <cell r="R561">
            <v>146613.45274480002</v>
          </cell>
          <cell r="S561">
            <v>7.9309749197926047</v>
          </cell>
          <cell r="T561">
            <v>0.32671600000000001</v>
          </cell>
          <cell r="U561">
            <v>5.1524435999739477E-3</v>
          </cell>
          <cell r="V561">
            <v>1.7000000000000001E-2</v>
          </cell>
          <cell r="W561">
            <v>0.29883999999999999</v>
          </cell>
          <cell r="X561">
            <v>10.611000000000001</v>
          </cell>
          <cell r="Y561">
            <v>11.15</v>
          </cell>
          <cell r="AB561">
            <v>0</v>
          </cell>
          <cell r="AC561">
            <v>0.21209298110984942</v>
          </cell>
          <cell r="AD561">
            <v>0.11490965518608397</v>
          </cell>
          <cell r="AE561">
            <v>0.5311000600000001</v>
          </cell>
          <cell r="AF561">
            <v>12.461836005969186</v>
          </cell>
          <cell r="AG561">
            <v>8.0303667891784691</v>
          </cell>
          <cell r="AH561">
            <v>202410</v>
          </cell>
          <cell r="AJ561" t="str">
            <v>A1-A3:Prod'n deferred due to buyer's nomination.
SPOC:Prod'n deferred due to transformer issue at TJH-19 well.
CPO-5:CF-2 Well closed temporarily.
GPOC:Prod'n deferred due to biorem limitations, downhole complications.</v>
          </cell>
        </row>
        <row r="562">
          <cell r="C562">
            <v>45570</v>
          </cell>
          <cell r="D562">
            <v>351291</v>
          </cell>
          <cell r="E562">
            <v>28151</v>
          </cell>
          <cell r="F562">
            <v>25423</v>
          </cell>
          <cell r="G562">
            <v>4023</v>
          </cell>
          <cell r="H562">
            <v>2354</v>
          </cell>
          <cell r="I562">
            <v>151400</v>
          </cell>
          <cell r="J562">
            <v>174860</v>
          </cell>
          <cell r="K562">
            <v>48370.04</v>
          </cell>
          <cell r="L562">
            <v>13001</v>
          </cell>
          <cell r="M562">
            <v>408645</v>
          </cell>
          <cell r="N562">
            <v>5026</v>
          </cell>
          <cell r="O562">
            <v>4441</v>
          </cell>
          <cell r="P562">
            <v>49.626521999999994</v>
          </cell>
          <cell r="Q562">
            <v>0</v>
          </cell>
          <cell r="R562">
            <v>147547.18528489996</v>
          </cell>
          <cell r="S562">
            <v>8.1022916802351421</v>
          </cell>
          <cell r="T562">
            <v>0.29025800000000002</v>
          </cell>
          <cell r="U562">
            <v>5.1122053988848833E-3</v>
          </cell>
          <cell r="V562">
            <v>1.7000000000000001E-2</v>
          </cell>
          <cell r="W562">
            <v>0.29335</v>
          </cell>
          <cell r="X562">
            <v>10.611000000000001</v>
          </cell>
          <cell r="Y562">
            <v>11.28</v>
          </cell>
          <cell r="AB562">
            <v>0</v>
          </cell>
          <cell r="AC562">
            <v>0.13960192214573533</v>
          </cell>
          <cell r="AD562">
            <v>0.11363539829023041</v>
          </cell>
          <cell r="AE562">
            <v>0.52450006000000005</v>
          </cell>
          <cell r="AF562">
            <v>12.459712244476096</v>
          </cell>
          <cell r="AG562">
            <v>8.04094762090571</v>
          </cell>
          <cell r="AH562">
            <v>202410</v>
          </cell>
          <cell r="AJ562" t="str">
            <v>A1-A3:Prod'n deferred due to buyer's nomination.
CPO-5:CF-2 Well closed temporarily.
GPOC:Prod'n deferred due to biorem limitations, downhole complications.
PCB:Electrical failure at PCB, affecting CPF and 51 wells.</v>
          </cell>
        </row>
        <row r="563">
          <cell r="C563">
            <v>45571</v>
          </cell>
          <cell r="D563">
            <v>350620</v>
          </cell>
          <cell r="E563">
            <v>28119</v>
          </cell>
          <cell r="F563">
            <v>25423</v>
          </cell>
          <cell r="G563">
            <v>4015</v>
          </cell>
          <cell r="H563">
            <v>2394</v>
          </cell>
          <cell r="I563">
            <v>151400</v>
          </cell>
          <cell r="J563">
            <v>175188</v>
          </cell>
          <cell r="K563">
            <v>47796.22</v>
          </cell>
          <cell r="L563">
            <v>10777</v>
          </cell>
          <cell r="M563">
            <v>435081</v>
          </cell>
          <cell r="N563">
            <v>7498</v>
          </cell>
          <cell r="O563">
            <v>4202</v>
          </cell>
          <cell r="P563">
            <v>100.511004</v>
          </cell>
          <cell r="Q563">
            <v>0</v>
          </cell>
          <cell r="R563">
            <v>148220.98820179998</v>
          </cell>
          <cell r="S563">
            <v>7.8825531577501753</v>
          </cell>
          <cell r="T563">
            <v>0.28698099999999999</v>
          </cell>
          <cell r="U563">
            <v>5.0188731604685864E-3</v>
          </cell>
          <cell r="V563">
            <v>1.7000000000000001E-2</v>
          </cell>
          <cell r="W563">
            <v>0.28549999999999998</v>
          </cell>
          <cell r="X563">
            <v>10.611000000000001</v>
          </cell>
          <cell r="Y563">
            <v>11.25</v>
          </cell>
          <cell r="AB563">
            <v>0</v>
          </cell>
          <cell r="AC563">
            <v>0.20982763551722086</v>
          </cell>
          <cell r="AD563">
            <v>0.11091698357907612</v>
          </cell>
          <cell r="AE563">
            <v>0.51490005999999999</v>
          </cell>
          <cell r="AF563">
            <v>12.46019363041453</v>
          </cell>
          <cell r="AG563">
            <v>8.0216708366653524</v>
          </cell>
          <cell r="AH563">
            <v>202410</v>
          </cell>
          <cell r="AJ563" t="str">
            <v>A1-A3:Prod'n deferred due to buyer's nomination.
CPO-5:CF-2 Well closed temporarily.
GPOC:Prod'n deferred due to biorem limitations, downhole complications &amp; power tripped at Unity.
PCB:Prod'n stabilised after electrical failure.</v>
          </cell>
        </row>
        <row r="564">
          <cell r="C564">
            <v>45572</v>
          </cell>
          <cell r="D564">
            <v>348455</v>
          </cell>
          <cell r="E564">
            <v>16346</v>
          </cell>
          <cell r="F564">
            <v>9080</v>
          </cell>
          <cell r="G564">
            <v>3967</v>
          </cell>
          <cell r="H564">
            <v>2355</v>
          </cell>
          <cell r="I564">
            <v>151400</v>
          </cell>
          <cell r="J564">
            <v>172754</v>
          </cell>
          <cell r="K564">
            <v>47779.17</v>
          </cell>
          <cell r="L564">
            <v>12393</v>
          </cell>
          <cell r="M564">
            <v>436897</v>
          </cell>
          <cell r="N564">
            <v>7511</v>
          </cell>
          <cell r="O564">
            <v>4654</v>
          </cell>
          <cell r="P564">
            <v>71.766617999999994</v>
          </cell>
          <cell r="Q564">
            <v>0</v>
          </cell>
          <cell r="R564">
            <v>133483.85922809999</v>
          </cell>
          <cell r="S564">
            <v>7.7732502329058395</v>
          </cell>
          <cell r="T564">
            <v>0.15682499999999999</v>
          </cell>
          <cell r="U564">
            <v>2.57065754487508E-3</v>
          </cell>
          <cell r="V564">
            <v>1.7000000000000001E-2</v>
          </cell>
          <cell r="W564">
            <v>0.28049000000000002</v>
          </cell>
          <cell r="X564">
            <v>10.611000000000001</v>
          </cell>
          <cell r="Y564">
            <v>11.31</v>
          </cell>
          <cell r="AB564">
            <v>0</v>
          </cell>
          <cell r="AC564">
            <v>0.2508870243836136</v>
          </cell>
          <cell r="AD564">
            <v>0.12360291889779611</v>
          </cell>
          <cell r="AE564">
            <v>0.51540006000000005</v>
          </cell>
          <cell r="AF564">
            <v>12.461864322789092</v>
          </cell>
          <cell r="AG564">
            <v>8.002979992777</v>
          </cell>
          <cell r="AH564">
            <v>202410</v>
          </cell>
          <cell r="AJ564" t="str">
            <v>A1-A3:Prod'n deferred due to buyer's nomination.
GPOC:Prod'n deferred due to biorem limitations, downhole complications.
CPO-5:Prod'n deferred due to a community strike at indico pad &amp; CF-2 Well closed temporarily.
BC-10:ALM-1 Train-C, ALM-2 Train-B and ALM-3 Train-A are Offline,hence prod'n was deferred.</v>
          </cell>
        </row>
        <row r="565">
          <cell r="C565">
            <v>45573</v>
          </cell>
          <cell r="D565">
            <v>349348</v>
          </cell>
          <cell r="E565">
            <v>5572</v>
          </cell>
          <cell r="F565">
            <v>2338</v>
          </cell>
          <cell r="G565">
            <v>3948</v>
          </cell>
          <cell r="H565">
            <v>2306</v>
          </cell>
          <cell r="I565">
            <v>151400</v>
          </cell>
          <cell r="J565">
            <v>175400</v>
          </cell>
          <cell r="K565">
            <v>49127.95</v>
          </cell>
          <cell r="L565">
            <v>10791</v>
          </cell>
          <cell r="M565">
            <v>430036</v>
          </cell>
          <cell r="N565">
            <v>7487</v>
          </cell>
          <cell r="O565">
            <v>3717</v>
          </cell>
          <cell r="P565">
            <v>56.671097999999994</v>
          </cell>
          <cell r="Q565">
            <v>0</v>
          </cell>
          <cell r="R565">
            <v>125797.60704410002</v>
          </cell>
          <cell r="S565">
            <v>6.6459576323740546</v>
          </cell>
          <cell r="T565">
            <v>5.6044999999999998E-2</v>
          </cell>
          <cell r="U565">
            <v>1.602335571306E-3</v>
          </cell>
          <cell r="V565">
            <v>1.7000000000000001E-2</v>
          </cell>
          <cell r="W565">
            <v>0.28531000000000001</v>
          </cell>
          <cell r="X565">
            <v>10.611000000000001</v>
          </cell>
          <cell r="Y565">
            <v>11.16</v>
          </cell>
          <cell r="AB565">
            <v>0</v>
          </cell>
          <cell r="AC565">
            <v>0.24494049220296363</v>
          </cell>
          <cell r="AD565">
            <v>0.10947282576377543</v>
          </cell>
          <cell r="AE565">
            <v>0.50880006</v>
          </cell>
          <cell r="AF565">
            <v>12.463053629225223</v>
          </cell>
          <cell r="AG565">
            <v>7.9057971346238789</v>
          </cell>
          <cell r="AH565">
            <v>202410</v>
          </cell>
          <cell r="AJ565" t="str">
            <v>A1-A3:Prod'n deferred due to buyer's nomination.
GPOC:Prod'n deferred due to biorem limitations, downhole complications.
CPO-5:Prod'n deferred due to a community strike at indico pad &amp; CF-2 Well closed temporarily.
BC-10:ALM-1 Train-C, ALM-2 Train-B and ALM-3 Train-A are Offline,hence prod'n was deferred.
PCB:Prod'n stabilised after electrical failure.</v>
          </cell>
        </row>
        <row r="566">
          <cell r="C566">
            <v>45574</v>
          </cell>
          <cell r="D566">
            <v>345415</v>
          </cell>
          <cell r="E566">
            <v>12572</v>
          </cell>
          <cell r="F566">
            <v>8461</v>
          </cell>
          <cell r="G566">
            <v>3958</v>
          </cell>
          <cell r="H566">
            <v>2348</v>
          </cell>
          <cell r="I566">
            <v>151400</v>
          </cell>
          <cell r="J566">
            <v>176532</v>
          </cell>
          <cell r="K566">
            <v>48455</v>
          </cell>
          <cell r="L566">
            <v>9714</v>
          </cell>
          <cell r="M566">
            <v>447308</v>
          </cell>
          <cell r="N566">
            <v>7499</v>
          </cell>
          <cell r="O566">
            <v>5491</v>
          </cell>
          <cell r="P566">
            <v>112.14713399999998</v>
          </cell>
          <cell r="Q566">
            <v>0</v>
          </cell>
          <cell r="R566">
            <v>133222.8752103</v>
          </cell>
          <cell r="S566">
            <v>7.0152089639725101</v>
          </cell>
          <cell r="T566">
            <v>0.117115</v>
          </cell>
          <cell r="U566">
            <v>5.787391652767827E-4</v>
          </cell>
          <cell r="V566">
            <v>1.7000000000000001E-2</v>
          </cell>
          <cell r="W566">
            <v>0.28814999999999996</v>
          </cell>
          <cell r="X566">
            <v>10.611000000000001</v>
          </cell>
          <cell r="Y566">
            <v>11.33</v>
          </cell>
          <cell r="AA566">
            <v>0</v>
          </cell>
          <cell r="AB566">
            <v>0</v>
          </cell>
          <cell r="AC566">
            <v>0.21577416769787086</v>
          </cell>
          <cell r="AD566">
            <v>0.1139752001291247</v>
          </cell>
          <cell r="AE566">
            <v>0.50350006000000003</v>
          </cell>
          <cell r="AF566">
            <v>12.468094023168822</v>
          </cell>
          <cell r="AG566">
            <v>7.974203743920576</v>
          </cell>
          <cell r="AH566">
            <v>202410</v>
          </cell>
          <cell r="AJ566" t="str">
            <v>A1-A3:Prod'n deferred due to buyer's nomination.
GPOC:Prod'n deferred due to biorem limitations, downhole complications.
CPO-5:Strike was lifted. Wells gradually opened at Indico pad &amp; CF-2 Well closed temporarily.
BC-10:ALM-1 Train-C is Offline,hence prod'n was deferred.
PCB:Prod'n stabilised after electrical failure.</v>
          </cell>
        </row>
        <row r="567">
          <cell r="C567">
            <v>45575</v>
          </cell>
          <cell r="D567">
            <v>345531</v>
          </cell>
          <cell r="E567">
            <v>19377</v>
          </cell>
          <cell r="F567">
            <v>25130</v>
          </cell>
          <cell r="G567">
            <v>3962</v>
          </cell>
          <cell r="H567">
            <v>2324</v>
          </cell>
          <cell r="I567">
            <v>151400</v>
          </cell>
          <cell r="J567">
            <v>173552</v>
          </cell>
          <cell r="K567">
            <v>49020.06</v>
          </cell>
          <cell r="L567">
            <v>12044</v>
          </cell>
          <cell r="M567">
            <v>433027</v>
          </cell>
          <cell r="N567">
            <v>7514</v>
          </cell>
          <cell r="O567">
            <v>4109</v>
          </cell>
          <cell r="P567">
            <v>81.327113999999995</v>
          </cell>
          <cell r="Q567">
            <v>0</v>
          </cell>
          <cell r="R567">
            <v>145501.52330130004</v>
          </cell>
          <cell r="S567">
            <v>7.3201811143801265</v>
          </cell>
          <cell r="T567">
            <v>0.21445</v>
          </cell>
          <cell r="U567">
            <v>2.9461385768532649E-3</v>
          </cell>
          <cell r="V567">
            <v>1.7000000000000001E-2</v>
          </cell>
          <cell r="W567">
            <v>0.28200999999999998</v>
          </cell>
          <cell r="X567">
            <v>10.611000000000001</v>
          </cell>
          <cell r="Y567">
            <v>11.31</v>
          </cell>
          <cell r="AB567">
            <v>0</v>
          </cell>
          <cell r="AC567">
            <v>0.21379199030432083</v>
          </cell>
          <cell r="AD567">
            <v>0.11946866319124898</v>
          </cell>
          <cell r="AE567">
            <v>0.49810006000000001</v>
          </cell>
          <cell r="AF567">
            <v>12.470925705159607</v>
          </cell>
          <cell r="AG567">
            <v>7.9978769618330867</v>
          </cell>
          <cell r="AH567">
            <v>202410</v>
          </cell>
          <cell r="AJ567" t="str">
            <v>A1-A3:Prod'n deferred due to buyer's nomination.
CPO-5:CF-2 Well closed temporarily &amp; Mariposa-1 well closed due to PBU test.
GPOC:Prod'n deferred due to biorem limitations, downhole complications.
BC-10:ALM-1 Train-C is Offline,hence prod'n was deferred.</v>
          </cell>
        </row>
        <row r="568">
          <cell r="C568">
            <v>45576</v>
          </cell>
          <cell r="D568">
            <v>346723</v>
          </cell>
          <cell r="E568">
            <v>24761</v>
          </cell>
          <cell r="F568">
            <v>25201</v>
          </cell>
          <cell r="G568">
            <v>3991</v>
          </cell>
          <cell r="H568">
            <v>2132</v>
          </cell>
          <cell r="I568">
            <v>147100</v>
          </cell>
          <cell r="J568">
            <v>175699</v>
          </cell>
          <cell r="K568">
            <v>53561.91</v>
          </cell>
          <cell r="L568">
            <v>9794</v>
          </cell>
          <cell r="M568">
            <v>419479</v>
          </cell>
          <cell r="N568">
            <v>7522</v>
          </cell>
          <cell r="O568">
            <v>4089.0000000000005</v>
          </cell>
          <cell r="P568">
            <v>71.137637999999995</v>
          </cell>
          <cell r="Q568">
            <v>0</v>
          </cell>
          <cell r="R568">
            <v>146592.18323710002</v>
          </cell>
          <cell r="S568">
            <v>6.8288842889788093</v>
          </cell>
          <cell r="T568">
            <v>0.24188899999999999</v>
          </cell>
          <cell r="U568">
            <v>3.447742724701045E-3</v>
          </cell>
          <cell r="V568">
            <v>1.7000000000000001E-2</v>
          </cell>
          <cell r="W568">
            <v>0.19191</v>
          </cell>
          <cell r="X568">
            <v>10.611000000000001</v>
          </cell>
          <cell r="Y568">
            <v>11.24</v>
          </cell>
          <cell r="AB568">
            <v>0</v>
          </cell>
          <cell r="AC568">
            <v>0.21152664471169227</v>
          </cell>
          <cell r="AD568">
            <v>0.12040311824820824</v>
          </cell>
          <cell r="AE568">
            <v>0.49690005999999998</v>
          </cell>
          <cell r="AF568">
            <v>12.466848083092875</v>
          </cell>
          <cell r="AG568">
            <v>7.88487905632606</v>
          </cell>
          <cell r="AH568">
            <v>202410</v>
          </cell>
          <cell r="AJ568" t="str">
            <v>A1-A3:Prod'n deferred due to buyer's nomination.
CPO-5:CF-2 Well closed temporarily &amp; Mariposa-1 well closed due to PBU test.
BC-10:ALM-1 Train-C is Offline,hence prod'n was deferred.
IEC:Reason awaited from the operator regarding prod'n deferment.</v>
          </cell>
        </row>
        <row r="569">
          <cell r="C569">
            <v>45577</v>
          </cell>
          <cell r="D569">
            <v>353142</v>
          </cell>
          <cell r="E569">
            <v>21063</v>
          </cell>
          <cell r="F569">
            <v>25115</v>
          </cell>
          <cell r="G569">
            <v>4027</v>
          </cell>
          <cell r="H569">
            <v>2381</v>
          </cell>
          <cell r="I569">
            <v>147100</v>
          </cell>
          <cell r="J569">
            <v>175650</v>
          </cell>
          <cell r="K569">
            <v>49594.81</v>
          </cell>
          <cell r="L569">
            <v>11498</v>
          </cell>
          <cell r="M569">
            <v>423516</v>
          </cell>
          <cell r="N569">
            <v>7529</v>
          </cell>
          <cell r="O569">
            <v>3352</v>
          </cell>
          <cell r="P569">
            <v>80.761032</v>
          </cell>
          <cell r="Q569">
            <v>0</v>
          </cell>
          <cell r="R569">
            <v>145227.1576644</v>
          </cell>
          <cell r="S569">
            <v>6.6482229779666815</v>
          </cell>
          <cell r="T569">
            <v>0.227802</v>
          </cell>
          <cell r="U569">
            <v>3.2742738859455126E-3</v>
          </cell>
          <cell r="V569">
            <v>1.7000000000000001E-2</v>
          </cell>
          <cell r="W569">
            <v>0.28226999999999997</v>
          </cell>
          <cell r="X569">
            <v>10.611000000000001</v>
          </cell>
          <cell r="Y569">
            <v>11.33</v>
          </cell>
          <cell r="AB569">
            <v>0</v>
          </cell>
          <cell r="AC569">
            <v>0.21294248570708513</v>
          </cell>
          <cell r="AD569">
            <v>0.11236114139437683</v>
          </cell>
          <cell r="AE569">
            <v>0.49650006000000002</v>
          </cell>
          <cell r="AF569">
            <v>12.465941944855825</v>
          </cell>
          <cell r="AG569">
            <v>7.9871457701222131</v>
          </cell>
          <cell r="AH569">
            <v>202410</v>
          </cell>
          <cell r="AJ569" t="str">
            <v>A1-A3:Prod'n deferred due to buyer's nomination.
CPO-5:CF-2 Well closed temporarily &amp; Mariposa-1 well closed due to PBU test.
BC-10:ALM-1 Train-C is Offline,hence prod'n was deferred.
GPOC:Prod'n deferred due to biorem limitations, downhole complications.</v>
          </cell>
        </row>
        <row r="570">
          <cell r="C570">
            <v>45578</v>
          </cell>
          <cell r="D570">
            <v>352353</v>
          </cell>
          <cell r="E570">
            <v>21314</v>
          </cell>
          <cell r="F570">
            <v>25237</v>
          </cell>
          <cell r="G570">
            <v>4031</v>
          </cell>
          <cell r="H570">
            <v>2337</v>
          </cell>
          <cell r="I570">
            <v>147100</v>
          </cell>
          <cell r="J570">
            <v>176016</v>
          </cell>
          <cell r="K570">
            <v>47797.89</v>
          </cell>
          <cell r="L570">
            <v>10037</v>
          </cell>
          <cell r="M570">
            <v>361520</v>
          </cell>
          <cell r="N570">
            <v>7537</v>
          </cell>
          <cell r="O570">
            <v>4709</v>
          </cell>
          <cell r="P570">
            <v>63.401183999999994</v>
          </cell>
          <cell r="Q570">
            <v>0</v>
          </cell>
          <cell r="R570">
            <v>142669.59358280004</v>
          </cell>
          <cell r="S570">
            <v>7.9018085952875161</v>
          </cell>
          <cell r="T570">
            <v>0.23053199999999999</v>
          </cell>
          <cell r="U570">
            <v>3.63769195264295E-3</v>
          </cell>
          <cell r="V570">
            <v>1.7000000000000001E-2</v>
          </cell>
          <cell r="W570">
            <v>0.27718999999999999</v>
          </cell>
          <cell r="X570">
            <v>10.611000000000001</v>
          </cell>
          <cell r="Y570">
            <v>11.17</v>
          </cell>
          <cell r="AB570">
            <v>0</v>
          </cell>
          <cell r="AC570">
            <v>0.21549099949879227</v>
          </cell>
          <cell r="AD570">
            <v>0.10514035231787329</v>
          </cell>
          <cell r="AE570">
            <v>0.48880005999999998</v>
          </cell>
          <cell r="AF570">
            <v>12.449461555669451</v>
          </cell>
          <cell r="AG570">
            <v>7.9615404452538163</v>
          </cell>
          <cell r="AH570">
            <v>202410</v>
          </cell>
          <cell r="AJ570" t="str">
            <v>A1-A3:Prod'n deferred due to buyer's nomination.
GPOC:Prod'n deferred due to biorem limitations, downhole complications and power trip at El-Toor &amp; Munga.
CPO-5:CF-2 Well closed temporarily.
BC-10:ALM-1 Train-C is Offline,hence prod'n was deferred.
LZC:Reason awaited from the operator regarding prod'n deferment.</v>
          </cell>
        </row>
        <row r="571">
          <cell r="C571">
            <v>45579</v>
          </cell>
          <cell r="D571">
            <v>355981</v>
          </cell>
          <cell r="E571">
            <v>22560</v>
          </cell>
          <cell r="F571">
            <v>25028</v>
          </cell>
          <cell r="G571">
            <v>4035</v>
          </cell>
          <cell r="H571">
            <v>2327</v>
          </cell>
          <cell r="I571">
            <v>147100</v>
          </cell>
          <cell r="J571">
            <v>174369</v>
          </cell>
          <cell r="K571">
            <v>49638.96</v>
          </cell>
          <cell r="L571">
            <v>10886</v>
          </cell>
          <cell r="M571">
            <v>427237</v>
          </cell>
          <cell r="N571">
            <v>7491</v>
          </cell>
          <cell r="O571">
            <v>4185</v>
          </cell>
          <cell r="P571">
            <v>73.590659999999986</v>
          </cell>
          <cell r="Q571">
            <v>0</v>
          </cell>
          <cell r="R571">
            <v>145590.99439700003</v>
          </cell>
          <cell r="S571">
            <v>7.925877892209189</v>
          </cell>
          <cell r="T571">
            <v>0.23070499999999999</v>
          </cell>
          <cell r="U571">
            <v>3.5547519871328369E-3</v>
          </cell>
          <cell r="V571">
            <v>1.7000000000000001E-2</v>
          </cell>
          <cell r="W571">
            <v>0.27656000000000003</v>
          </cell>
          <cell r="X571">
            <v>10.611000000000001</v>
          </cell>
          <cell r="Y571">
            <v>11.23</v>
          </cell>
          <cell r="AB571">
            <v>0</v>
          </cell>
          <cell r="AC571">
            <v>0.21350882210524227</v>
          </cell>
          <cell r="AD571">
            <v>0.11236114139437683</v>
          </cell>
          <cell r="AE571">
            <v>0.49940005999999998</v>
          </cell>
          <cell r="AF571">
            <v>12.477155405539335</v>
          </cell>
          <cell r="AG571">
            <v>7.9892033286320405</v>
          </cell>
          <cell r="AH571">
            <v>202410</v>
          </cell>
          <cell r="AJ571" t="str">
            <v>Sakhalin-1:New Prod'n data received from operator.
A1-A3:Prod'n deferred due to buyer's nomination.
GPOC:Prod'n deferred due to biorem limitations, downhole complications and power trip at Toma South.
CPO-5:CF-2 &amp; Mariposa-1 Wells closed temporarily.
BC-10:ALM-1 Train-C is Offline,hence prod'n was deferred.
PCB:Electrical flickering at Petro carabobo.</v>
          </cell>
        </row>
        <row r="572">
          <cell r="C572">
            <v>45580</v>
          </cell>
          <cell r="D572">
            <v>350730</v>
          </cell>
          <cell r="E572">
            <v>21415</v>
          </cell>
          <cell r="F572">
            <v>25024</v>
          </cell>
          <cell r="G572">
            <v>4005</v>
          </cell>
          <cell r="H572">
            <v>2299</v>
          </cell>
          <cell r="I572">
            <v>147100</v>
          </cell>
          <cell r="J572">
            <v>173598</v>
          </cell>
          <cell r="K572">
            <v>49670.65</v>
          </cell>
          <cell r="L572">
            <v>10722</v>
          </cell>
          <cell r="M572">
            <v>428131</v>
          </cell>
          <cell r="N572">
            <v>7510</v>
          </cell>
          <cell r="O572">
            <v>5497</v>
          </cell>
          <cell r="P572">
            <v>63.589877999999992</v>
          </cell>
          <cell r="Q572">
            <v>0</v>
          </cell>
          <cell r="R572">
            <v>145440.79344509999</v>
          </cell>
          <cell r="S572">
            <v>7.7112363973076397</v>
          </cell>
          <cell r="T572">
            <v>0.229932</v>
          </cell>
          <cell r="U572">
            <v>3.6203337420394337E-3</v>
          </cell>
          <cell r="V572">
            <v>1.7000000000000001E-2</v>
          </cell>
          <cell r="W572">
            <v>0.27199000000000001</v>
          </cell>
          <cell r="X572">
            <v>10.611000000000001</v>
          </cell>
          <cell r="Y572">
            <v>11.16</v>
          </cell>
          <cell r="AB572">
            <v>0</v>
          </cell>
          <cell r="AC572">
            <v>0.21775634509142086</v>
          </cell>
          <cell r="AD572">
            <v>0.11049223128045828</v>
          </cell>
          <cell r="AE572">
            <v>0.49600006000000002</v>
          </cell>
          <cell r="AF572">
            <v>12.47381402079021</v>
          </cell>
          <cell r="AG572">
            <v>7.9589339354038096</v>
          </cell>
          <cell r="AH572">
            <v>202410</v>
          </cell>
          <cell r="AJ572" t="str">
            <v>A1-A3:Prod'n deferred due to buyer's nomination, and DPR will be given on Monday following the Thadingyut holidays, which are held from Oct 16th to 18th.
GPOC:Prod'n deferred due to biorem limitations, downhole complications.
CPO-5:CF-2 Well closed temporarily.
BC-10:ALM-1 Train-C is Offline,hence prod'n is deferred.</v>
          </cell>
        </row>
        <row r="573">
          <cell r="C573">
            <v>45581</v>
          </cell>
          <cell r="D573">
            <v>346200</v>
          </cell>
          <cell r="E573">
            <v>22151</v>
          </cell>
          <cell r="F573">
            <v>24997</v>
          </cell>
          <cell r="G573">
            <v>4056</v>
          </cell>
          <cell r="H573">
            <v>2300</v>
          </cell>
          <cell r="I573">
            <v>147100</v>
          </cell>
          <cell r="J573">
            <v>173467</v>
          </cell>
          <cell r="K573">
            <v>49697.84</v>
          </cell>
          <cell r="L573">
            <v>11618</v>
          </cell>
          <cell r="M573">
            <v>420619</v>
          </cell>
          <cell r="N573">
            <v>7532</v>
          </cell>
          <cell r="O573">
            <v>3583</v>
          </cell>
          <cell r="P573">
            <v>87.365321999999992</v>
          </cell>
          <cell r="Q573">
            <v>0</v>
          </cell>
          <cell r="R573">
            <v>144678.40689489999</v>
          </cell>
          <cell r="S573">
            <v>7.5897572399029318</v>
          </cell>
          <cell r="T573">
            <v>0.233074</v>
          </cell>
          <cell r="U573">
            <v>3.7092485565501055E-3</v>
          </cell>
          <cell r="V573">
            <v>1.7000000000000001E-2</v>
          </cell>
          <cell r="W573">
            <v>0.27611000000000002</v>
          </cell>
          <cell r="X573">
            <v>10.611000000000001</v>
          </cell>
          <cell r="Y573">
            <v>11.25</v>
          </cell>
          <cell r="Z573">
            <v>0</v>
          </cell>
          <cell r="AA573">
            <v>0</v>
          </cell>
          <cell r="AB573">
            <v>0</v>
          </cell>
          <cell r="AC573">
            <v>0.21747317689234227</v>
          </cell>
          <cell r="AD573">
            <v>0.1121912404749297</v>
          </cell>
          <cell r="AE573">
            <v>0.49350006000000002</v>
          </cell>
          <cell r="AF573">
            <v>12.471123922898961</v>
          </cell>
          <cell r="AG573">
            <v>7.983624485772296</v>
          </cell>
          <cell r="AH573">
            <v>202410</v>
          </cell>
          <cell r="AJ573" t="str">
            <v>A1-A3:Prod'n deferred due to buyer's nomination.
GPOC:Prod'n deferred due to biorem limitations, downhole complications.
CPO-5:CF-2 Well closed temporarily.
BC-10:ALM-1 Train-C is Offline,hence prod'n is deferred.</v>
          </cell>
        </row>
        <row r="574">
          <cell r="C574">
            <v>45582</v>
          </cell>
          <cell r="D574">
            <v>352154</v>
          </cell>
          <cell r="E574">
            <v>22151</v>
          </cell>
          <cell r="F574">
            <v>24914</v>
          </cell>
          <cell r="G574">
            <v>4089</v>
          </cell>
          <cell r="H574">
            <v>2318</v>
          </cell>
          <cell r="I574">
            <v>147100</v>
          </cell>
          <cell r="J574">
            <v>174374</v>
          </cell>
          <cell r="K574">
            <v>48152.11</v>
          </cell>
          <cell r="L574">
            <v>11167</v>
          </cell>
          <cell r="M574">
            <v>406344</v>
          </cell>
          <cell r="N574">
            <v>7526</v>
          </cell>
          <cell r="O574">
            <v>4425</v>
          </cell>
          <cell r="P574">
            <v>85.541279999999986</v>
          </cell>
          <cell r="Q574">
            <v>0</v>
          </cell>
          <cell r="R574">
            <v>144297.24722600001</v>
          </cell>
          <cell r="S574">
            <v>8.0193233979051222</v>
          </cell>
          <cell r="T574">
            <v>0.23763200000000001</v>
          </cell>
          <cell r="U574">
            <v>3.820363757868536E-3</v>
          </cell>
          <cell r="V574">
            <v>1.7000000000000001E-2</v>
          </cell>
          <cell r="W574">
            <v>0.27537</v>
          </cell>
          <cell r="X574">
            <v>10.611000000000001</v>
          </cell>
          <cell r="Y574">
            <v>11.27</v>
          </cell>
          <cell r="AC574">
            <v>0.21464149490155657</v>
          </cell>
          <cell r="AD574">
            <v>0.11643876346110826</v>
          </cell>
          <cell r="AE574">
            <v>0.48430005999999998</v>
          </cell>
          <cell r="AF574">
            <v>11.534799955825761</v>
          </cell>
          <cell r="AG574">
            <v>7.8373883544361114</v>
          </cell>
          <cell r="AH574">
            <v>202410</v>
          </cell>
          <cell r="AJ574" t="str">
            <v>LZC:Prod'n deferred due to barge movement.
A1-A3:Prod'n deferred due to buyer's nomination &amp; Mya-North shut in.
GPOC:Prod'n deferred due to biorem limitations, downhole complications and power trip at El-Toor &amp; El-Nar.
CPO-5:CF-2 Well closed temporarily.
BC-10:ALM-1 Train-C is Offline,hence prod'n is deferred.</v>
          </cell>
        </row>
        <row r="575">
          <cell r="C575">
            <v>45583</v>
          </cell>
          <cell r="D575">
            <v>351270</v>
          </cell>
          <cell r="E575">
            <v>22377</v>
          </cell>
          <cell r="F575">
            <v>24847.260000000002</v>
          </cell>
          <cell r="G575">
            <v>4115</v>
          </cell>
          <cell r="H575">
            <v>2302</v>
          </cell>
          <cell r="I575">
            <v>139000</v>
          </cell>
          <cell r="J575">
            <v>170731</v>
          </cell>
          <cell r="K575">
            <v>44530.75</v>
          </cell>
          <cell r="L575">
            <v>11047</v>
          </cell>
          <cell r="M575">
            <v>437001</v>
          </cell>
          <cell r="N575">
            <v>7472</v>
          </cell>
          <cell r="O575">
            <v>4006</v>
          </cell>
          <cell r="P575">
            <v>70.068371999999997</v>
          </cell>
          <cell r="Q575">
            <v>0</v>
          </cell>
          <cell r="R575">
            <v>141832.4360174</v>
          </cell>
          <cell r="S575">
            <v>7.765887859729804</v>
          </cell>
          <cell r="T575">
            <v>0.239699</v>
          </cell>
          <cell r="U575">
            <v>3.820363757868536E-3</v>
          </cell>
          <cell r="V575">
            <v>1.7000000000000001E-2</v>
          </cell>
          <cell r="W575">
            <v>0.29642000000000002</v>
          </cell>
          <cell r="X575">
            <v>10.611000000000001</v>
          </cell>
          <cell r="Y575">
            <v>11.29</v>
          </cell>
          <cell r="AB575">
            <v>0</v>
          </cell>
          <cell r="AC575">
            <v>0.21407515850339942</v>
          </cell>
          <cell r="AD575">
            <v>0.11343718055087541</v>
          </cell>
          <cell r="AE575">
            <v>0.47960005999999999</v>
          </cell>
          <cell r="AF575">
            <v>13.19779015537439</v>
          </cell>
          <cell r="AG575">
            <v>8.1376724872596373</v>
          </cell>
          <cell r="AH575">
            <v>202410</v>
          </cell>
          <cell r="AJ575" t="str">
            <v>A1-A3:Prod'n deferred due to buyer's nomination.
BC-10:ALM-1 Train-C is Offline,hence prod'n is deferred.
GPOC:Prod'n deferred due to biorem limitations, downhole complications and power trip at El-Toor &amp; El-Nar.
PCB:Prod'n deferred due to constant electrical flickering at Petro carabobo.
CPO-5:CF-2 Well closed temporarily.</v>
          </cell>
        </row>
        <row r="576">
          <cell r="C576">
            <v>45584</v>
          </cell>
          <cell r="D576">
            <v>347678</v>
          </cell>
          <cell r="E576">
            <v>22396</v>
          </cell>
          <cell r="F576">
            <v>24855.769999999997</v>
          </cell>
          <cell r="G576">
            <v>4098</v>
          </cell>
          <cell r="H576">
            <v>2310</v>
          </cell>
          <cell r="I576">
            <v>139000</v>
          </cell>
          <cell r="J576">
            <v>176143</v>
          </cell>
          <cell r="K576">
            <v>47618.33</v>
          </cell>
          <cell r="L576">
            <v>11372</v>
          </cell>
          <cell r="M576">
            <v>464124</v>
          </cell>
          <cell r="N576">
            <v>7303</v>
          </cell>
          <cell r="O576">
            <v>5081</v>
          </cell>
          <cell r="P576">
            <v>81.578705999999997</v>
          </cell>
          <cell r="Q576">
            <v>0</v>
          </cell>
          <cell r="R576">
            <v>145518.9787177</v>
          </cell>
          <cell r="S576">
            <v>8.2283015288251047</v>
          </cell>
          <cell r="T576">
            <v>0.24180699999999999</v>
          </cell>
          <cell r="U576">
            <v>3.820363757868536E-3</v>
          </cell>
          <cell r="V576">
            <v>1.7000000000000001E-2</v>
          </cell>
          <cell r="W576">
            <v>0.28994999999999999</v>
          </cell>
          <cell r="X576">
            <v>10.611000000000001</v>
          </cell>
          <cell r="Y576">
            <v>11.28</v>
          </cell>
          <cell r="AB576">
            <v>0</v>
          </cell>
          <cell r="AC576">
            <v>0.21492466310063513</v>
          </cell>
          <cell r="AD576">
            <v>0.11516450656525469</v>
          </cell>
          <cell r="AE576">
            <v>0.47460005999999999</v>
          </cell>
          <cell r="AF576">
            <v>12.476787286880533</v>
          </cell>
          <cell r="AG576">
            <v>8.0158172912832306</v>
          </cell>
          <cell r="AH576">
            <v>202410</v>
          </cell>
          <cell r="AJ576" t="str">
            <v>A1-A3:Prod'n deferred due to buyer's nomination.
BC-10:ALM-1 Train-C is Offline,hence prod'n is deferred.
GPOC:Prod'n deferred due to biorem limitations, downhole complications.
PCB:Electrical flickering at Petro carabobo.
CPO-5:CF-2 Well closed temporarily.</v>
          </cell>
        </row>
        <row r="577">
          <cell r="C577">
            <v>45585</v>
          </cell>
          <cell r="D577">
            <v>347678</v>
          </cell>
          <cell r="E577">
            <v>22843</v>
          </cell>
          <cell r="F577">
            <v>23816</v>
          </cell>
          <cell r="G577">
            <v>4130</v>
          </cell>
          <cell r="H577">
            <v>2347</v>
          </cell>
          <cell r="I577">
            <v>139000</v>
          </cell>
          <cell r="J577">
            <v>176013</v>
          </cell>
          <cell r="K577">
            <v>45691.32</v>
          </cell>
          <cell r="L577">
            <v>11464</v>
          </cell>
          <cell r="M577">
            <v>445358</v>
          </cell>
          <cell r="N577">
            <v>7304</v>
          </cell>
          <cell r="O577">
            <v>4243</v>
          </cell>
          <cell r="P577">
            <v>77.616131999999993</v>
          </cell>
          <cell r="Q577">
            <v>0</v>
          </cell>
          <cell r="R577">
            <v>143383.95905940002</v>
          </cell>
          <cell r="S577">
            <v>8.2283015288251047</v>
          </cell>
          <cell r="T577">
            <v>0.24224200000000001</v>
          </cell>
          <cell r="U577">
            <v>3.4309508504956855E-3</v>
          </cell>
          <cell r="V577">
            <v>1.7000000000000001E-2</v>
          </cell>
          <cell r="W577">
            <v>0.28613</v>
          </cell>
          <cell r="X577">
            <v>10.611000000000001</v>
          </cell>
          <cell r="Y577">
            <v>11.3</v>
          </cell>
          <cell r="AB577">
            <v>0</v>
          </cell>
          <cell r="AC577">
            <v>0.21265931750800657</v>
          </cell>
          <cell r="AD577">
            <v>0.11236114139437683</v>
          </cell>
          <cell r="AE577">
            <v>0.47280006000000002</v>
          </cell>
          <cell r="AF577">
            <v>12.470472636041082</v>
          </cell>
          <cell r="AG577">
            <v>8.0137881275218223</v>
          </cell>
          <cell r="AH577">
            <v>202410</v>
          </cell>
          <cell r="AI577" t="str">
            <v>Prev. day data for ACG.</v>
          </cell>
          <cell r="AJ577" t="str">
            <v>A1-A3:Prod'n deferred due to buyer's nomination.
BC-10:ALM-1 Train-C is Offline,hence prod'n is deferred.
GPOC:Prod'n deferred due to biorem limitations, downhole complications.
CPO-5:Indico-2 Well was closed from 8:00 to 13:00 to replace the Xmastree wing valve &amp; CF-2 Well closed temporarily.
PCB:Electrical flickering at Petro carabobo.</v>
          </cell>
        </row>
        <row r="578">
          <cell r="C578">
            <v>45586</v>
          </cell>
          <cell r="D578">
            <v>369440</v>
          </cell>
          <cell r="E578">
            <v>22855</v>
          </cell>
          <cell r="F578">
            <v>24826</v>
          </cell>
          <cell r="G578">
            <v>4090</v>
          </cell>
          <cell r="H578">
            <v>2314</v>
          </cell>
          <cell r="I578">
            <v>139000</v>
          </cell>
          <cell r="J578">
            <v>175307</v>
          </cell>
          <cell r="K578">
            <v>47605.56</v>
          </cell>
          <cell r="L578">
            <v>9866</v>
          </cell>
          <cell r="M578">
            <v>444792</v>
          </cell>
          <cell r="N578">
            <v>7310</v>
          </cell>
          <cell r="O578">
            <v>3939</v>
          </cell>
          <cell r="P578">
            <v>87.805608000000007</v>
          </cell>
          <cell r="Q578">
            <v>0</v>
          </cell>
          <cell r="R578">
            <v>144314.3890236</v>
          </cell>
          <cell r="S578">
            <v>9.0424101011759976</v>
          </cell>
          <cell r="T578">
            <v>0.257691</v>
          </cell>
          <cell r="U578">
            <v>3.60320206599518E-3</v>
          </cell>
          <cell r="V578">
            <v>1.7000000000000001E-2</v>
          </cell>
          <cell r="W578">
            <v>0.27250999999999997</v>
          </cell>
          <cell r="X578">
            <v>10.611000000000001</v>
          </cell>
          <cell r="Y578">
            <v>11.29</v>
          </cell>
          <cell r="AB578">
            <v>0</v>
          </cell>
          <cell r="AC578">
            <v>0.2027484305402566</v>
          </cell>
          <cell r="AD578">
            <v>0.11601401116249041</v>
          </cell>
          <cell r="AE578">
            <v>0.47280006000000002</v>
          </cell>
          <cell r="AF578">
            <v>12.468943527766056</v>
          </cell>
          <cell r="AG578">
            <v>8.0207768433280169</v>
          </cell>
          <cell r="AH578">
            <v>202410</v>
          </cell>
          <cell r="AJ578" t="str">
            <v>A1-A3:Prod'n deferred due to buyer's nomination.
BC-10:ALM-1 Train-C is Offline,hence prod'n is deferred.
GPOC:Prod'n deferred due to biorem limitations, downhole complications.
CPO-5:CF-2 Well closed temporarily.
PCB:Electrical flickering at Petro carabobo.</v>
          </cell>
        </row>
        <row r="579">
          <cell r="C579">
            <v>45587</v>
          </cell>
          <cell r="D579">
            <v>352942</v>
          </cell>
          <cell r="E579">
            <v>22761</v>
          </cell>
          <cell r="F579">
            <v>24810</v>
          </cell>
          <cell r="G579">
            <v>4143</v>
          </cell>
          <cell r="H579">
            <v>2334</v>
          </cell>
          <cell r="I579">
            <v>139000</v>
          </cell>
          <cell r="J579">
            <v>171879</v>
          </cell>
          <cell r="K579">
            <v>48324.08</v>
          </cell>
          <cell r="L579">
            <v>12481</v>
          </cell>
          <cell r="M579">
            <v>442287</v>
          </cell>
          <cell r="N579">
            <v>7311</v>
          </cell>
          <cell r="O579">
            <v>4790</v>
          </cell>
          <cell r="P579">
            <v>98.875655999999992</v>
          </cell>
          <cell r="Q579">
            <v>0</v>
          </cell>
          <cell r="R579">
            <v>144107.71549520001</v>
          </cell>
          <cell r="S579">
            <v>11.362690324425804</v>
          </cell>
          <cell r="T579">
            <v>0.24391499999999999</v>
          </cell>
          <cell r="U579">
            <v>3.5260104149263619E-3</v>
          </cell>
          <cell r="V579">
            <v>1.7000000000000001E-2</v>
          </cell>
          <cell r="W579">
            <v>0.27711000000000002</v>
          </cell>
          <cell r="X579">
            <v>10.611000000000001</v>
          </cell>
          <cell r="Y579">
            <v>11.48</v>
          </cell>
          <cell r="AB579">
            <v>0</v>
          </cell>
          <cell r="AC579">
            <v>0.2095444673181423</v>
          </cell>
          <cell r="AD579">
            <v>0.11643876346110826</v>
          </cell>
          <cell r="AE579">
            <v>0.49020005999999999</v>
          </cell>
          <cell r="AF579">
            <v>12.470642536960527</v>
          </cell>
          <cell r="AG579">
            <v>8.1336380588574144</v>
          </cell>
          <cell r="AH579">
            <v>202410</v>
          </cell>
          <cell r="AJ579" t="str">
            <v>A1-A3:Prod'n deferred due to buyer's nomination.
BC-10:ALM-1 Train-C is Offline,hence prod'n is deferred.
GPOC:Prod'n deferred due to biorem limitations, downhole complications.
CPO-5:CF-2 Well closed temporarily.
PCB:Delay in prod'n stabilization due to constant electrical flickering at Petro carabobo.</v>
          </cell>
        </row>
        <row r="580">
          <cell r="C580">
            <v>45588</v>
          </cell>
          <cell r="D580">
            <v>357180</v>
          </cell>
          <cell r="E580">
            <v>22836</v>
          </cell>
          <cell r="F580">
            <v>24802</v>
          </cell>
          <cell r="G580">
            <v>4170</v>
          </cell>
          <cell r="H580">
            <v>2256</v>
          </cell>
          <cell r="I580">
            <v>139000</v>
          </cell>
          <cell r="J580">
            <v>171035</v>
          </cell>
          <cell r="K580">
            <v>49549.02</v>
          </cell>
          <cell r="L580">
            <v>11623</v>
          </cell>
          <cell r="M580">
            <v>449839</v>
          </cell>
          <cell r="N580">
            <v>5733</v>
          </cell>
          <cell r="O580">
            <v>4009.0000000000005</v>
          </cell>
          <cell r="P580">
            <v>78.245111999999992</v>
          </cell>
          <cell r="Q580">
            <v>0</v>
          </cell>
          <cell r="R580">
            <v>143842.38205040005</v>
          </cell>
          <cell r="S580">
            <v>10.743118304841891</v>
          </cell>
          <cell r="T580">
            <v>0.24313599999999999</v>
          </cell>
          <cell r="U580">
            <v>3.4795991470973841E-3</v>
          </cell>
          <cell r="V580">
            <v>1.7000000000000001E-2</v>
          </cell>
          <cell r="W580">
            <v>0.27168999999999999</v>
          </cell>
          <cell r="X580">
            <v>10.611000000000001</v>
          </cell>
          <cell r="Y580">
            <v>11.33</v>
          </cell>
          <cell r="AB580">
            <v>0</v>
          </cell>
          <cell r="AC580">
            <v>0.18660784319277807</v>
          </cell>
          <cell r="AD580">
            <v>0.11949698001115681</v>
          </cell>
          <cell r="AE580">
            <v>0.49250006000000002</v>
          </cell>
          <cell r="AF580">
            <v>12.757520239447029</v>
          </cell>
          <cell r="AG580">
            <v>8.1231675947064801</v>
          </cell>
          <cell r="AH580">
            <v>202410</v>
          </cell>
          <cell r="AJ580" t="str">
            <v>A1-A3:Prod'n deferred due to buyer's nomination.
BC-10:ALM-1 Train-C is Offline,hence prod'n is deferred.
GPOC:Prod'n deferred due to biorem limitations, downhole complications.
PCB:Delay in prod'n stabilization due to constant electrical flickering at Petro carabobo.</v>
          </cell>
        </row>
        <row r="581">
          <cell r="C581">
            <v>45589</v>
          </cell>
          <cell r="D581">
            <v>361951</v>
          </cell>
          <cell r="E581">
            <v>22736</v>
          </cell>
          <cell r="F581">
            <v>24801.280000000002</v>
          </cell>
          <cell r="G581">
            <v>4078</v>
          </cell>
          <cell r="H581">
            <v>2190</v>
          </cell>
          <cell r="I581">
            <v>139000</v>
          </cell>
          <cell r="J581">
            <v>175318</v>
          </cell>
          <cell r="K581">
            <v>51818.03</v>
          </cell>
          <cell r="L581">
            <v>11490</v>
          </cell>
          <cell r="M581">
            <v>435987</v>
          </cell>
          <cell r="N581">
            <v>7302</v>
          </cell>
          <cell r="O581">
            <v>5222</v>
          </cell>
          <cell r="P581">
            <v>94.28410199999999</v>
          </cell>
          <cell r="Q581">
            <v>0</v>
          </cell>
          <cell r="R581">
            <v>145572.76194590001</v>
          </cell>
          <cell r="S581">
            <v>10.553112443260174</v>
          </cell>
          <cell r="T581">
            <v>0.29258499999999998</v>
          </cell>
          <cell r="U581">
            <v>3.4795991470973841E-3</v>
          </cell>
          <cell r="V581">
            <v>1.7000000000000001E-2</v>
          </cell>
          <cell r="W581">
            <v>0.26780999999999999</v>
          </cell>
          <cell r="X581">
            <v>10.611000000000001</v>
          </cell>
          <cell r="Y581">
            <v>11.28</v>
          </cell>
          <cell r="AA581">
            <v>0</v>
          </cell>
          <cell r="AB581">
            <v>0</v>
          </cell>
          <cell r="AC581">
            <v>0.22483555006838513</v>
          </cell>
          <cell r="AD581">
            <v>0.11859084177410539</v>
          </cell>
          <cell r="AE581">
            <v>0.41900006000000001</v>
          </cell>
          <cell r="AF581">
            <v>12.758001625385463</v>
          </cell>
          <cell r="AG581">
            <v>8.086099117374971</v>
          </cell>
          <cell r="AH581">
            <v>202410</v>
          </cell>
          <cell r="AJ581" t="str">
            <v>B-06.1:Prod'n deferred due to gas compression train-1 tripped due to malfunction.
IEC:Reason awaited from the operator regarding prod'n deferment.
BC-10:ALM-1 Train-C is Offline,hence prod'n is deferred.
GPOC:Prod'n deferred due to biorem limitations, downhole complications.
A1-A3:Prod'n deferred due to buyer's nomination.
PCB:Prod'n deferred due to the low efficiency of PCPs in 9 wells.</v>
          </cell>
        </row>
        <row r="582">
          <cell r="C582">
            <v>45590</v>
          </cell>
          <cell r="D582">
            <v>352558</v>
          </cell>
          <cell r="E582">
            <v>22780</v>
          </cell>
          <cell r="F582">
            <v>24685</v>
          </cell>
          <cell r="G582">
            <v>4186</v>
          </cell>
          <cell r="H582">
            <v>2249</v>
          </cell>
          <cell r="I582">
            <v>146700</v>
          </cell>
          <cell r="J582">
            <v>171549</v>
          </cell>
          <cell r="K582">
            <v>48685.47</v>
          </cell>
          <cell r="L582">
            <v>9513</v>
          </cell>
          <cell r="M582">
            <v>442815</v>
          </cell>
          <cell r="N582">
            <v>7300</v>
          </cell>
          <cell r="O582">
            <v>4480</v>
          </cell>
          <cell r="P582">
            <v>57.488771999999997</v>
          </cell>
          <cell r="Q582">
            <v>0</v>
          </cell>
          <cell r="R582">
            <v>144658.7784974</v>
          </cell>
          <cell r="S582">
            <v>11.484735818228669</v>
          </cell>
          <cell r="T582">
            <v>0.23902000000000001</v>
          </cell>
          <cell r="U582">
            <v>3.4042764061424846E-3</v>
          </cell>
          <cell r="V582">
            <v>1.7000000000000001E-2</v>
          </cell>
          <cell r="W582">
            <v>0.26462999999999998</v>
          </cell>
          <cell r="X582">
            <v>10.611000000000001</v>
          </cell>
          <cell r="Y582">
            <v>11.21</v>
          </cell>
          <cell r="AB582">
            <v>0</v>
          </cell>
          <cell r="AC582">
            <v>0.22483555006838513</v>
          </cell>
          <cell r="AD582">
            <v>0.1190439108926311</v>
          </cell>
          <cell r="AE582">
            <v>0.48010006</v>
          </cell>
          <cell r="AF582">
            <v>12.85119227970222</v>
          </cell>
          <cell r="AG582">
            <v>8.1152429802993353</v>
          </cell>
          <cell r="AH582">
            <v>202410</v>
          </cell>
          <cell r="AJ582" t="str">
            <v>Sakhalin-1:New Prod'n data received from operator.
BC-10:ALM-1 Train-C is Offline,hence prod'n is deferred.
GPOC:Prod'n deferred due to biorem limitations, downhole complications.
A1-A3:Prod'n deferred due to buyer's nomination.
PCB:Prod'n deferred due to the low efficiency of PCPs in 9 wells.</v>
          </cell>
        </row>
        <row r="583">
          <cell r="C583">
            <v>45591</v>
          </cell>
          <cell r="D583">
            <v>343789</v>
          </cell>
          <cell r="E583">
            <v>22616</v>
          </cell>
          <cell r="F583">
            <v>24720</v>
          </cell>
          <cell r="G583">
            <v>4111</v>
          </cell>
          <cell r="H583">
            <v>2274</v>
          </cell>
          <cell r="I583">
            <v>146700</v>
          </cell>
          <cell r="J583">
            <v>174147</v>
          </cell>
          <cell r="K583">
            <v>48277.38</v>
          </cell>
          <cell r="L583">
            <v>12101</v>
          </cell>
          <cell r="M583">
            <v>422601</v>
          </cell>
          <cell r="N583">
            <v>7300</v>
          </cell>
          <cell r="O583">
            <v>4129</v>
          </cell>
          <cell r="P583">
            <v>67.426655999999994</v>
          </cell>
          <cell r="Q583">
            <v>0</v>
          </cell>
          <cell r="R583">
            <v>144677.25914520002</v>
          </cell>
          <cell r="S583">
            <v>13.884303137220481</v>
          </cell>
          <cell r="T583">
            <v>0.23947599999999999</v>
          </cell>
          <cell r="U583">
            <v>3.317938422243428E-3</v>
          </cell>
          <cell r="V583">
            <v>1.7000000000000001E-2</v>
          </cell>
          <cell r="W583">
            <v>0.27562000000000003</v>
          </cell>
          <cell r="X583">
            <v>10.611000000000001</v>
          </cell>
          <cell r="Y583">
            <v>11.14</v>
          </cell>
          <cell r="AB583">
            <v>0</v>
          </cell>
          <cell r="AC583">
            <v>0.22426921367022795</v>
          </cell>
          <cell r="AD583">
            <v>0.11949698001115681</v>
          </cell>
          <cell r="AE583">
            <v>0.46520005999999997</v>
          </cell>
          <cell r="AF583">
            <v>12.847341192194751</v>
          </cell>
          <cell r="AG583">
            <v>8.15628491454666</v>
          </cell>
          <cell r="AH583">
            <v>202410</v>
          </cell>
          <cell r="AJ583" t="str">
            <v>BC-10:ALM-1 Train-C is Offline,hence prod'n is deferred.
GPOC:Prod'n deferred due to biorem limitations, downhole complications.
A1-A3:Prod'n deferred due to buyer's nomination.
PCB:Prod'n deferred due to the low efficiency of PCPs in 9 wells.</v>
          </cell>
        </row>
        <row r="584">
          <cell r="C584">
            <v>45592</v>
          </cell>
          <cell r="D584">
            <v>344968</v>
          </cell>
          <cell r="E584">
            <v>22704</v>
          </cell>
          <cell r="F584">
            <v>24745</v>
          </cell>
          <cell r="G584">
            <v>4078</v>
          </cell>
          <cell r="H584">
            <v>2305</v>
          </cell>
          <cell r="I584">
            <v>146700</v>
          </cell>
          <cell r="J584">
            <v>172994</v>
          </cell>
          <cell r="K584">
            <v>46040.17</v>
          </cell>
          <cell r="L584">
            <v>10583</v>
          </cell>
          <cell r="M584">
            <v>430601</v>
          </cell>
          <cell r="N584">
            <v>6967</v>
          </cell>
          <cell r="O584">
            <v>3740</v>
          </cell>
          <cell r="P584">
            <v>87.239525999999984</v>
          </cell>
          <cell r="Q584">
            <v>0</v>
          </cell>
          <cell r="R584">
            <v>143671.63983669999</v>
          </cell>
          <cell r="S584">
            <v>11.400351694903252</v>
          </cell>
          <cell r="T584">
            <v>0.23938999999999999</v>
          </cell>
          <cell r="U584">
            <v>3.2313739037851102E-3</v>
          </cell>
          <cell r="V584">
            <v>1.7000000000000001E-2</v>
          </cell>
          <cell r="W584">
            <v>0.27044999999999997</v>
          </cell>
          <cell r="X584">
            <v>10.611000000000001</v>
          </cell>
          <cell r="Y584">
            <v>11.38</v>
          </cell>
          <cell r="AB584">
            <v>0</v>
          </cell>
          <cell r="AC584">
            <v>0.22511871826746369</v>
          </cell>
          <cell r="AD584">
            <v>0.11859084177410539</v>
          </cell>
          <cell r="AE584">
            <v>0.46090006</v>
          </cell>
          <cell r="AF584">
            <v>12.842725550549769</v>
          </cell>
          <cell r="AG584">
            <v>8.1530631521974399</v>
          </cell>
          <cell r="AH584">
            <v>202410</v>
          </cell>
          <cell r="AJ584" t="str">
            <v>BC-10:ALM-1 Train-C is Offline,hence prod'n is deferred.
GPOC:Prod'n deferred due to biorem limitations, downhole complications.
A1-A3:Prod'n deferred due to buyer's nomination.
PCB:Prod'n deferred due to the low efficiency of PCPs in 9 wells.</v>
          </cell>
        </row>
        <row r="585">
          <cell r="C585">
            <v>45593</v>
          </cell>
          <cell r="D585">
            <v>340616</v>
          </cell>
          <cell r="E585">
            <v>22535</v>
          </cell>
          <cell r="F585">
            <v>24771</v>
          </cell>
          <cell r="G585">
            <v>3924</v>
          </cell>
          <cell r="H585">
            <v>2296</v>
          </cell>
          <cell r="I585">
            <v>146700</v>
          </cell>
          <cell r="J585">
            <v>176058</v>
          </cell>
          <cell r="K585">
            <v>47916.03</v>
          </cell>
          <cell r="L585">
            <v>11401</v>
          </cell>
          <cell r="M585">
            <v>358859</v>
          </cell>
          <cell r="N585">
            <v>7108</v>
          </cell>
          <cell r="O585">
            <v>4905</v>
          </cell>
          <cell r="P585">
            <v>59.187017999999995</v>
          </cell>
          <cell r="Q585">
            <v>0</v>
          </cell>
          <cell r="R585">
            <v>142519.83250810002</v>
          </cell>
          <cell r="S585">
            <v>10.893763786751693</v>
          </cell>
          <cell r="T585">
            <v>0.24121100000000001</v>
          </cell>
          <cell r="U585">
            <v>3.4798539984765551E-3</v>
          </cell>
          <cell r="V585">
            <v>1.7000000000000001E-2</v>
          </cell>
          <cell r="W585">
            <v>0.26693</v>
          </cell>
          <cell r="X585">
            <v>10.611000000000001</v>
          </cell>
          <cell r="Y585">
            <v>11.42</v>
          </cell>
          <cell r="AB585">
            <v>0</v>
          </cell>
          <cell r="AC585">
            <v>0.22398604547114939</v>
          </cell>
          <cell r="AD585">
            <v>0.11949698001115681</v>
          </cell>
          <cell r="AE585">
            <v>0.46010005999999998</v>
          </cell>
          <cell r="AF585">
            <v>12.55746190679802</v>
          </cell>
          <cell r="AG585">
            <v>8.1002896194348519</v>
          </cell>
          <cell r="AH585">
            <v>202410</v>
          </cell>
          <cell r="AJ585" t="str">
            <v>LZC:Due to bad weather, prod'n curtailment started to maintain required ullage.
BC-10:ALM-1 Train-C is Offline,hence prod'n is deferred.
GPOC:Prod'n deferred due to biorem limitations, downhole complications.
A1-A3:Prod'n deferred due to buyer's nomination.
PCB:Prod'n deferred due to the low efficiency of PCPs in 9 wells.</v>
          </cell>
        </row>
        <row r="586">
          <cell r="C586">
            <v>45594</v>
          </cell>
          <cell r="D586">
            <v>340724</v>
          </cell>
          <cell r="E586">
            <v>22459</v>
          </cell>
          <cell r="F586">
            <v>24771</v>
          </cell>
          <cell r="G586">
            <v>4046</v>
          </cell>
          <cell r="H586">
            <v>2274</v>
          </cell>
          <cell r="I586">
            <v>146700</v>
          </cell>
          <cell r="J586">
            <v>176067</v>
          </cell>
          <cell r="K586">
            <v>47293.2</v>
          </cell>
          <cell r="L586">
            <v>10089</v>
          </cell>
          <cell r="M586">
            <v>270765</v>
          </cell>
          <cell r="N586">
            <v>7120</v>
          </cell>
          <cell r="O586">
            <v>4258</v>
          </cell>
          <cell r="P586">
            <v>73.842252000000002</v>
          </cell>
          <cell r="Q586">
            <v>0</v>
          </cell>
          <cell r="R586">
            <v>138296.27466340002</v>
          </cell>
          <cell r="S586">
            <v>13.017808448040048</v>
          </cell>
          <cell r="T586">
            <v>0.23996000000000001</v>
          </cell>
          <cell r="U586">
            <v>3.3306526743820558E-3</v>
          </cell>
          <cell r="V586">
            <v>1.7000000000000001E-2</v>
          </cell>
          <cell r="W586">
            <v>0.26574999999999999</v>
          </cell>
          <cell r="X586">
            <v>10.611000000000001</v>
          </cell>
          <cell r="Y586">
            <v>11.4</v>
          </cell>
          <cell r="AB586">
            <v>0</v>
          </cell>
          <cell r="AC586">
            <v>0.22426921367022795</v>
          </cell>
          <cell r="AD586">
            <v>0.11949698001115681</v>
          </cell>
          <cell r="AE586">
            <v>0.45710005999999997</v>
          </cell>
          <cell r="AF586">
            <v>12.468462141827624</v>
          </cell>
          <cell r="AG586">
            <v>8.1260840286406779</v>
          </cell>
          <cell r="AH586">
            <v>202410</v>
          </cell>
          <cell r="AJ586" t="str">
            <v>LZC:Due to bad weather, prod'n curtailment started to maintain required ullage.
BC-10:ALM-1 Train-C is Offline,hence prod'n is deferred.
GPOC:Prod'n deferred due to biorem limitations, downhole complications.
A1-A3:Prod'n deferred due to buyer's nomination.
PCB:Prod'n deferred due to the low efficiency of PCPs in 9 wells.</v>
          </cell>
        </row>
        <row r="587">
          <cell r="C587">
            <v>45595</v>
          </cell>
          <cell r="D587">
            <v>354367</v>
          </cell>
          <cell r="E587">
            <v>22101</v>
          </cell>
          <cell r="F587">
            <v>24491</v>
          </cell>
          <cell r="G587">
            <v>4120</v>
          </cell>
          <cell r="H587">
            <v>2256</v>
          </cell>
          <cell r="I587">
            <v>146700</v>
          </cell>
          <cell r="J587">
            <v>174476</v>
          </cell>
          <cell r="K587">
            <v>47074.61</v>
          </cell>
          <cell r="L587">
            <v>11412</v>
          </cell>
          <cell r="M587">
            <v>246353</v>
          </cell>
          <cell r="N587">
            <v>7237</v>
          </cell>
          <cell r="O587">
            <v>5173</v>
          </cell>
          <cell r="P587">
            <v>90.069935999999998</v>
          </cell>
          <cell r="Q587">
            <v>0</v>
          </cell>
          <cell r="R587">
            <v>137598.32667120002</v>
          </cell>
          <cell r="S587">
            <v>11.830767357502685</v>
          </cell>
          <cell r="T587">
            <v>0.23832700000000001</v>
          </cell>
          <cell r="U587">
            <v>3.5350717972968764E-3</v>
          </cell>
          <cell r="V587">
            <v>1.7000000000000001E-2</v>
          </cell>
          <cell r="W587">
            <v>0.26577000000000001</v>
          </cell>
          <cell r="X587">
            <v>10.611000000000001</v>
          </cell>
          <cell r="Y587">
            <v>11.41</v>
          </cell>
          <cell r="AA587">
            <v>0</v>
          </cell>
          <cell r="AB587">
            <v>0</v>
          </cell>
          <cell r="AC587">
            <v>0.22228703627667795</v>
          </cell>
          <cell r="AD587">
            <v>0.11669361484027899</v>
          </cell>
          <cell r="AE587">
            <v>0.46150005999999999</v>
          </cell>
          <cell r="AF587">
            <v>12.334920019142169</v>
          </cell>
          <cell r="AG587">
            <v>8.078924016397135</v>
          </cell>
          <cell r="AH587">
            <v>202410</v>
          </cell>
          <cell r="AJ587" t="str">
            <v>Sakhalin-1:New Prod'n data received from operator &amp; Reason for less prod'n due to maintenance activities on GTG#1 at Berkut Platform.
BC-10:ALM-1 Train-C is Offline,hence prod'n is deferred.
LZC:Due to bad weather, prod'n curtailment started to maintain required ullage.
GPOC:Prod'n deferred due to biorem limitations, downhole complications.
A1-A3:Prod'n deferred due to buyer's nomination.
PCB:Prod'n deferred due to the low efficiency of PCPs in 9 wells.</v>
          </cell>
        </row>
        <row r="588">
          <cell r="C588">
            <v>45596</v>
          </cell>
          <cell r="D588">
            <v>355612</v>
          </cell>
          <cell r="E588">
            <v>22403</v>
          </cell>
          <cell r="F588">
            <v>24400</v>
          </cell>
          <cell r="G588">
            <v>4139</v>
          </cell>
          <cell r="H588">
            <v>2255</v>
          </cell>
          <cell r="I588">
            <v>146700</v>
          </cell>
          <cell r="J588">
            <v>173204</v>
          </cell>
          <cell r="K588">
            <v>46869.2</v>
          </cell>
          <cell r="L588">
            <v>11958</v>
          </cell>
          <cell r="M588">
            <v>343680</v>
          </cell>
          <cell r="N588">
            <v>7279</v>
          </cell>
          <cell r="O588">
            <v>3982</v>
          </cell>
          <cell r="P588">
            <v>48.494357999999998</v>
          </cell>
          <cell r="Q588">
            <v>0</v>
          </cell>
          <cell r="R588">
            <v>140805.66716109999</v>
          </cell>
          <cell r="S588">
            <v>11.433765542394529</v>
          </cell>
          <cell r="T588">
            <v>0.229765</v>
          </cell>
          <cell r="U588">
            <v>3.6796291629264863E-3</v>
          </cell>
          <cell r="V588">
            <v>1.7000000000000001E-2</v>
          </cell>
          <cell r="W588">
            <v>0.26599</v>
          </cell>
          <cell r="X588">
            <v>10.611000000000001</v>
          </cell>
          <cell r="Y588">
            <v>11.49</v>
          </cell>
          <cell r="AC588">
            <v>0.22172069987852083</v>
          </cell>
          <cell r="AD588">
            <v>0.1190439108926311</v>
          </cell>
          <cell r="AE588">
            <v>0.45760005999999998</v>
          </cell>
          <cell r="AF588">
            <v>12.361707730775002</v>
          </cell>
          <cell r="AG588">
            <v>8.0922394570188025</v>
          </cell>
          <cell r="AH588">
            <v>202410</v>
          </cell>
          <cell r="AJ588" t="str">
            <v>BC-10:ALM-1 Train-C is Offline,hence prod'n is deferred.
GPOC:Prod'n deferred due to biorem limitations, downhole complications.
A1-A3:Prod'n deferred due to buyer's nomination.
LZC:Prod'n ramp-up.
PCB:Prod'n deferred due to the low efficiency of PCPs in 9 wells.</v>
          </cell>
        </row>
        <row r="589">
          <cell r="C589">
            <v>45597</v>
          </cell>
          <cell r="D589">
            <v>342224</v>
          </cell>
          <cell r="E589">
            <v>22956</v>
          </cell>
          <cell r="F589">
            <v>8271</v>
          </cell>
          <cell r="G589">
            <v>4101</v>
          </cell>
          <cell r="H589">
            <v>2269</v>
          </cell>
          <cell r="I589">
            <v>144800</v>
          </cell>
          <cell r="J589">
            <v>170692</v>
          </cell>
          <cell r="K589">
            <v>47786.78</v>
          </cell>
          <cell r="L589">
            <v>11649</v>
          </cell>
          <cell r="M589">
            <v>420935</v>
          </cell>
          <cell r="N589">
            <v>7238</v>
          </cell>
          <cell r="O589">
            <v>4460</v>
          </cell>
          <cell r="P589">
            <v>77.993520000000004</v>
          </cell>
          <cell r="Q589">
            <v>0</v>
          </cell>
          <cell r="R589">
            <v>133866.985334</v>
          </cell>
          <cell r="S589">
            <v>12.107139519803368</v>
          </cell>
          <cell r="T589">
            <v>0.21601600000000001</v>
          </cell>
          <cell r="U589">
            <v>1.1770452531098946E-3</v>
          </cell>
          <cell r="V589">
            <v>1.7000000000000001E-2</v>
          </cell>
          <cell r="W589">
            <v>0.26662999999999998</v>
          </cell>
          <cell r="X589">
            <v>11.148</v>
          </cell>
          <cell r="Y589">
            <v>11.26</v>
          </cell>
          <cell r="AA589">
            <v>0</v>
          </cell>
          <cell r="AB589">
            <v>0</v>
          </cell>
          <cell r="AC589">
            <v>0.22455238186930654</v>
          </cell>
          <cell r="AD589">
            <v>0.11006747898184041</v>
          </cell>
          <cell r="AE589">
            <v>0.45480006000000001</v>
          </cell>
          <cell r="AF589">
            <v>12.324102993937368</v>
          </cell>
          <cell r="AG589">
            <v>8.2140973721991379</v>
          </cell>
          <cell r="AH589">
            <v>202411</v>
          </cell>
          <cell r="AJ589" t="str">
            <v>LZC:Quota for the month is 422k bopd.
BC-10:ALM-1 Train-C is online with MOBO 1, preparing MOBO 3 for start.
CPO-5:Prod'n deferred due to community blockade at Indico pad.
GPOC:Prod'n deferred due to biorem limitations, downhole complications.
A1-A3:Prod'n deferred due to buyer's nomination.
PCB:Prod'n deferred due to the low efficiency of PCPs in 9 wells.</v>
          </cell>
        </row>
        <row r="590">
          <cell r="C590">
            <v>45598</v>
          </cell>
          <cell r="D590">
            <v>345975</v>
          </cell>
          <cell r="E590">
            <v>23201</v>
          </cell>
          <cell r="F590">
            <v>5787</v>
          </cell>
          <cell r="G590">
            <v>4095</v>
          </cell>
          <cell r="H590">
            <v>2229</v>
          </cell>
          <cell r="I590">
            <v>144800</v>
          </cell>
          <cell r="J590">
            <v>171737</v>
          </cell>
          <cell r="K590">
            <v>47247.56</v>
          </cell>
          <cell r="L590">
            <v>11024</v>
          </cell>
          <cell r="M590">
            <v>413556</v>
          </cell>
          <cell r="N590">
            <v>7217</v>
          </cell>
          <cell r="O590">
            <v>4364</v>
          </cell>
          <cell r="P590">
            <v>56.859791999999992</v>
          </cell>
          <cell r="Q590">
            <v>0</v>
          </cell>
          <cell r="R590">
            <v>131901.7856564</v>
          </cell>
          <cell r="S590">
            <v>11.166737930663436</v>
          </cell>
          <cell r="T590">
            <v>0.29588500000000001</v>
          </cell>
          <cell r="U590">
            <v>5.8712094396950847E-4</v>
          </cell>
          <cell r="V590">
            <v>1.7000000000000001E-2</v>
          </cell>
          <cell r="W590">
            <v>0.2656</v>
          </cell>
          <cell r="X590">
            <v>11.148</v>
          </cell>
          <cell r="Y590">
            <v>11.32</v>
          </cell>
          <cell r="AA590">
            <v>0</v>
          </cell>
          <cell r="AB590">
            <v>0</v>
          </cell>
          <cell r="AC590">
            <v>0.24805534239282789</v>
          </cell>
          <cell r="AD590">
            <v>0.11091698357907612</v>
          </cell>
          <cell r="AE590">
            <v>0.44940005999999999</v>
          </cell>
          <cell r="AF590">
            <v>12.333079425848158</v>
          </cell>
          <cell r="AG590">
            <v>8.2243334296217121</v>
          </cell>
          <cell r="AH590">
            <v>202411</v>
          </cell>
          <cell r="AJ590" t="str">
            <v>_x000D_BC-10:Prod'n Ramp-up is ongoing after starting MOBO 1 &amp; 3.
CPO-5:Prod'n deferred due to community blockade at Indico pad.
GPOC:Prod'n deferred due to biorem limitations, downhole complications.
A1-A3:Prod'n deferred due to buyer's nomination.
PCB:Prod'n deferred due to the low efficiency of PCPs in 9 wells.</v>
          </cell>
        </row>
        <row r="591">
          <cell r="C591">
            <v>45599</v>
          </cell>
          <cell r="D591">
            <v>347041</v>
          </cell>
          <cell r="E591">
            <v>23899</v>
          </cell>
          <cell r="F591">
            <v>24876</v>
          </cell>
          <cell r="G591">
            <v>4163</v>
          </cell>
          <cell r="H591">
            <v>2257</v>
          </cell>
          <cell r="I591">
            <v>144800</v>
          </cell>
          <cell r="J591">
            <v>172350</v>
          </cell>
          <cell r="K591">
            <v>49689.599999999999</v>
          </cell>
          <cell r="L591">
            <v>11480</v>
          </cell>
          <cell r="M591">
            <v>412979</v>
          </cell>
          <cell r="N591">
            <v>7134</v>
          </cell>
          <cell r="O591">
            <v>4394</v>
          </cell>
          <cell r="P591">
            <v>78.811193999999986</v>
          </cell>
          <cell r="Q591">
            <v>0</v>
          </cell>
          <cell r="R591">
            <v>146415.29428729997</v>
          </cell>
          <cell r="S591">
            <v>11.273209173516976</v>
          </cell>
          <cell r="T591">
            <v>0.28309000000000001</v>
          </cell>
          <cell r="U591">
            <v>2.7135159013102188E-3</v>
          </cell>
          <cell r="V591">
            <v>1.7000000000000001E-2</v>
          </cell>
          <cell r="W591">
            <v>0.26926</v>
          </cell>
          <cell r="X591">
            <v>11.148</v>
          </cell>
          <cell r="Y591">
            <v>11.24</v>
          </cell>
          <cell r="AA591">
            <v>0</v>
          </cell>
          <cell r="AB591">
            <v>0</v>
          </cell>
          <cell r="AC591">
            <v>0.2296494094527208</v>
          </cell>
          <cell r="AD591">
            <v>0.11669361484027899</v>
          </cell>
          <cell r="AE591">
            <v>0.43920006</v>
          </cell>
          <cell r="AF591">
            <v>12.322942004321146</v>
          </cell>
          <cell r="AG591">
            <v>8.2023141781667963</v>
          </cell>
          <cell r="AH591">
            <v>202411</v>
          </cell>
          <cell r="AJ591" t="str">
            <v>BC-10:Prod'n Ramp-up is ongoing after starting MOBO 1 &amp; 3.
GPOC:Prod'n deferred due to biorem limitations, downhole complications.
A1-A3:Prod'n deferred due to buyer's nomination.
PCB:Prod'n deferred due to the low efficiency of PCPs in 9 wells.</v>
          </cell>
        </row>
        <row r="592">
          <cell r="C592">
            <v>45600</v>
          </cell>
          <cell r="D592">
            <v>353056</v>
          </cell>
          <cell r="E592">
            <v>28208</v>
          </cell>
          <cell r="F592">
            <v>24783</v>
          </cell>
          <cell r="G592">
            <v>4219</v>
          </cell>
          <cell r="H592">
            <v>2260</v>
          </cell>
          <cell r="I592">
            <v>144800</v>
          </cell>
          <cell r="J592">
            <v>172684</v>
          </cell>
          <cell r="K592">
            <v>49142.64</v>
          </cell>
          <cell r="L592">
            <v>11639</v>
          </cell>
          <cell r="M592">
            <v>429624</v>
          </cell>
          <cell r="N592">
            <v>7031</v>
          </cell>
          <cell r="O592">
            <v>4120</v>
          </cell>
          <cell r="P592">
            <v>80.38364399999999</v>
          </cell>
          <cell r="Q592">
            <v>0</v>
          </cell>
          <cell r="R592">
            <v>148254.59938980002</v>
          </cell>
          <cell r="S592">
            <v>11.327577467740058</v>
          </cell>
          <cell r="T592">
            <v>0.30254199999999998</v>
          </cell>
          <cell r="U592">
            <v>2.9173403710069743E-3</v>
          </cell>
          <cell r="V592">
            <v>1.7000000000000001E-2</v>
          </cell>
          <cell r="W592">
            <v>0.26697000000000004</v>
          </cell>
          <cell r="X592">
            <v>11.148</v>
          </cell>
          <cell r="Y592">
            <v>11.32</v>
          </cell>
          <cell r="AA592">
            <v>0</v>
          </cell>
          <cell r="AB592">
            <v>0</v>
          </cell>
          <cell r="AC592">
            <v>0.21832268148957798</v>
          </cell>
          <cell r="AD592">
            <v>0.10859500434663184</v>
          </cell>
          <cell r="AE592">
            <v>0.43760006000000001</v>
          </cell>
          <cell r="AF592">
            <v>12.321894281984555</v>
          </cell>
          <cell r="AG592">
            <v>8.2224256708309831</v>
          </cell>
          <cell r="AH592">
            <v>202411</v>
          </cell>
          <cell r="AJ592" t="str">
            <v>Sakhalin-1:New Prod'n data received from operator.
GPOC:Prod'n deferred due to biorem limitations, downhole complications.
A1-A3:Prod'n deferred due to buyer's nomination.
PCB:Prod'n deferred due to the low efficiency of PCPs in 9 wells.</v>
          </cell>
        </row>
        <row r="593">
          <cell r="C593">
            <v>45601</v>
          </cell>
          <cell r="D593">
            <v>355144</v>
          </cell>
          <cell r="E593">
            <v>29478</v>
          </cell>
          <cell r="F593">
            <v>24261</v>
          </cell>
          <cell r="G593">
            <v>4049</v>
          </cell>
          <cell r="H593">
            <v>2222</v>
          </cell>
          <cell r="I593">
            <v>144800</v>
          </cell>
          <cell r="J593">
            <v>170463</v>
          </cell>
          <cell r="K593">
            <v>48470.26</v>
          </cell>
          <cell r="L593">
            <v>11278</v>
          </cell>
          <cell r="M593">
            <v>434229</v>
          </cell>
          <cell r="N593">
            <v>7223</v>
          </cell>
          <cell r="O593">
            <v>5036</v>
          </cell>
          <cell r="P593">
            <v>59.061222000000001</v>
          </cell>
          <cell r="Q593">
            <v>0</v>
          </cell>
          <cell r="R593">
            <v>147899.6520499</v>
          </cell>
          <cell r="S593">
            <v>11.192223068580505</v>
          </cell>
          <cell r="T593">
            <v>0.30790899999999999</v>
          </cell>
          <cell r="U593">
            <v>3.292453284326357E-3</v>
          </cell>
          <cell r="V593">
            <v>1.7000000000000001E-2</v>
          </cell>
          <cell r="W593">
            <v>0.26611000000000001</v>
          </cell>
          <cell r="X593">
            <v>11.148</v>
          </cell>
          <cell r="Y593">
            <v>11.22</v>
          </cell>
          <cell r="AB593">
            <v>0</v>
          </cell>
          <cell r="AC593">
            <v>0.21152664471169227</v>
          </cell>
          <cell r="AD593">
            <v>0.10901975664524971</v>
          </cell>
          <cell r="AE593">
            <v>0.43200006000000002</v>
          </cell>
          <cell r="AF593">
            <v>12.327161210487416</v>
          </cell>
          <cell r="AG593">
            <v>8.1911159384142564</v>
          </cell>
          <cell r="AH593">
            <v>202411</v>
          </cell>
          <cell r="AJ593" t="str">
            <v>GPOC:Prod'n deferred due to biorem limitations, downhole complications.
A1-A3:Prod'n deferred due to buyer's nomination.
PCB:Prod'n deferred due to the low efficiency of PCPs in 9 wells.</v>
          </cell>
        </row>
        <row r="594">
          <cell r="C594">
            <v>45602</v>
          </cell>
          <cell r="D594">
            <v>352173</v>
          </cell>
          <cell r="E594">
            <v>29472</v>
          </cell>
          <cell r="F594">
            <v>24750</v>
          </cell>
          <cell r="G594">
            <v>4170</v>
          </cell>
          <cell r="H594">
            <v>2240</v>
          </cell>
          <cell r="I594">
            <v>144800</v>
          </cell>
          <cell r="J594">
            <v>172958</v>
          </cell>
          <cell r="K594">
            <v>48710.49</v>
          </cell>
          <cell r="L594">
            <v>11017</v>
          </cell>
          <cell r="M594">
            <v>437098</v>
          </cell>
          <cell r="N594">
            <v>7130</v>
          </cell>
          <cell r="O594">
            <v>4408</v>
          </cell>
          <cell r="P594">
            <v>60.444977999999992</v>
          </cell>
          <cell r="Q594">
            <v>0</v>
          </cell>
          <cell r="R594">
            <v>148731.67424010002</v>
          </cell>
          <cell r="S594">
            <v>11.245175521808198</v>
          </cell>
          <cell r="T594">
            <v>0.30985200000000002</v>
          </cell>
          <cell r="U594">
            <v>3.4327914437896961E-3</v>
          </cell>
          <cell r="V594">
            <v>1.7000000000000001E-2</v>
          </cell>
          <cell r="W594">
            <v>0.26721</v>
          </cell>
          <cell r="X594">
            <v>11.148</v>
          </cell>
          <cell r="Y594">
            <v>11.3</v>
          </cell>
          <cell r="AA594">
            <v>0</v>
          </cell>
          <cell r="AB594">
            <v>0</v>
          </cell>
          <cell r="AC594">
            <v>0.21520783129971369</v>
          </cell>
          <cell r="AD594">
            <v>0.11049223128045828</v>
          </cell>
          <cell r="AE594">
            <v>0.42950006000000002</v>
          </cell>
          <cell r="AF594">
            <v>12.462090857348356</v>
          </cell>
          <cell r="AG594">
            <v>8.2379946047279162</v>
          </cell>
          <cell r="AH594">
            <v>202411</v>
          </cell>
          <cell r="AJ594" t="str">
            <v>GPOC:Prod'n deferred due to biorem limitations, downhole complications.
A1-A3:Prod'n deferred due to buyer's nomination.
PCB:Prod'n deferred due to the low efficiency of PCPs in 9 wells.</v>
          </cell>
        </row>
        <row r="595">
          <cell r="C595">
            <v>45603</v>
          </cell>
          <cell r="D595">
            <v>351953</v>
          </cell>
          <cell r="E595">
            <v>29396</v>
          </cell>
          <cell r="F595">
            <v>24709</v>
          </cell>
          <cell r="G595">
            <v>4153</v>
          </cell>
          <cell r="H595">
            <v>2251</v>
          </cell>
          <cell r="I595">
            <v>144800</v>
          </cell>
          <cell r="J595">
            <v>174111</v>
          </cell>
          <cell r="K595">
            <v>47854.92</v>
          </cell>
          <cell r="L595">
            <v>11786</v>
          </cell>
          <cell r="M595">
            <v>434004</v>
          </cell>
          <cell r="N595">
            <v>7116</v>
          </cell>
          <cell r="O595">
            <v>4225</v>
          </cell>
          <cell r="P595">
            <v>56.859791999999992</v>
          </cell>
          <cell r="Q595">
            <v>0</v>
          </cell>
          <cell r="R595">
            <v>148749.81465640001</v>
          </cell>
          <cell r="S595">
            <v>11.246025026405434</v>
          </cell>
          <cell r="T595">
            <v>0.30407099999999998</v>
          </cell>
          <cell r="U595">
            <v>3.5260387317462699E-3</v>
          </cell>
          <cell r="V595">
            <v>1.7000000000000001E-2</v>
          </cell>
          <cell r="W595">
            <v>0.26743</v>
          </cell>
          <cell r="X595">
            <v>11.148</v>
          </cell>
          <cell r="Y595">
            <v>11.21</v>
          </cell>
          <cell r="AA595">
            <v>0</v>
          </cell>
          <cell r="AB595">
            <v>0</v>
          </cell>
          <cell r="AC595">
            <v>0.2095444673181423</v>
          </cell>
          <cell r="AD595">
            <v>0.11091698357907612</v>
          </cell>
          <cell r="AE595">
            <v>0.42630005999999998</v>
          </cell>
          <cell r="AF595">
            <v>11.114521714753344</v>
          </cell>
          <cell r="AG595">
            <v>7.9823640324792757</v>
          </cell>
          <cell r="AH595">
            <v>202411</v>
          </cell>
          <cell r="AJ595" t="str">
            <v>GPOC:Prod'n deferred due to biorem limitations, downhole complications.
A1-A3:Prod'n deferred due to buyer's nomination &amp; Major Corrective Maintenance (Inspection campaign to identify potential corrosion point).
PCB:Prod'n deferred due to the low efficiency of PCPs in 9 wells.</v>
          </cell>
        </row>
        <row r="596">
          <cell r="C596">
            <v>45604</v>
          </cell>
          <cell r="D596">
            <v>351767</v>
          </cell>
          <cell r="E596">
            <v>29553</v>
          </cell>
          <cell r="F596">
            <v>24691</v>
          </cell>
          <cell r="G596">
            <v>4111</v>
          </cell>
          <cell r="H596">
            <v>2249</v>
          </cell>
          <cell r="I596">
            <v>137700</v>
          </cell>
          <cell r="J596">
            <v>171350</v>
          </cell>
          <cell r="K596">
            <v>47679.44</v>
          </cell>
          <cell r="L596">
            <v>10781</v>
          </cell>
          <cell r="M596">
            <v>393111</v>
          </cell>
          <cell r="N596">
            <v>7089</v>
          </cell>
          <cell r="O596">
            <v>3475</v>
          </cell>
          <cell r="P596">
            <v>83.528543999999997</v>
          </cell>
          <cell r="Q596">
            <v>0</v>
          </cell>
          <cell r="R596">
            <v>144400.2888448</v>
          </cell>
          <cell r="S596">
            <v>11.153995361704901</v>
          </cell>
          <cell r="T596">
            <v>0.30793599999999999</v>
          </cell>
          <cell r="U596">
            <v>3.342177620084554E-3</v>
          </cell>
          <cell r="V596">
            <v>1.7000000000000001E-2</v>
          </cell>
          <cell r="W596">
            <v>0.26995999999999998</v>
          </cell>
          <cell r="X596">
            <v>11.148</v>
          </cell>
          <cell r="Y596">
            <v>11.28</v>
          </cell>
          <cell r="AB596">
            <v>0</v>
          </cell>
          <cell r="AC596">
            <v>0.21719000869326369</v>
          </cell>
          <cell r="AD596">
            <v>0.11236114139437683</v>
          </cell>
          <cell r="AE596">
            <v>0.41630005999999997</v>
          </cell>
          <cell r="AF596">
            <v>9.2708135705527717</v>
          </cell>
          <cell r="AG596">
            <v>7.6848053001719077</v>
          </cell>
          <cell r="AH596">
            <v>202411</v>
          </cell>
          <cell r="AJ596" t="str">
            <v>GPOC:Prod'n deferred due to biorem limitations, downhole complications.
A1-A3:Prod'n deferred due to buyer's nomination &amp; Major Corrective Maintenance (Inspection campaign to identify potential corrosion point).
PCB:Prod'n deferred due to the low efficiency of PCPs in 9 wells.
LZC:Due to corrective maintenance activities, prod'n is deferred.</v>
          </cell>
        </row>
        <row r="597">
          <cell r="C597">
            <v>45605</v>
          </cell>
          <cell r="D597">
            <v>339220</v>
          </cell>
          <cell r="E597">
            <v>29289</v>
          </cell>
          <cell r="F597">
            <v>24688</v>
          </cell>
          <cell r="G597">
            <v>4030</v>
          </cell>
          <cell r="H597">
            <v>2235</v>
          </cell>
          <cell r="I597">
            <v>137700</v>
          </cell>
          <cell r="J597">
            <v>172434</v>
          </cell>
          <cell r="K597">
            <v>48715.21</v>
          </cell>
          <cell r="L597">
            <v>11057</v>
          </cell>
          <cell r="M597">
            <v>424843</v>
          </cell>
          <cell r="N597">
            <v>7087</v>
          </cell>
          <cell r="O597">
            <v>4708</v>
          </cell>
          <cell r="P597">
            <v>59.375711999999993</v>
          </cell>
          <cell r="Q597">
            <v>0</v>
          </cell>
          <cell r="R597">
            <v>146264.16782040003</v>
          </cell>
          <cell r="S597">
            <v>11.372884379592634</v>
          </cell>
          <cell r="T597">
            <v>0.30709799999999998</v>
          </cell>
          <cell r="U597">
            <v>3.3245079244620507E-3</v>
          </cell>
          <cell r="V597">
            <v>1.7000000000000001E-2</v>
          </cell>
          <cell r="W597">
            <v>0.26569999999999999</v>
          </cell>
          <cell r="X597">
            <v>11.148</v>
          </cell>
          <cell r="Y597">
            <v>11.38</v>
          </cell>
          <cell r="AB597">
            <v>0</v>
          </cell>
          <cell r="AC597">
            <v>0.22143753167944227</v>
          </cell>
          <cell r="AD597">
            <v>0.1127858936929947</v>
          </cell>
          <cell r="AE597">
            <v>0.42170005999999999</v>
          </cell>
          <cell r="AF597">
            <v>14.272243569958118</v>
          </cell>
          <cell r="AG597">
            <v>8.5660194035050257</v>
          </cell>
          <cell r="AH597">
            <v>202411</v>
          </cell>
          <cell r="AJ597" t="str">
            <v>GPOC:Prod'n deferred due to biorem limitations, downhole complications.
A1-A3:Prod'n deferred due to buyer's nomination.
PCB:Prod'n deferred due to the low efficiency of PCPs in 9 wells.</v>
          </cell>
        </row>
        <row r="598">
          <cell r="C598">
            <v>45606</v>
          </cell>
          <cell r="D598">
            <v>341359</v>
          </cell>
          <cell r="E598">
            <v>29044</v>
          </cell>
          <cell r="F598">
            <v>24705</v>
          </cell>
          <cell r="G598">
            <v>3985</v>
          </cell>
          <cell r="H598">
            <v>2363</v>
          </cell>
          <cell r="I598">
            <v>137700</v>
          </cell>
          <cell r="J598">
            <v>173209</v>
          </cell>
          <cell r="K598">
            <v>49404.22</v>
          </cell>
          <cell r="L598">
            <v>11937</v>
          </cell>
          <cell r="M598">
            <v>419592</v>
          </cell>
          <cell r="N598">
            <v>7077</v>
          </cell>
          <cell r="O598">
            <v>4558</v>
          </cell>
          <cell r="P598">
            <v>72.584291999999991</v>
          </cell>
          <cell r="Q598">
            <v>0</v>
          </cell>
          <cell r="R598">
            <v>146698.83993140003</v>
          </cell>
          <cell r="S598">
            <v>11.279438873896703</v>
          </cell>
          <cell r="T598">
            <v>0.30432999999999999</v>
          </cell>
          <cell r="U598">
            <v>3.3255839636185495E-3</v>
          </cell>
          <cell r="V598">
            <v>1.7000000000000001E-2</v>
          </cell>
          <cell r="W598">
            <v>0.27144999999999997</v>
          </cell>
          <cell r="X598">
            <v>11.148</v>
          </cell>
          <cell r="Y598">
            <v>11.24</v>
          </cell>
          <cell r="AB598">
            <v>0</v>
          </cell>
          <cell r="AC598">
            <v>0.22087119528128513</v>
          </cell>
          <cell r="AD598">
            <v>0.11151163679714113</v>
          </cell>
          <cell r="AE598">
            <v>0.41490006000000001</v>
          </cell>
          <cell r="AF598">
            <v>13.668868771361501</v>
          </cell>
          <cell r="AG598">
            <v>8.4256838001672651</v>
          </cell>
          <cell r="AH598">
            <v>202411</v>
          </cell>
          <cell r="AJ598" t="str">
            <v>GPOC:Prod'n deferred due to biorem limitations, downhole complications.
A1-A3:Prod'n deferred due to buyer's nomination.
PCB:Prod'n deferred due to the low efficiency of PCPs in 9 wells.</v>
          </cell>
        </row>
        <row r="599">
          <cell r="C599">
            <v>45607</v>
          </cell>
          <cell r="D599">
            <v>344615</v>
          </cell>
          <cell r="E599">
            <v>29453</v>
          </cell>
          <cell r="F599">
            <v>24665.5</v>
          </cell>
          <cell r="G599">
            <v>3972</v>
          </cell>
          <cell r="H599">
            <v>2318</v>
          </cell>
          <cell r="I599">
            <v>137700</v>
          </cell>
          <cell r="J599">
            <v>173753</v>
          </cell>
          <cell r="K599">
            <v>48330.13</v>
          </cell>
          <cell r="L599">
            <v>10546</v>
          </cell>
          <cell r="M599">
            <v>417418</v>
          </cell>
          <cell r="N599">
            <v>7112</v>
          </cell>
          <cell r="O599">
            <v>5011</v>
          </cell>
          <cell r="P599">
            <v>61.325549999999993</v>
          </cell>
          <cell r="Q599">
            <v>0</v>
          </cell>
          <cell r="R599">
            <v>146455.72024749999</v>
          </cell>
          <cell r="S599">
            <v>11.192506236779581</v>
          </cell>
          <cell r="T599">
            <v>0.30387399999999998</v>
          </cell>
          <cell r="U599">
            <v>3.3255839636185495E-3</v>
          </cell>
          <cell r="V599">
            <v>1.7000000000000001E-2</v>
          </cell>
          <cell r="W599">
            <v>0.26655000000000001</v>
          </cell>
          <cell r="X599">
            <v>11.148</v>
          </cell>
          <cell r="Y599">
            <v>11.36</v>
          </cell>
          <cell r="AB599">
            <v>0</v>
          </cell>
          <cell r="AC599">
            <v>0.21945535428589227</v>
          </cell>
          <cell r="AD599">
            <v>0.11151163679714113</v>
          </cell>
          <cell r="AE599">
            <v>0.41040006000000001</v>
          </cell>
          <cell r="AF599">
            <v>12.82420635033</v>
          </cell>
          <cell r="AG599">
            <v>8.3035445464467408</v>
          </cell>
          <cell r="AH599">
            <v>202411</v>
          </cell>
          <cell r="AJ599" t="str">
            <v>Sakhalin-1:New Prod'n data received from operator.
GPOC:Prod'n deferred due to biorem limitations, downhole complications.
A1-A3:Prod'n deferred due to buyer's nomination.
PCB:Prod'n deferred due to the low efficiency of PCPs in 9 wells.</v>
          </cell>
        </row>
        <row r="600">
          <cell r="C600">
            <v>45608</v>
          </cell>
          <cell r="D600">
            <v>358003</v>
          </cell>
          <cell r="E600">
            <v>28943</v>
          </cell>
          <cell r="F600">
            <v>24628.19</v>
          </cell>
          <cell r="G600">
            <v>3827</v>
          </cell>
          <cell r="H600">
            <v>2325</v>
          </cell>
          <cell r="I600">
            <v>137700</v>
          </cell>
          <cell r="J600">
            <v>175523</v>
          </cell>
          <cell r="K600">
            <v>50274.36</v>
          </cell>
          <cell r="L600">
            <v>13382</v>
          </cell>
          <cell r="M600">
            <v>428983</v>
          </cell>
          <cell r="N600">
            <v>7103</v>
          </cell>
          <cell r="O600">
            <v>3933</v>
          </cell>
          <cell r="P600">
            <v>70.634454000000005</v>
          </cell>
          <cell r="Q600">
            <v>0</v>
          </cell>
          <cell r="R600">
            <v>148283.04375430002</v>
          </cell>
          <cell r="S600">
            <v>11.20977949692338</v>
          </cell>
          <cell r="T600">
            <v>0.30117100000000002</v>
          </cell>
          <cell r="U600">
            <v>3.4170472919209278E-3</v>
          </cell>
          <cell r="V600">
            <v>1.7000000000000001E-2</v>
          </cell>
          <cell r="W600">
            <v>0.26658999999999999</v>
          </cell>
          <cell r="X600">
            <v>11.148</v>
          </cell>
          <cell r="Y600">
            <v>11.31</v>
          </cell>
          <cell r="Z600">
            <v>0</v>
          </cell>
          <cell r="AA600">
            <v>0</v>
          </cell>
          <cell r="AB600">
            <v>0</v>
          </cell>
          <cell r="AC600">
            <v>0.21860584968865654</v>
          </cell>
          <cell r="AD600">
            <v>0.11236114139437683</v>
          </cell>
          <cell r="AE600">
            <v>0.41740006000000002</v>
          </cell>
          <cell r="AF600">
            <v>12.328662001942533</v>
          </cell>
          <cell r="AG600">
            <v>8.2095778207430872</v>
          </cell>
          <cell r="AH600">
            <v>202411</v>
          </cell>
          <cell r="AJ600" t="str">
            <v>_x000D_PCB:Prod'n deferred due to the low efficiency of PCPs in 9 wells._x000D_
A1-A3:Prod'n deferred due to buyer's nomination._x000D_
GPOC:Prod'n deferred due to biorem limitations, downhole complications.</v>
          </cell>
        </row>
        <row r="601">
          <cell r="C601">
            <v>45609</v>
          </cell>
          <cell r="D601">
            <v>353108</v>
          </cell>
          <cell r="E601">
            <v>29176</v>
          </cell>
          <cell r="F601">
            <v>24628.41</v>
          </cell>
          <cell r="G601">
            <v>4006</v>
          </cell>
          <cell r="H601">
            <v>2330</v>
          </cell>
          <cell r="I601">
            <v>137700</v>
          </cell>
          <cell r="J601">
            <v>175369</v>
          </cell>
          <cell r="K601">
            <v>49587.06</v>
          </cell>
          <cell r="L601">
            <v>10625</v>
          </cell>
          <cell r="M601">
            <v>337144</v>
          </cell>
          <cell r="N601">
            <v>7088</v>
          </cell>
          <cell r="O601">
            <v>4677</v>
          </cell>
          <cell r="P601">
            <v>62.394815999999999</v>
          </cell>
          <cell r="Q601">
            <v>0</v>
          </cell>
          <cell r="R601">
            <v>144039.11991719998</v>
          </cell>
          <cell r="S601">
            <v>11.671626829620525</v>
          </cell>
          <cell r="T601">
            <v>0.30591400000000002</v>
          </cell>
          <cell r="U601">
            <v>3.4629488569915602E-3</v>
          </cell>
          <cell r="V601">
            <v>1.7000000000000001E-2</v>
          </cell>
          <cell r="W601">
            <v>0.27885000000000004</v>
          </cell>
          <cell r="X601">
            <v>11.148</v>
          </cell>
          <cell r="Y601">
            <v>11.28</v>
          </cell>
          <cell r="Z601">
            <v>0</v>
          </cell>
          <cell r="AA601">
            <v>0</v>
          </cell>
          <cell r="AB601">
            <v>0</v>
          </cell>
          <cell r="AC601">
            <v>0.21464149490155657</v>
          </cell>
          <cell r="AD601">
            <v>0.11380529920967755</v>
          </cell>
          <cell r="AE601">
            <v>0.41730005999999997</v>
          </cell>
          <cell r="AF601">
            <v>12.329228338340691</v>
          </cell>
          <cell r="AG601">
            <v>8.2290524576072546</v>
          </cell>
          <cell r="AH601">
            <v>202411</v>
          </cell>
          <cell r="AJ601" t="str">
            <v>_x000D_PCB:Prod'n deferred due to the low efficiency of PCPs in 9 wells._x000D_
A1-A3:Prod'n deferred due to buyer's nomination._x000D_
GPOC:Prod'n deferred due to biorem limitations, downhole complications._x000D_
LZC:Due to Barge movment &amp; Gas Processing Facility (GPF) Tripped, prod'n deferred.</v>
          </cell>
        </row>
        <row r="602">
          <cell r="C602">
            <v>45610</v>
          </cell>
          <cell r="D602">
            <v>348307</v>
          </cell>
          <cell r="E602">
            <v>29270</v>
          </cell>
          <cell r="F602">
            <v>24639.1</v>
          </cell>
          <cell r="G602">
            <v>4065</v>
          </cell>
          <cell r="H602">
            <v>2366</v>
          </cell>
          <cell r="I602">
            <v>137700</v>
          </cell>
          <cell r="J602">
            <v>176261</v>
          </cell>
          <cell r="K602">
            <v>48192.82</v>
          </cell>
          <cell r="L602">
            <v>12043</v>
          </cell>
          <cell r="M602">
            <v>422586</v>
          </cell>
          <cell r="N602">
            <v>6827</v>
          </cell>
          <cell r="O602">
            <v>4086.9999999999995</v>
          </cell>
          <cell r="P602">
            <v>76.861356000000001</v>
          </cell>
          <cell r="Q602">
            <v>0</v>
          </cell>
          <cell r="R602">
            <v>147381.98611019997</v>
          </cell>
          <cell r="S602">
            <v>11.536555598660049</v>
          </cell>
          <cell r="T602">
            <v>0.29896099999999998</v>
          </cell>
          <cell r="U602">
            <v>2.9884439057955999E-3</v>
          </cell>
          <cell r="V602">
            <v>1.7000000000000001E-2</v>
          </cell>
          <cell r="W602">
            <v>0.29236000000000001</v>
          </cell>
          <cell r="X602">
            <v>11.148</v>
          </cell>
          <cell r="Y602">
            <v>11.19</v>
          </cell>
          <cell r="Z602">
            <v>0</v>
          </cell>
          <cell r="AA602">
            <v>0</v>
          </cell>
          <cell r="AB602">
            <v>0</v>
          </cell>
          <cell r="AC602">
            <v>0.22228703627667795</v>
          </cell>
          <cell r="AD602">
            <v>0.11363539829023041</v>
          </cell>
          <cell r="AE602">
            <v>0.41210005999999999</v>
          </cell>
          <cell r="AF602">
            <v>12.332371505350462</v>
          </cell>
          <cell r="AG602">
            <v>8.2119695482109698</v>
          </cell>
          <cell r="AH602">
            <v>202411</v>
          </cell>
          <cell r="AJ602" t="str">
            <v>_x000D_PCB:_x000D_Prod'n deferred due to the low efficiency of PCPs in 9 wells.
GPOC:Prod'n deferred due to biorem limitations, downhole complications._x000D_
A1-A3:Prod'n deferred due to buyer's nomination._x000D_
Sakhalin-1:New Prod'n data received from operator.</v>
          </cell>
        </row>
        <row r="603">
          <cell r="C603">
            <v>45611</v>
          </cell>
          <cell r="D603">
            <v>353811</v>
          </cell>
          <cell r="E603">
            <v>28239</v>
          </cell>
          <cell r="F603">
            <v>24608.31</v>
          </cell>
          <cell r="G603">
            <v>4119</v>
          </cell>
          <cell r="H603">
            <v>2329</v>
          </cell>
          <cell r="I603">
            <v>148100</v>
          </cell>
          <cell r="J603">
            <v>175525</v>
          </cell>
          <cell r="K603">
            <v>50922.22</v>
          </cell>
          <cell r="L603">
            <v>12209</v>
          </cell>
          <cell r="M603">
            <v>399883</v>
          </cell>
          <cell r="N603">
            <v>7025</v>
          </cell>
          <cell r="O603">
            <v>5231</v>
          </cell>
          <cell r="P603">
            <v>60.507875999999989</v>
          </cell>
          <cell r="Q603">
            <v>0</v>
          </cell>
          <cell r="R603">
            <v>149407.9935442</v>
          </cell>
          <cell r="S603">
            <v>11.663414951847246</v>
          </cell>
          <cell r="T603">
            <v>0.29625899999999999</v>
          </cell>
          <cell r="U603">
            <v>3.26841230422459E-3</v>
          </cell>
          <cell r="V603">
            <v>1.7000000000000001E-2</v>
          </cell>
          <cell r="W603">
            <v>0.28797</v>
          </cell>
          <cell r="X603">
            <v>11.148</v>
          </cell>
          <cell r="Y603">
            <v>11.09</v>
          </cell>
          <cell r="Z603">
            <v>0</v>
          </cell>
          <cell r="AA603">
            <v>0</v>
          </cell>
          <cell r="AB603">
            <v>0</v>
          </cell>
          <cell r="AC603">
            <v>0.22257020447575654</v>
          </cell>
          <cell r="AD603">
            <v>0.11507955610553113</v>
          </cell>
          <cell r="AE603">
            <v>0.41310005999999999</v>
          </cell>
          <cell r="AF603">
            <v>12.471265506998501</v>
          </cell>
          <cell r="AG603">
            <v>8.20942741407878</v>
          </cell>
          <cell r="AH603">
            <v>202411</v>
          </cell>
          <cell r="AJ603" t="str">
            <v>_x000D_PCB:_x000D_Prod'n deferred due to the low efficiency of PCPs in 9 wells.
GPOC:_x000D_Prod'n deferred due to biorem limitations, downhole complications.
A1-A3:Prod'n deferred due to buyer's nomination._x000D_
LZC:Prod'n deferred due to adverse weather conditions.</v>
          </cell>
        </row>
        <row r="604">
          <cell r="C604">
            <v>45612</v>
          </cell>
          <cell r="D604">
            <v>362379</v>
          </cell>
          <cell r="E604">
            <v>27226</v>
          </cell>
          <cell r="F604">
            <v>24566.54</v>
          </cell>
          <cell r="G604">
            <v>4010</v>
          </cell>
          <cell r="H604">
            <v>2291</v>
          </cell>
          <cell r="I604">
            <v>148100</v>
          </cell>
          <cell r="J604">
            <v>174792</v>
          </cell>
          <cell r="K604">
            <v>51166.15</v>
          </cell>
          <cell r="L604">
            <v>12865</v>
          </cell>
          <cell r="M604">
            <v>389453</v>
          </cell>
          <cell r="N604">
            <v>6990</v>
          </cell>
          <cell r="O604">
            <v>4022.9999999999995</v>
          </cell>
          <cell r="P604">
            <v>100.76259599999999</v>
          </cell>
          <cell r="Q604">
            <v>0</v>
          </cell>
          <cell r="R604">
            <v>148405.8856682</v>
          </cell>
          <cell r="S604">
            <v>11.483319977233275</v>
          </cell>
          <cell r="T604">
            <v>0.28581099999999998</v>
          </cell>
          <cell r="U604">
            <v>3.1441297816490019E-3</v>
          </cell>
          <cell r="V604">
            <v>1.7000000000000001E-2</v>
          </cell>
          <cell r="W604">
            <v>0.28711000000000003</v>
          </cell>
          <cell r="X604">
            <v>11.148</v>
          </cell>
          <cell r="Y604">
            <v>11.23</v>
          </cell>
          <cell r="Z604">
            <v>0</v>
          </cell>
          <cell r="AA604">
            <v>0</v>
          </cell>
          <cell r="AB604">
            <v>0</v>
          </cell>
          <cell r="AC604">
            <v>0.21520783129971369</v>
          </cell>
          <cell r="AD604">
            <v>0.11669361484027899</v>
          </cell>
          <cell r="AE604">
            <v>0.41010005999999999</v>
          </cell>
          <cell r="AF604">
            <v>12.464865905699325</v>
          </cell>
          <cell r="AG604">
            <v>8.2341895085291945</v>
          </cell>
          <cell r="AH604">
            <v>202411</v>
          </cell>
          <cell r="AJ604" t="str">
            <v>_x000D_PCB:_x000D_Prod'n deferred due to the low efficiency of PCPs in 9 wells
GPOC:_x000D_Prod'n deferred due to biorem limitations, downhole complications.
A1-A3:Prod'n deferred due to buyer's nomination._x000D_
LZC:Prod'n deferred due to adverse weather conditions.</v>
          </cell>
        </row>
        <row r="605">
          <cell r="C605">
            <v>45613</v>
          </cell>
          <cell r="D605">
            <v>353108</v>
          </cell>
          <cell r="E605">
            <v>27497</v>
          </cell>
          <cell r="F605">
            <v>24547.040000000001</v>
          </cell>
          <cell r="G605">
            <v>4072</v>
          </cell>
          <cell r="H605">
            <v>2247</v>
          </cell>
          <cell r="I605">
            <v>148100</v>
          </cell>
          <cell r="J605">
            <v>174805</v>
          </cell>
          <cell r="K605">
            <v>49154.2</v>
          </cell>
          <cell r="L605">
            <v>11219</v>
          </cell>
          <cell r="M605">
            <v>413094</v>
          </cell>
          <cell r="N605">
            <v>6797</v>
          </cell>
          <cell r="O605">
            <v>4531</v>
          </cell>
          <cell r="P605">
            <v>57.866159999999994</v>
          </cell>
          <cell r="Q605">
            <v>0</v>
          </cell>
          <cell r="R605">
            <v>148392.830522</v>
          </cell>
          <cell r="S605">
            <v>11.723163441852829</v>
          </cell>
          <cell r="T605">
            <v>0.28696199999999999</v>
          </cell>
          <cell r="U605">
            <v>3.3331728713538551E-3</v>
          </cell>
          <cell r="V605">
            <v>1.7000000000000001E-2</v>
          </cell>
          <cell r="W605">
            <v>0.27788000000000002</v>
          </cell>
          <cell r="X605">
            <v>11.148</v>
          </cell>
          <cell r="Y605">
            <v>11.29</v>
          </cell>
          <cell r="Z605">
            <v>0</v>
          </cell>
          <cell r="AA605">
            <v>0</v>
          </cell>
          <cell r="AB605">
            <v>0</v>
          </cell>
          <cell r="AC605">
            <v>0.22087119528128513</v>
          </cell>
          <cell r="AD605">
            <v>0.11408846740875613</v>
          </cell>
          <cell r="AE605">
            <v>0.40250005999999999</v>
          </cell>
          <cell r="AF605">
            <v>12.461920956428909</v>
          </cell>
          <cell r="AG605">
            <v>8.2436782997215019</v>
          </cell>
          <cell r="AH605">
            <v>202411</v>
          </cell>
          <cell r="AJ605" t="str">
            <v>_x000D_PCB:Prod'n deferred due to the low efficiency of PCPs in 9 wells_x000D_
GPOC:_x000D_Prod'n deferred due to biorem limitations, downhole complications.
A1-A3:Prod'n deferred due to buyer's nomination.</v>
          </cell>
        </row>
        <row r="606">
          <cell r="C606">
            <v>45614</v>
          </cell>
          <cell r="D606">
            <v>352852</v>
          </cell>
          <cell r="E606">
            <v>27340</v>
          </cell>
          <cell r="F606">
            <v>24543.43</v>
          </cell>
          <cell r="G606">
            <v>4041</v>
          </cell>
          <cell r="H606">
            <v>2274</v>
          </cell>
          <cell r="I606">
            <v>148100</v>
          </cell>
          <cell r="J606">
            <v>174122</v>
          </cell>
          <cell r="K606">
            <v>50705.83</v>
          </cell>
          <cell r="L606">
            <v>10726</v>
          </cell>
          <cell r="M606">
            <v>408323</v>
          </cell>
          <cell r="N606">
            <v>6812</v>
          </cell>
          <cell r="O606">
            <v>4482</v>
          </cell>
          <cell r="P606">
            <v>15.535806000000001</v>
          </cell>
          <cell r="Q606">
            <v>0</v>
          </cell>
          <cell r="R606">
            <v>148215.47811270002</v>
          </cell>
          <cell r="S606">
            <v>11.727694133038085</v>
          </cell>
          <cell r="T606">
            <v>0.28356199999999998</v>
          </cell>
          <cell r="U606">
            <v>3.3535326648676E-3</v>
          </cell>
          <cell r="V606">
            <v>1.7000000000000001E-2</v>
          </cell>
          <cell r="W606">
            <v>0.27222000000000002</v>
          </cell>
          <cell r="X606">
            <v>11.148</v>
          </cell>
          <cell r="Y606">
            <v>11.3</v>
          </cell>
          <cell r="Z606">
            <v>0</v>
          </cell>
          <cell r="AA606">
            <v>0</v>
          </cell>
          <cell r="AB606">
            <v>0</v>
          </cell>
          <cell r="AC606">
            <v>0.2296494094527208</v>
          </cell>
          <cell r="AD606">
            <v>0.11553262522405683</v>
          </cell>
          <cell r="AE606">
            <v>0.39990006</v>
          </cell>
          <cell r="AF606">
            <v>12.374705151112709</v>
          </cell>
          <cell r="AG606">
            <v>8.2253936540753543</v>
          </cell>
          <cell r="AH606">
            <v>202411</v>
          </cell>
          <cell r="AJ606" t="str">
            <v>_x000D_PCB:Prod'n deferred due to the low efficiency of PCPs in 9 wells
_x000D_A1-A3:Prod'n deferred due to buyer's nomination._x000D_
GPOC:Prod'n deferred due to biorem limitations, downhole complications.</v>
          </cell>
        </row>
        <row r="607">
          <cell r="C607">
            <v>45615</v>
          </cell>
          <cell r="D607">
            <v>350010</v>
          </cell>
          <cell r="E607">
            <v>24698</v>
          </cell>
          <cell r="F607">
            <v>24433</v>
          </cell>
          <cell r="G607">
            <v>3985</v>
          </cell>
          <cell r="H607">
            <v>2233</v>
          </cell>
          <cell r="I607">
            <v>148100</v>
          </cell>
          <cell r="J607">
            <v>166373</v>
          </cell>
          <cell r="K607">
            <v>49800.37</v>
          </cell>
          <cell r="L607">
            <v>12056</v>
          </cell>
          <cell r="M607">
            <v>428510</v>
          </cell>
          <cell r="N607">
            <v>6820</v>
          </cell>
          <cell r="O607">
            <v>4617</v>
          </cell>
          <cell r="P607">
            <v>89.566751999999994</v>
          </cell>
          <cell r="Q607">
            <v>0</v>
          </cell>
          <cell r="R607">
            <v>146248.14003839999</v>
          </cell>
          <cell r="S607">
            <v>12.012844509510204</v>
          </cell>
          <cell r="T607">
            <v>0.27379500000000001</v>
          </cell>
          <cell r="U607">
            <v>3.3864934432403502E-3</v>
          </cell>
          <cell r="V607">
            <v>1.7000000000000001E-2</v>
          </cell>
          <cell r="W607">
            <v>0.26839999999999997</v>
          </cell>
          <cell r="X607">
            <v>11.148</v>
          </cell>
          <cell r="Y607">
            <v>11.09</v>
          </cell>
          <cell r="Z607">
            <v>0</v>
          </cell>
          <cell r="AA607">
            <v>0</v>
          </cell>
          <cell r="AB607">
            <v>0</v>
          </cell>
          <cell r="AC607">
            <v>0.23049891404995654</v>
          </cell>
          <cell r="AD607">
            <v>0.11822272311530324</v>
          </cell>
          <cell r="AE607">
            <v>0.39840006</v>
          </cell>
          <cell r="AF607">
            <v>12.209957892888795</v>
          </cell>
          <cell r="AG607">
            <v>8.1451877358961529</v>
          </cell>
          <cell r="AH607">
            <v>202411</v>
          </cell>
          <cell r="AJ607" t="str">
            <v>_x000D_PCB:Prod'n deferred due to the low efficiency of PCPs in 9 wells._x000D_
A1-A3:Prod'n deferred due to buyer's nomination._x000D_
GPOC:Prod'n deferred due to biorem limitations, downhole complications._x000D_
Sakhalin-1:New Prod'n data received from operator &amp; prod'n deferred due to overhaul of module 3 consists of Gas Turbine Compressor (GTC) in Chayvo.</v>
          </cell>
        </row>
        <row r="608">
          <cell r="C608">
            <v>45616</v>
          </cell>
          <cell r="D608">
            <v>358831</v>
          </cell>
          <cell r="E608">
            <v>25453</v>
          </cell>
          <cell r="F608">
            <v>24460</v>
          </cell>
          <cell r="G608">
            <v>3967</v>
          </cell>
          <cell r="H608">
            <v>2208</v>
          </cell>
          <cell r="I608">
            <v>148100</v>
          </cell>
          <cell r="J608">
            <v>173392</v>
          </cell>
          <cell r="K608">
            <v>50509.75</v>
          </cell>
          <cell r="L608">
            <v>10036</v>
          </cell>
          <cell r="M608">
            <v>439660</v>
          </cell>
          <cell r="N608">
            <v>6561</v>
          </cell>
          <cell r="O608">
            <v>4824</v>
          </cell>
          <cell r="P608">
            <v>59.753099999999996</v>
          </cell>
          <cell r="Q608">
            <v>0</v>
          </cell>
          <cell r="R608">
            <v>148696.758145</v>
          </cell>
          <cell r="S608">
            <v>11.825387161720187</v>
          </cell>
          <cell r="T608">
            <v>0.26735300000000001</v>
          </cell>
          <cell r="U608">
            <v>3.2810699227234E-3</v>
          </cell>
          <cell r="V608">
            <v>1.7000000000000001E-2</v>
          </cell>
          <cell r="W608">
            <v>0.26805000000000001</v>
          </cell>
          <cell r="X608">
            <v>11.148</v>
          </cell>
          <cell r="Y608">
            <v>11.13</v>
          </cell>
          <cell r="Z608">
            <v>0</v>
          </cell>
          <cell r="AA608">
            <v>0</v>
          </cell>
          <cell r="AB608">
            <v>0</v>
          </cell>
          <cell r="AC608">
            <v>0.23191475504534936</v>
          </cell>
          <cell r="AD608">
            <v>0.11125678541797041</v>
          </cell>
          <cell r="AE608">
            <v>0.39390006</v>
          </cell>
          <cell r="AF608">
            <v>12.203360073850266</v>
          </cell>
          <cell r="AG608">
            <v>8.1421642102029441</v>
          </cell>
          <cell r="AH608">
            <v>202411</v>
          </cell>
          <cell r="AJ608" t="str">
            <v>_x000D_PCB:Prod'n deferred due to the low efficiency of PCPs in 9 wells._x000D_
A1-A3:Prod'n deferred due to buyer's nomination._x000D_
GPOC:Prod'n deferred due to biorem limitations, downhole complications.</v>
          </cell>
        </row>
        <row r="609">
          <cell r="C609">
            <v>45617</v>
          </cell>
          <cell r="D609">
            <v>340353</v>
          </cell>
          <cell r="E609">
            <v>25484</v>
          </cell>
          <cell r="F609">
            <v>24490</v>
          </cell>
          <cell r="G609">
            <v>3766</v>
          </cell>
          <cell r="H609">
            <v>2240</v>
          </cell>
          <cell r="I609">
            <v>148100</v>
          </cell>
          <cell r="J609">
            <v>174264</v>
          </cell>
          <cell r="K609">
            <v>50219.05</v>
          </cell>
          <cell r="L609">
            <v>11979</v>
          </cell>
          <cell r="M609">
            <v>445352</v>
          </cell>
          <cell r="N609">
            <v>6608</v>
          </cell>
          <cell r="O609">
            <v>4863</v>
          </cell>
          <cell r="P609">
            <v>91.390793999999985</v>
          </cell>
          <cell r="Q609">
            <v>0</v>
          </cell>
          <cell r="R609">
            <v>149002.62735730002</v>
          </cell>
          <cell r="S609">
            <v>11.884569315327612</v>
          </cell>
          <cell r="T609">
            <v>0.27060000000000001</v>
          </cell>
          <cell r="U609">
            <v>3.3705227568123185E-3</v>
          </cell>
          <cell r="V609">
            <v>1.7000000000000001E-2</v>
          </cell>
          <cell r="W609">
            <v>0.27512999999999999</v>
          </cell>
          <cell r="X609">
            <v>11.148</v>
          </cell>
          <cell r="Y609">
            <v>11.16</v>
          </cell>
          <cell r="Z609">
            <v>0</v>
          </cell>
          <cell r="AA609">
            <v>0</v>
          </cell>
          <cell r="AB609">
            <v>0</v>
          </cell>
          <cell r="AC609">
            <v>0.22087119528128513</v>
          </cell>
          <cell r="AD609">
            <v>0.11253104231382399</v>
          </cell>
          <cell r="AE609">
            <v>0.39900005999999999</v>
          </cell>
          <cell r="AF609">
            <v>12.210156110628152</v>
          </cell>
          <cell r="AG609">
            <v>8.1624598326163582</v>
          </cell>
          <cell r="AH609">
            <v>202411</v>
          </cell>
          <cell r="AJ609" t="str">
            <v>_x000D_PCB:Prod'n deferred due to the low efficiency of PCPs in 23 wells._x000D_
A1-A3:Prod'n deferred due to buyer's nomination._x000D_
GPOC:Prod'n deferred due to biorem limitations, downhole complications.</v>
          </cell>
        </row>
        <row r="610">
          <cell r="C610">
            <v>45618</v>
          </cell>
          <cell r="D610">
            <v>361118</v>
          </cell>
          <cell r="E610">
            <v>25352</v>
          </cell>
          <cell r="F610">
            <v>24488</v>
          </cell>
          <cell r="G610">
            <v>3716</v>
          </cell>
          <cell r="H610">
            <v>2237</v>
          </cell>
          <cell r="I610">
            <v>155865</v>
          </cell>
          <cell r="J610">
            <v>174903</v>
          </cell>
          <cell r="K610">
            <v>49544.51</v>
          </cell>
          <cell r="L610">
            <v>11366</v>
          </cell>
          <cell r="M610">
            <v>437505</v>
          </cell>
          <cell r="N610">
            <v>6809</v>
          </cell>
          <cell r="O610">
            <v>3985</v>
          </cell>
          <cell r="P610">
            <v>67.237961999999996</v>
          </cell>
          <cell r="Q610">
            <v>0</v>
          </cell>
          <cell r="R610">
            <v>150293.7435829</v>
          </cell>
          <cell r="S610">
            <v>11.834731712289784</v>
          </cell>
          <cell r="T610">
            <v>0.26847900000000002</v>
          </cell>
          <cell r="U610">
            <v>3.2302978646286101E-3</v>
          </cell>
          <cell r="V610">
            <v>1.7000000000000001E-2</v>
          </cell>
          <cell r="W610">
            <v>0.26732999999999996</v>
          </cell>
          <cell r="X610">
            <v>11.148</v>
          </cell>
          <cell r="Y610">
            <v>11.33</v>
          </cell>
          <cell r="Z610">
            <v>0</v>
          </cell>
          <cell r="AA610">
            <v>0</v>
          </cell>
          <cell r="AB610">
            <v>0</v>
          </cell>
          <cell r="AC610">
            <v>0.23814445542507792</v>
          </cell>
          <cell r="AD610">
            <v>0.11567420932359612</v>
          </cell>
          <cell r="AE610">
            <v>0.39760005999999998</v>
          </cell>
          <cell r="AF610">
            <v>12.199112550864086</v>
          </cell>
          <cell r="AG610">
            <v>8.1973811755628088</v>
          </cell>
          <cell r="AH610">
            <v>202411</v>
          </cell>
          <cell r="AJ610" t="str">
            <v>_x000D_
PCB:Prod'n deferred due to the low efficiency of PCPs in 23 wells._x000D_
GPOC:Prod'n deferred due to biorem limitations, downhole complications._x000D_
A1-A3:Prod'n deferred due to buyer's nomination.</v>
          </cell>
        </row>
        <row r="611">
          <cell r="C611">
            <v>45619</v>
          </cell>
          <cell r="D611">
            <v>337609</v>
          </cell>
          <cell r="E611">
            <v>25132</v>
          </cell>
          <cell r="F611">
            <v>24467</v>
          </cell>
          <cell r="G611">
            <v>3743</v>
          </cell>
          <cell r="H611">
            <v>2217</v>
          </cell>
          <cell r="I611">
            <v>155865</v>
          </cell>
          <cell r="J611">
            <v>171683</v>
          </cell>
          <cell r="K611">
            <v>49059.19</v>
          </cell>
          <cell r="L611">
            <v>11138</v>
          </cell>
          <cell r="M611">
            <v>444387</v>
          </cell>
          <cell r="N611">
            <v>7025</v>
          </cell>
          <cell r="O611">
            <v>4307</v>
          </cell>
          <cell r="P611">
            <v>67.866941999999995</v>
          </cell>
          <cell r="Q611">
            <v>0</v>
          </cell>
          <cell r="R611">
            <v>148940.09337389999</v>
          </cell>
          <cell r="S611">
            <v>11.716933741473099</v>
          </cell>
          <cell r="T611">
            <v>0.26588000000000001</v>
          </cell>
          <cell r="U611">
            <v>3.2159695537552348E-3</v>
          </cell>
          <cell r="V611">
            <v>1.7000000000000001E-2</v>
          </cell>
          <cell r="W611">
            <v>0.26362000000000002</v>
          </cell>
          <cell r="X611">
            <v>11.148</v>
          </cell>
          <cell r="Y611">
            <v>11.4</v>
          </cell>
          <cell r="Z611">
            <v>0</v>
          </cell>
          <cell r="AA611">
            <v>0</v>
          </cell>
          <cell r="AB611">
            <v>0</v>
          </cell>
          <cell r="AC611">
            <v>0.23927712822139219</v>
          </cell>
          <cell r="AD611">
            <v>0.11864747541392112</v>
          </cell>
          <cell r="AE611">
            <v>0.39030003000000002</v>
          </cell>
          <cell r="AF611">
            <v>12.256454111177499</v>
          </cell>
          <cell r="AG611">
            <v>8.2154907772958143</v>
          </cell>
          <cell r="AH611">
            <v>202411</v>
          </cell>
          <cell r="AJ611" t="str">
            <v>_x000D_
PCB:Prod'n deferred due to the low efficiency of PCPs in 23 wells._x000D_
GPOC:Prod'n deferred due to biorem limitations, downhole complications._x000D_
A1-A3:Prod'n deferred due to buyer's nomination.</v>
          </cell>
        </row>
        <row r="612">
          <cell r="C612">
            <v>45620</v>
          </cell>
          <cell r="D612">
            <v>337881</v>
          </cell>
          <cell r="E612">
            <v>25314</v>
          </cell>
          <cell r="F612">
            <v>24450</v>
          </cell>
          <cell r="G612">
            <v>3714</v>
          </cell>
          <cell r="H612">
            <v>2232</v>
          </cell>
          <cell r="I612">
            <v>155865</v>
          </cell>
          <cell r="J612">
            <v>175950</v>
          </cell>
          <cell r="K612">
            <v>49721.120000000003</v>
          </cell>
          <cell r="L612">
            <v>12983</v>
          </cell>
          <cell r="M612">
            <v>439502</v>
          </cell>
          <cell r="N612">
            <v>6987</v>
          </cell>
          <cell r="O612">
            <v>4090</v>
          </cell>
          <cell r="P612">
            <v>77.301641999999987</v>
          </cell>
          <cell r="Q612">
            <v>0</v>
          </cell>
          <cell r="R612">
            <v>150423.66373890001</v>
          </cell>
          <cell r="S612">
            <v>11.652654560282258</v>
          </cell>
          <cell r="T612">
            <v>0.261048</v>
          </cell>
          <cell r="U612">
            <v>3.34418811429801E-3</v>
          </cell>
          <cell r="V612">
            <v>1.7000000000000001E-2</v>
          </cell>
          <cell r="W612">
            <v>0.26569999999999999</v>
          </cell>
          <cell r="X612">
            <v>11.148</v>
          </cell>
          <cell r="Y612">
            <v>11.67</v>
          </cell>
          <cell r="Z612">
            <v>0</v>
          </cell>
          <cell r="AA612">
            <v>0</v>
          </cell>
          <cell r="AB612">
            <v>0</v>
          </cell>
          <cell r="AC612">
            <v>0.23927712822139219</v>
          </cell>
          <cell r="AD612">
            <v>0.11253104231382399</v>
          </cell>
          <cell r="AE612">
            <v>0.37150003000000004</v>
          </cell>
          <cell r="AF612">
            <v>12.30161943893053</v>
          </cell>
          <cell r="AG612">
            <v>8.2814472567163371</v>
          </cell>
          <cell r="AH612">
            <v>202411</v>
          </cell>
          <cell r="AJ612" t="str">
            <v>_x000D_
PCB:Prod'n deferred due to the low efficiency of PCPs in 23 wells._x000D_
GPOC:Prod'n deferred due to biorem limitations, downhole complications._x000D_
A1-A3:Prod'n deferred due to buyer's nomination.</v>
          </cell>
        </row>
        <row r="613">
          <cell r="C613">
            <v>45621</v>
          </cell>
          <cell r="D613">
            <v>351422</v>
          </cell>
          <cell r="E613">
            <v>22711</v>
          </cell>
          <cell r="F613">
            <v>24468</v>
          </cell>
          <cell r="G613">
            <v>3717</v>
          </cell>
          <cell r="H613">
            <v>2229</v>
          </cell>
          <cell r="I613">
            <v>155865</v>
          </cell>
          <cell r="J613">
            <v>174542</v>
          </cell>
          <cell r="K613">
            <v>51064.36</v>
          </cell>
          <cell r="L613">
            <v>10665</v>
          </cell>
          <cell r="M613">
            <v>433202</v>
          </cell>
          <cell r="N613">
            <v>7006</v>
          </cell>
          <cell r="O613">
            <v>5412</v>
          </cell>
          <cell r="P613">
            <v>55.664729999999992</v>
          </cell>
          <cell r="Q613">
            <v>0</v>
          </cell>
          <cell r="R613">
            <v>149807.69387849997</v>
          </cell>
          <cell r="S613">
            <v>12.208513735073499</v>
          </cell>
          <cell r="T613">
            <v>0.25</v>
          </cell>
          <cell r="U613">
            <v>3.3820760193347199E-3</v>
          </cell>
          <cell r="V613">
            <v>1.7000000000000001E-2</v>
          </cell>
          <cell r="W613">
            <v>0.26399</v>
          </cell>
          <cell r="X613">
            <v>11.148</v>
          </cell>
          <cell r="Y613">
            <v>11.82</v>
          </cell>
          <cell r="Z613">
            <v>0</v>
          </cell>
          <cell r="AA613">
            <v>0</v>
          </cell>
          <cell r="AB613">
            <v>0</v>
          </cell>
          <cell r="AC613">
            <v>0.23418010063797792</v>
          </cell>
          <cell r="AD613">
            <v>0.11842094085465826</v>
          </cell>
          <cell r="AE613">
            <v>0.38260003000000004</v>
          </cell>
          <cell r="AF613">
            <v>12.459060957618215</v>
          </cell>
          <cell r="AG613">
            <v>8.365595043671572</v>
          </cell>
          <cell r="AH613">
            <v>202411</v>
          </cell>
          <cell r="AJ613" t="str">
            <v>_x000D_
PCB:Prod'n deferred due to the low efficiency of PCPs in 23 wells._x000D_
GPOC:Prod'n deferred due to biorem limitations, downhole complications._x000D_
A1-A3:Prod'n deferred due to buyer's nomination._x000D_
_x000D_BC-10:Prod'n deferred due to no flaring due to maintenance activites.
MECL: PCP rods of 3 wells broken, waiting for WO rig.</v>
          </cell>
        </row>
        <row r="614">
          <cell r="C614">
            <v>45622</v>
          </cell>
          <cell r="D614">
            <v>354779</v>
          </cell>
          <cell r="E614">
            <v>24950</v>
          </cell>
          <cell r="F614">
            <v>24438</v>
          </cell>
          <cell r="G614">
            <v>3749</v>
          </cell>
          <cell r="H614">
            <v>2235</v>
          </cell>
          <cell r="I614">
            <v>155865</v>
          </cell>
          <cell r="J614">
            <v>174028</v>
          </cell>
          <cell r="K614">
            <v>51270.93</v>
          </cell>
          <cell r="L614">
            <v>10613</v>
          </cell>
          <cell r="M614">
            <v>429807</v>
          </cell>
          <cell r="N614">
            <v>6968</v>
          </cell>
          <cell r="O614">
            <v>4134</v>
          </cell>
          <cell r="P614">
            <v>102.397944</v>
          </cell>
          <cell r="Q614">
            <v>0</v>
          </cell>
          <cell r="R614">
            <v>149786.72357480001</v>
          </cell>
          <cell r="S614">
            <v>12.713119465831509</v>
          </cell>
          <cell r="T614">
            <v>0.265963</v>
          </cell>
          <cell r="U614">
            <v>3.4042480893225801E-3</v>
          </cell>
          <cell r="V614">
            <v>1.7000000000000001E-2</v>
          </cell>
          <cell r="W614">
            <v>0.26219999999999999</v>
          </cell>
          <cell r="X614">
            <v>11.148</v>
          </cell>
          <cell r="Y614">
            <v>11.68</v>
          </cell>
          <cell r="Z614">
            <v>0</v>
          </cell>
          <cell r="AA614">
            <v>0</v>
          </cell>
          <cell r="AB614">
            <v>0</v>
          </cell>
          <cell r="AC614">
            <v>0.2355959416333708</v>
          </cell>
          <cell r="AD614">
            <v>0.1127858936929947</v>
          </cell>
          <cell r="AE614">
            <v>0.38900003000000005</v>
          </cell>
          <cell r="AF614">
            <v>12.457163730684389</v>
          </cell>
          <cell r="AG614">
            <v>8.3469494868113117</v>
          </cell>
          <cell r="AH614">
            <v>202411</v>
          </cell>
          <cell r="AJ614" t="str">
            <v>_x000D_
PCB:Prod'n deferred due to the low efficiency of PCPs in 23 wells._x000D_
GPOC:Prod'n deferred due to biorem limitations, downhole complications._x000D_
A1-A3:Prod'n deferred due to buyer's nomination._x000D_
MECL: PCP rods of 3 wells broken, waiting for WO rig._x000D_
BC-10:Prod'n deferred due to no flaring due to maintenance activites.</v>
          </cell>
        </row>
        <row r="615">
          <cell r="C615">
            <v>45623</v>
          </cell>
          <cell r="D615">
            <v>351880</v>
          </cell>
          <cell r="E615">
            <v>25264</v>
          </cell>
          <cell r="F615">
            <v>24434</v>
          </cell>
          <cell r="G615">
            <v>3817</v>
          </cell>
          <cell r="H615">
            <v>2213</v>
          </cell>
          <cell r="I615">
            <v>155865</v>
          </cell>
          <cell r="J615">
            <v>172934</v>
          </cell>
          <cell r="K615">
            <v>51748.87</v>
          </cell>
          <cell r="L615">
            <v>11983</v>
          </cell>
          <cell r="M615">
            <v>422137</v>
          </cell>
          <cell r="N615">
            <v>6955</v>
          </cell>
          <cell r="O615">
            <v>4553</v>
          </cell>
          <cell r="P615">
            <v>68.558819999999997</v>
          </cell>
          <cell r="Q615">
            <v>0</v>
          </cell>
          <cell r="R615">
            <v>149805.60771899999</v>
          </cell>
          <cell r="S615">
            <v>13.61189532970689</v>
          </cell>
          <cell r="T615">
            <v>0.26814100000000002</v>
          </cell>
          <cell r="U615">
            <v>3.4079575927305102E-3</v>
          </cell>
          <cell r="V615">
            <v>1.7000000000000001E-2</v>
          </cell>
          <cell r="W615">
            <v>0.26300000000000001</v>
          </cell>
          <cell r="X615">
            <v>11.148</v>
          </cell>
          <cell r="Y615">
            <v>11.16</v>
          </cell>
          <cell r="Z615">
            <v>0</v>
          </cell>
          <cell r="AA615">
            <v>0</v>
          </cell>
          <cell r="AB615">
            <v>0</v>
          </cell>
          <cell r="AC615">
            <v>0.23729495082784224</v>
          </cell>
          <cell r="AD615">
            <v>0.11408846740875613</v>
          </cell>
          <cell r="AE615">
            <v>0.38130003000000001</v>
          </cell>
          <cell r="AF615">
            <v>12.444081359886958</v>
          </cell>
          <cell r="AG615">
            <v>8.2344482549441853</v>
          </cell>
          <cell r="AH615">
            <v>202411</v>
          </cell>
          <cell r="AJ615" t="str">
            <v>_x000D_
PCB:Prod'n deferred due to the low efficiency of PCPs in 23 wells._x000D_
GPOC:Prod'n deferred due to biorem limitations, downhole complications._x000D_
A1-A3:Prod'n deferred due to buyer's nomination._x000D_
MECL: PCP rods of 3 wells broken, waiting for WO rig._x000D_
BC-10:Prod'n deferred due to no flaring due to maintenance activites._x000D_
Sakhalin:New Gas prod'n data received from operator.</v>
          </cell>
        </row>
        <row r="616">
          <cell r="C616">
            <v>45624</v>
          </cell>
          <cell r="D616">
            <v>351205</v>
          </cell>
          <cell r="E616">
            <v>25220</v>
          </cell>
          <cell r="F616">
            <v>24416.23</v>
          </cell>
          <cell r="G616">
            <v>3819</v>
          </cell>
          <cell r="H616">
            <v>2220</v>
          </cell>
          <cell r="I616">
            <v>155865</v>
          </cell>
          <cell r="J616">
            <v>174424</v>
          </cell>
          <cell r="K616">
            <v>52019.65</v>
          </cell>
          <cell r="L616">
            <v>15750</v>
          </cell>
          <cell r="M616">
            <v>332264</v>
          </cell>
          <cell r="N616">
            <v>6768</v>
          </cell>
          <cell r="O616">
            <v>4565</v>
          </cell>
          <cell r="P616">
            <v>126.86526600000001</v>
          </cell>
          <cell r="Q616">
            <v>0</v>
          </cell>
          <cell r="R616">
            <v>147548.9766197</v>
          </cell>
          <cell r="S616">
            <v>13.547049812117901</v>
          </cell>
          <cell r="T616">
            <v>0.27074999999999999</v>
          </cell>
          <cell r="U616">
            <v>3.4079575927305102E-3</v>
          </cell>
          <cell r="V616">
            <v>1.7000000000000001E-2</v>
          </cell>
          <cell r="W616">
            <v>0.26693</v>
          </cell>
          <cell r="X616">
            <v>11.148</v>
          </cell>
          <cell r="Y616">
            <v>11.22</v>
          </cell>
          <cell r="Z616">
            <v>0</v>
          </cell>
          <cell r="AA616">
            <v>0</v>
          </cell>
          <cell r="AB616">
            <v>0</v>
          </cell>
          <cell r="AC616">
            <v>0.2355959416333708</v>
          </cell>
          <cell r="AD616">
            <v>0.1127858936929947</v>
          </cell>
          <cell r="AE616">
            <v>0.39090003000000001</v>
          </cell>
          <cell r="AF616">
            <v>12.46030689769416</v>
          </cell>
          <cell r="AG616">
            <v>8.2591563744842365</v>
          </cell>
          <cell r="AH616">
            <v>202411</v>
          </cell>
          <cell r="AJ616" t="str">
            <v>_x000D_
PCB:Prod'n deferred due to the low efficiency of PCPs in 23 wells._x000D_
GPOC:Prod'n deferred due to biorem limitations, downhole complications._x000D_
A1-A3:Prod'n deferred due to buyer's nomination._x000D_
MECL: PCP rods of 3 wells broken, waiting for WO rig._x000D_
BC-10:Prod'n deferred due to no flaring due to maintenance activites._x000D_
LZC:Blackout of Zakum Central Super Complex.</v>
          </cell>
        </row>
        <row r="617">
          <cell r="C617">
            <v>45625</v>
          </cell>
          <cell r="D617">
            <v>369497</v>
          </cell>
          <cell r="E617">
            <v>21799</v>
          </cell>
          <cell r="F617">
            <v>7747.31</v>
          </cell>
          <cell r="G617">
            <v>3767</v>
          </cell>
          <cell r="H617">
            <v>2181</v>
          </cell>
          <cell r="I617">
            <v>154326</v>
          </cell>
          <cell r="J617">
            <v>172572</v>
          </cell>
          <cell r="K617">
            <v>52483.91</v>
          </cell>
          <cell r="L617">
            <v>10964</v>
          </cell>
          <cell r="M617">
            <v>331399</v>
          </cell>
          <cell r="N617">
            <v>6786</v>
          </cell>
          <cell r="O617">
            <v>5030</v>
          </cell>
          <cell r="P617">
            <v>67.866941999999995</v>
          </cell>
          <cell r="Q617">
            <v>0</v>
          </cell>
          <cell r="R617">
            <v>133726.0568739</v>
          </cell>
          <cell r="S617">
            <v>13.720631918153062</v>
          </cell>
          <cell r="T617">
            <v>0.242399</v>
          </cell>
          <cell r="U617">
            <v>3.4079575927305102E-3</v>
          </cell>
          <cell r="V617">
            <v>1.7000000000000001E-2</v>
          </cell>
          <cell r="W617">
            <v>0.27109</v>
          </cell>
          <cell r="X617">
            <v>11.148</v>
          </cell>
          <cell r="Y617">
            <v>11.28</v>
          </cell>
          <cell r="Z617">
            <v>0</v>
          </cell>
          <cell r="AA617">
            <v>0</v>
          </cell>
          <cell r="AB617">
            <v>0</v>
          </cell>
          <cell r="AC617">
            <v>0.23531277343429224</v>
          </cell>
          <cell r="AD617">
            <v>0.11995004912968253</v>
          </cell>
          <cell r="AE617">
            <v>0.38500003000000005</v>
          </cell>
          <cell r="AF617">
            <v>12.453171059077381</v>
          </cell>
          <cell r="AG617">
            <v>8.2753053021936882</v>
          </cell>
          <cell r="AH617">
            <v>202411</v>
          </cell>
          <cell r="AJ617" t="str">
            <v>_x000D_PCB:Prod'n deferred due to the low efficiency of PCPs in 23 wells._x000D_
CPO-5:Wells closed to SAR Energy's staff cessation of activities._x000D_
BC-10:Prod'n deferred due to no flaring due to maintenance activites._x000D_
GPOC:Prod'n deferred due to biorem limitations, downhole complications._x000D_
MECL: PCP rods of 3 wells broken, waiting for WO rig._x000D_
A1-A3:Prod'n deferred due to buyer's nomination._x000D_
LZC:Blackout of Zakum Central Super Complex.</v>
          </cell>
        </row>
        <row r="618">
          <cell r="C618">
            <v>45626</v>
          </cell>
          <cell r="D618">
            <v>359465</v>
          </cell>
          <cell r="E618">
            <v>21006</v>
          </cell>
          <cell r="F618">
            <v>7747.31</v>
          </cell>
          <cell r="G618">
            <v>3765</v>
          </cell>
          <cell r="H618">
            <v>2222</v>
          </cell>
          <cell r="I618">
            <v>154326</v>
          </cell>
          <cell r="J618">
            <v>172101</v>
          </cell>
          <cell r="K618">
            <v>50395.81</v>
          </cell>
          <cell r="L618">
            <v>11342</v>
          </cell>
          <cell r="M618">
            <v>450487</v>
          </cell>
          <cell r="N618">
            <v>6782</v>
          </cell>
          <cell r="O618">
            <v>3798</v>
          </cell>
          <cell r="P618">
            <v>86.987933999999996</v>
          </cell>
          <cell r="Q618">
            <v>0</v>
          </cell>
          <cell r="R618">
            <v>136984.1028203</v>
          </cell>
          <cell r="S618">
            <v>13.54676664391882</v>
          </cell>
          <cell r="T618">
            <v>0.23302200000000001</v>
          </cell>
          <cell r="U618">
            <v>3.4079575927305102E-3</v>
          </cell>
          <cell r="V618">
            <v>1.7000000000000001E-2</v>
          </cell>
          <cell r="W618">
            <v>0.27056999999999998</v>
          </cell>
          <cell r="X618">
            <v>11.148</v>
          </cell>
          <cell r="Y618">
            <v>11.43</v>
          </cell>
          <cell r="Z618">
            <v>0</v>
          </cell>
          <cell r="AA618">
            <v>0</v>
          </cell>
          <cell r="AB618">
            <v>0</v>
          </cell>
          <cell r="AC618">
            <v>0.23248109144350654</v>
          </cell>
          <cell r="AD618">
            <v>0.11864747541392112</v>
          </cell>
          <cell r="AE618">
            <v>0.38790003000000001</v>
          </cell>
          <cell r="AF618">
            <v>12.502923711655486</v>
          </cell>
          <cell r="AG618">
            <v>8.3150983893553239</v>
          </cell>
          <cell r="AH618">
            <v>202411</v>
          </cell>
          <cell r="AI618" t="str">
            <v>Prev. day data for CPO-5.</v>
          </cell>
          <cell r="AJ618" t="str">
            <v>_x000D_PCB:Prod'n deferred due to the low efficiency of PCPs in 23 wells._x000D_
BC-10:Prod'n deferred due to no flaring due to maintenance activites._x000D_
GPOC:Prod'n deferred due to biorem limitations, downhole complications._x000D_
MECL: PCP rods of 3 wells broken, waiting for WO rig._x000D_
A1-A3:Prod'n deferred due to buyer's nomination._x000D_
CPO-5:Wells closed to SAR Energy's staff cessation of activities.</v>
          </cell>
        </row>
        <row r="619">
          <cell r="C619">
            <v>45627</v>
          </cell>
          <cell r="D619">
            <v>360983</v>
          </cell>
          <cell r="E619">
            <v>21792</v>
          </cell>
          <cell r="F619">
            <v>1720.55</v>
          </cell>
          <cell r="G619">
            <v>3894</v>
          </cell>
          <cell r="H619">
            <v>2246</v>
          </cell>
          <cell r="I619">
            <v>154326</v>
          </cell>
          <cell r="J619">
            <v>171812</v>
          </cell>
          <cell r="K619">
            <v>50955.3</v>
          </cell>
          <cell r="L619">
            <v>9941</v>
          </cell>
          <cell r="M619">
            <v>440107</v>
          </cell>
          <cell r="N619">
            <v>6778</v>
          </cell>
          <cell r="O619">
            <v>4386</v>
          </cell>
          <cell r="P619">
            <v>48.745949999999993</v>
          </cell>
          <cell r="Q619">
            <v>0</v>
          </cell>
          <cell r="R619">
            <v>132639.58467750001</v>
          </cell>
          <cell r="S619">
            <v>13.153729183597765</v>
          </cell>
          <cell r="T619">
            <v>0.237765</v>
          </cell>
          <cell r="U619">
            <v>3.4079575927305102E-3</v>
          </cell>
          <cell r="V619">
            <v>1.7000000000000001E-2</v>
          </cell>
          <cell r="W619">
            <v>0.26900000000000002</v>
          </cell>
          <cell r="X619">
            <v>13.071</v>
          </cell>
          <cell r="Y619">
            <v>11.93</v>
          </cell>
          <cell r="Z619">
            <v>0</v>
          </cell>
          <cell r="AA619">
            <v>0</v>
          </cell>
          <cell r="AB619">
            <v>0</v>
          </cell>
          <cell r="AC619">
            <v>0.23814445542507792</v>
          </cell>
          <cell r="AD619">
            <v>0.11822272311530324</v>
          </cell>
          <cell r="AE619">
            <v>0.38340003</v>
          </cell>
          <cell r="AF619">
            <v>12.828397239676395</v>
          </cell>
          <cell r="AG619">
            <v>8.8716712225230143</v>
          </cell>
          <cell r="AH619">
            <v>202412</v>
          </cell>
          <cell r="AJ619" t="str">
            <v>_x000D_PCB:Prod'n deferred due to the low efficiency of PCPs in 23 wells._x000D_
A1-A3:Prod'n deferred due to buyer's nomination._x000D_
MECL: PCP rods of 3 wells broken, waiting for WO rig._x000D_
GPOC:Prod'n deferred due to biorem limitations, downhole complications._x000D_
BC-10:Prod'n deferred due to no flaring due to maintenance activites._x000D_
CPO-5:Wells closed to SAR Energy's staff cessation of activities.</v>
          </cell>
        </row>
        <row r="620">
          <cell r="C620">
            <v>45628</v>
          </cell>
          <cell r="D620">
            <v>363703</v>
          </cell>
          <cell r="E620">
            <v>21623</v>
          </cell>
          <cell r="F620">
            <v>1721.77</v>
          </cell>
          <cell r="G620">
            <v>3927</v>
          </cell>
          <cell r="H620">
            <v>2322</v>
          </cell>
          <cell r="I620">
            <v>154326</v>
          </cell>
          <cell r="J620">
            <v>171471</v>
          </cell>
          <cell r="K620">
            <v>49629.13</v>
          </cell>
          <cell r="L620">
            <v>10943</v>
          </cell>
          <cell r="M620">
            <v>430488</v>
          </cell>
          <cell r="N620">
            <v>6734</v>
          </cell>
          <cell r="O620">
            <v>4429</v>
          </cell>
          <cell r="P620">
            <v>81.893195999999989</v>
          </cell>
          <cell r="Q620">
            <v>0</v>
          </cell>
          <cell r="R620">
            <v>132230.91493820003</v>
          </cell>
          <cell r="S620">
            <v>13.041594576762648</v>
          </cell>
          <cell r="T620">
            <v>0.23194999999999999</v>
          </cell>
          <cell r="U620">
            <v>3.4079575927305102E-3</v>
          </cell>
          <cell r="V620">
            <v>1.7000000000000001E-2</v>
          </cell>
          <cell r="W620">
            <v>0.28595999999999999</v>
          </cell>
          <cell r="X620">
            <v>13.071</v>
          </cell>
          <cell r="Y620">
            <v>11.54</v>
          </cell>
          <cell r="Z620">
            <v>0</v>
          </cell>
          <cell r="AA620">
            <v>0</v>
          </cell>
          <cell r="AB620">
            <v>0</v>
          </cell>
          <cell r="AC620">
            <v>0.23446326883705648</v>
          </cell>
          <cell r="AD620">
            <v>0.11465480380691327</v>
          </cell>
          <cell r="AE620">
            <v>0.37660003000000003</v>
          </cell>
          <cell r="AF620">
            <v>12.828170705117133</v>
          </cell>
          <cell r="AG620">
            <v>8.7774506261499727</v>
          </cell>
          <cell r="AH620">
            <v>202412</v>
          </cell>
          <cell r="AJ620" t="str">
            <v>_x000D_PCB:Prod'n deferred due to the low efficiency of PCPs in 23 wells._x000D_
A1-A3:Prod'n deferred due to buyer's nomination._x000D_
MECL: PCP rods of 3 wells broken, waiting for WO rig._x000D_
GPOC:Prod'n deferred due to biorem limitations, downhole complications._x000D_
BC-10:Prod'n deferred due to no flaring due to maintenance activites._x000D_
CPO-5:Wells closed to SAR Energy's staff cessation of activities.</v>
          </cell>
        </row>
        <row r="621">
          <cell r="C621">
            <v>45629</v>
          </cell>
          <cell r="D621">
            <v>345086</v>
          </cell>
          <cell r="E621">
            <v>22289</v>
          </cell>
          <cell r="F621">
            <v>1721.95</v>
          </cell>
          <cell r="G621">
            <v>4035</v>
          </cell>
          <cell r="H621">
            <v>2520</v>
          </cell>
          <cell r="I621">
            <v>154326</v>
          </cell>
          <cell r="J621">
            <v>170919</v>
          </cell>
          <cell r="K621">
            <v>51957</v>
          </cell>
          <cell r="L621">
            <v>11415</v>
          </cell>
          <cell r="M621">
            <v>439003</v>
          </cell>
          <cell r="N621">
            <v>6798</v>
          </cell>
          <cell r="O621">
            <v>4142</v>
          </cell>
          <cell r="P621">
            <v>73.024577999999991</v>
          </cell>
          <cell r="Q621">
            <v>0</v>
          </cell>
          <cell r="R621">
            <v>132899.48031009999</v>
          </cell>
          <cell r="S621">
            <v>12.734923417160555</v>
          </cell>
          <cell r="T621">
            <v>0.23415</v>
          </cell>
          <cell r="U621">
            <v>3.4079575927305102E-3</v>
          </cell>
          <cell r="V621">
            <v>1.7000000000000001E-2</v>
          </cell>
          <cell r="W621">
            <v>0.29661999999999999</v>
          </cell>
          <cell r="X621">
            <v>13.071</v>
          </cell>
          <cell r="Y621">
            <v>11.48</v>
          </cell>
          <cell r="Z621">
            <v>0</v>
          </cell>
          <cell r="AA621">
            <v>0</v>
          </cell>
          <cell r="AB621">
            <v>0</v>
          </cell>
          <cell r="AC621">
            <v>0.2395602964204708</v>
          </cell>
          <cell r="AD621">
            <v>0.1142300515082954</v>
          </cell>
          <cell r="AE621">
            <v>0.37710003000000003</v>
          </cell>
          <cell r="AF621">
            <v>12.828029121017591</v>
          </cell>
          <cell r="AG621">
            <v>8.7647261975494182</v>
          </cell>
          <cell r="AH621">
            <v>202412</v>
          </cell>
          <cell r="AJ621" t="str">
            <v>Vankor:Reason for production shortfall awaited from the operator.
LZC:Quota for the month is 425k bopd.
_x000D_PCB:Prod'n deferred due to the low efficiency of PCPs in 23 wells._x000D_
A1-A3:Prod'n deferred due to buyer's nomination._x000D_
GPOC:Prod'n deferred due to biorem limitations, downhole complications._x000D_
BC-10:Prod'n deferred due to no flaring due to maintenance activites._x000D_
CPO-5:Wells closed to SAR Energy's staff cessation of activities._x000D_
MECL:PCP rods of 3 wells broken, waiting for WO rig.</v>
          </cell>
        </row>
        <row r="622">
          <cell r="C622">
            <v>45630</v>
          </cell>
          <cell r="D622">
            <v>339731</v>
          </cell>
          <cell r="E622">
            <v>20855</v>
          </cell>
          <cell r="F622">
            <v>9915.73</v>
          </cell>
          <cell r="G622">
            <v>4055</v>
          </cell>
          <cell r="H622">
            <v>2303</v>
          </cell>
          <cell r="I622">
            <v>154326</v>
          </cell>
          <cell r="J622">
            <v>170487</v>
          </cell>
          <cell r="K622">
            <v>52785.1</v>
          </cell>
          <cell r="L622">
            <v>11507</v>
          </cell>
          <cell r="M622">
            <v>433640</v>
          </cell>
          <cell r="N622">
            <v>6785</v>
          </cell>
          <cell r="O622">
            <v>4468</v>
          </cell>
          <cell r="P622">
            <v>83.968829999999997</v>
          </cell>
          <cell r="Q622">
            <v>0</v>
          </cell>
          <cell r="R622">
            <v>137920.58747350003</v>
          </cell>
          <cell r="S622">
            <v>12.888400581061143</v>
          </cell>
          <cell r="T622">
            <v>0.23055800000000001</v>
          </cell>
          <cell r="U622">
            <v>3.4079575927305102E-3</v>
          </cell>
          <cell r="V622">
            <v>1.7000000000000001E-2</v>
          </cell>
          <cell r="W622">
            <v>0.28058</v>
          </cell>
          <cell r="X622">
            <v>13.071</v>
          </cell>
          <cell r="Y622">
            <v>11.51</v>
          </cell>
          <cell r="Z622">
            <v>0</v>
          </cell>
          <cell r="AA622">
            <v>0</v>
          </cell>
          <cell r="AB622">
            <v>0</v>
          </cell>
          <cell r="AC622">
            <v>0.24663950139743507</v>
          </cell>
          <cell r="AD622">
            <v>0.11669361484027899</v>
          </cell>
          <cell r="AE622">
            <v>0.37440003000000005</v>
          </cell>
          <cell r="AF622">
            <v>12.83162535714589</v>
          </cell>
          <cell r="AG622">
            <v>8.7611660626155796</v>
          </cell>
          <cell r="AH622">
            <v>202412</v>
          </cell>
          <cell r="AJ622" t="str">
            <v>_x000D_Vankor:Reason for production shortfall awaited from the operator.
GPOC:Prod'n deferred due to biorem limitations, downhole complications._x000D_
PCB:Prod'n deferred due to the low efficiency of PCPs in 23 wells._x000D_
A1-A3:Prod'n deferred due to buyer's nomination._x000D_
CPO-5:Wells of Indico pad are being opened gradually, as the blockade is over.
BC-10:Prod'n deferred due to no flaring due to maintenance activites._x000D_
MECL:PCP rods of 2 wells broken, waiting for WO rig.</v>
          </cell>
        </row>
        <row r="623">
          <cell r="C623">
            <v>45631</v>
          </cell>
          <cell r="D623">
            <v>359347</v>
          </cell>
          <cell r="E623">
            <v>20220</v>
          </cell>
          <cell r="F623">
            <v>25138.58</v>
          </cell>
          <cell r="G623">
            <v>4020</v>
          </cell>
          <cell r="H623">
            <v>2340</v>
          </cell>
          <cell r="I623">
            <v>154326</v>
          </cell>
          <cell r="J623">
            <v>169400</v>
          </cell>
          <cell r="K623">
            <v>52641.79</v>
          </cell>
          <cell r="L623">
            <v>11875</v>
          </cell>
          <cell r="M623">
            <v>435903</v>
          </cell>
          <cell r="N623">
            <v>6851</v>
          </cell>
          <cell r="O623">
            <v>4779</v>
          </cell>
          <cell r="P623">
            <v>84.472013999999987</v>
          </cell>
          <cell r="Q623">
            <v>0</v>
          </cell>
          <cell r="R623">
            <v>148991.13940629998</v>
          </cell>
          <cell r="S623">
            <v>12.891515431251012</v>
          </cell>
          <cell r="T623">
            <v>0.218001</v>
          </cell>
          <cell r="U623">
            <v>3.4079575927305102E-3</v>
          </cell>
          <cell r="V623">
            <v>1.7000000000000001E-2</v>
          </cell>
          <cell r="W623">
            <v>0.28504000000000002</v>
          </cell>
          <cell r="X623">
            <v>13.071</v>
          </cell>
          <cell r="Y623">
            <v>11.52</v>
          </cell>
          <cell r="Z623">
            <v>0</v>
          </cell>
          <cell r="AA623">
            <v>0</v>
          </cell>
          <cell r="AB623">
            <v>0</v>
          </cell>
          <cell r="AC623">
            <v>0.23729495082784224</v>
          </cell>
          <cell r="AD623">
            <v>0.11236114139437683</v>
          </cell>
          <cell r="AE623">
            <v>0.38540003</v>
          </cell>
          <cell r="AF623">
            <v>12.819505758225327</v>
          </cell>
          <cell r="AG623">
            <v>8.7650555602261235</v>
          </cell>
          <cell r="AH623">
            <v>202412</v>
          </cell>
          <cell r="AJ623" t="str">
            <v>_x000D_PCB:Prod'n deferred due to the low efficiency of PCPs in 23 wells._x000D_
A1-A3:Prod'n deferred due to buyer's nomination._x000D_
GPOC:Prod'n deferred due to biorem limitations, downhole complications._x000D_
MECL:PCP rods of 1 wells broken, waiting for WO rig._x000D_
BC-10:Prod'n deferred due to no flaring due to maintenance activites._x000D__x000D_
Vankor:Reason for production shortfall awaited from the operator._x000D_</v>
          </cell>
        </row>
        <row r="624">
          <cell r="C624">
            <v>45632</v>
          </cell>
          <cell r="D624">
            <v>352710</v>
          </cell>
          <cell r="E624">
            <v>24465</v>
          </cell>
          <cell r="F624">
            <v>24904.26</v>
          </cell>
          <cell r="G624">
            <v>4083</v>
          </cell>
          <cell r="H624">
            <v>2353</v>
          </cell>
          <cell r="I624">
            <v>145975</v>
          </cell>
          <cell r="J624">
            <v>171023</v>
          </cell>
          <cell r="K624">
            <v>51205.5</v>
          </cell>
          <cell r="L624">
            <v>10247</v>
          </cell>
          <cell r="M624">
            <v>439775</v>
          </cell>
          <cell r="N624">
            <v>6868</v>
          </cell>
          <cell r="O624">
            <v>4608</v>
          </cell>
          <cell r="P624">
            <v>88.497485999999995</v>
          </cell>
          <cell r="Q624">
            <v>0</v>
          </cell>
          <cell r="R624">
            <v>147913.74711870003</v>
          </cell>
          <cell r="S624">
            <v>12.823555063472151</v>
          </cell>
          <cell r="T624">
            <v>0.23768400000000001</v>
          </cell>
          <cell r="U624">
            <v>3.4079575927305102E-3</v>
          </cell>
          <cell r="V624">
            <v>1.7000000000000001E-2</v>
          </cell>
          <cell r="W624">
            <v>0.28386</v>
          </cell>
          <cell r="X624">
            <v>13.071</v>
          </cell>
          <cell r="Y624">
            <v>11.56</v>
          </cell>
          <cell r="Z624">
            <v>0</v>
          </cell>
          <cell r="AA624">
            <v>0</v>
          </cell>
          <cell r="AB624">
            <v>0</v>
          </cell>
          <cell r="AC624">
            <v>0.23672861442968507</v>
          </cell>
          <cell r="AD624">
            <v>0.1098126276026697</v>
          </cell>
          <cell r="AE624">
            <v>0.41560005999999999</v>
          </cell>
          <cell r="AF624">
            <v>12.823555063472151</v>
          </cell>
          <cell r="AG624">
            <v>8.7907988223400721</v>
          </cell>
          <cell r="AH624">
            <v>202412</v>
          </cell>
          <cell r="AJ624" t="str">
            <v>_x000D_PCB:Prod'n deferred due to the low efficiency of PCPs in 23 wells._x000D_
BC-10:_x000D_Prod'n deferred due to no flaring due to maintenance activites.
GPOC:Prod'n deferred due to biorem limitations, downhole complications._x000D_
A1-A3:Prod'n deferred due to buyer's nomination._x000D_</v>
          </cell>
        </row>
        <row r="625">
          <cell r="C625">
            <v>45633</v>
          </cell>
          <cell r="D625">
            <v>349177</v>
          </cell>
          <cell r="E625">
            <v>26220</v>
          </cell>
          <cell r="F625">
            <v>23192.92</v>
          </cell>
          <cell r="G625">
            <v>4094</v>
          </cell>
          <cell r="H625">
            <v>2366</v>
          </cell>
          <cell r="I625">
            <v>145975</v>
          </cell>
          <cell r="J625">
            <v>172955</v>
          </cell>
          <cell r="K625">
            <v>51516.33</v>
          </cell>
          <cell r="L625">
            <v>11443</v>
          </cell>
          <cell r="M625">
            <v>435871</v>
          </cell>
          <cell r="N625">
            <v>6440</v>
          </cell>
          <cell r="O625">
            <v>53</v>
          </cell>
          <cell r="P625">
            <v>81.26421599999999</v>
          </cell>
          <cell r="Q625">
            <v>0</v>
          </cell>
          <cell r="R625">
            <v>145944.8863972</v>
          </cell>
          <cell r="S625">
            <v>13.909221938739392</v>
          </cell>
          <cell r="T625">
            <v>0.26791700000000002</v>
          </cell>
          <cell r="U625">
            <v>3.4079575927305102E-3</v>
          </cell>
          <cell r="V625">
            <v>1.7000000000000001E-2</v>
          </cell>
          <cell r="W625">
            <v>0.28039999999999998</v>
          </cell>
          <cell r="X625">
            <v>13.071</v>
          </cell>
          <cell r="Y625">
            <v>11.53</v>
          </cell>
          <cell r="Z625">
            <v>0</v>
          </cell>
          <cell r="AA625">
            <v>0</v>
          </cell>
          <cell r="AB625">
            <v>0</v>
          </cell>
          <cell r="AC625">
            <v>0.23248109144350654</v>
          </cell>
          <cell r="AD625">
            <v>0.11711836713889683</v>
          </cell>
          <cell r="AE625">
            <v>0.42880005999999998</v>
          </cell>
          <cell r="AF625">
            <v>12.822309123396204</v>
          </cell>
          <cell r="AG625">
            <v>8.8276407469147387</v>
          </cell>
          <cell r="AH625">
            <v>202412</v>
          </cell>
          <cell r="AJ625" t="str">
            <v>_x000D_PCB:Prod'n deferred due to the low efficiency of PCPs in 23 wells._x000D_
SCB:_x000D_Prod'n deferred due to the leakage in pipeline.
BC-10:Prod'n deferred due to no flaring due to maintenance activites.
CPO-5:Indico 7 well is shut and handed over to Baker Hughes for RST log job.
GPOC:Prod'n deferred due to biorem limitations, downhole complications._x000D_
A1-A3:Prod'n deferred due to buyer's nomination._x000D_</v>
          </cell>
        </row>
        <row r="626">
          <cell r="C626">
            <v>45634</v>
          </cell>
          <cell r="D626">
            <v>343812</v>
          </cell>
          <cell r="E626">
            <v>29082</v>
          </cell>
          <cell r="F626">
            <v>19634.669999999998</v>
          </cell>
          <cell r="G626">
            <v>4143</v>
          </cell>
          <cell r="H626">
            <v>2411</v>
          </cell>
          <cell r="I626">
            <v>145975</v>
          </cell>
          <cell r="J626">
            <v>172957</v>
          </cell>
          <cell r="K626">
            <v>51336.21</v>
          </cell>
          <cell r="L626">
            <v>11530</v>
          </cell>
          <cell r="M626">
            <v>435496</v>
          </cell>
          <cell r="N626">
            <v>6920</v>
          </cell>
          <cell r="O626">
            <v>2814</v>
          </cell>
          <cell r="P626">
            <v>99.001452</v>
          </cell>
          <cell r="Q626">
            <v>0</v>
          </cell>
          <cell r="R626">
            <v>145266.08565340002</v>
          </cell>
          <cell r="S626">
            <v>13.919132825707139</v>
          </cell>
          <cell r="T626">
            <v>0.30171399999999998</v>
          </cell>
          <cell r="U626">
            <v>3.4079575927305102E-3</v>
          </cell>
          <cell r="V626">
            <v>1.7000000000000001E-2</v>
          </cell>
          <cell r="W626">
            <v>0.28155000000000002</v>
          </cell>
          <cell r="X626">
            <v>13.071</v>
          </cell>
          <cell r="Y626">
            <v>11.63</v>
          </cell>
          <cell r="Z626">
            <v>0</v>
          </cell>
          <cell r="AA626">
            <v>0</v>
          </cell>
          <cell r="AB626">
            <v>0</v>
          </cell>
          <cell r="AC626">
            <v>0.23502960523521368</v>
          </cell>
          <cell r="AD626">
            <v>0.11253104231382399</v>
          </cell>
          <cell r="AE626">
            <v>0.37970003000000002</v>
          </cell>
          <cell r="AF626">
            <v>12.821742786998048</v>
          </cell>
          <cell r="AG626">
            <v>8.8404599462579156</v>
          </cell>
          <cell r="AH626">
            <v>202412</v>
          </cell>
          <cell r="AJ626" t="str">
            <v>_x000D_PCB:Prod'n deferred due to the low efficiency of PCPs in 23 wells.
SCB:_x000D_Prod'n deferred due to the leakage in pipeline.
CPO-5:Prod'n deferred due to RST Log job on Indico 7.
A1-A3:Prod'n deferred due to buyer's nomination._x000D_
GPOC:Prod'n deferred due to biorem limitations, downhole complications._x000D_</v>
          </cell>
        </row>
        <row r="627">
          <cell r="C627">
            <v>45635</v>
          </cell>
          <cell r="D627">
            <v>351102</v>
          </cell>
          <cell r="E627">
            <v>30019</v>
          </cell>
          <cell r="F627">
            <v>24700.38</v>
          </cell>
          <cell r="G627">
            <v>4125</v>
          </cell>
          <cell r="H627">
            <v>2381</v>
          </cell>
          <cell r="I627">
            <v>145975</v>
          </cell>
          <cell r="J627">
            <v>176304</v>
          </cell>
          <cell r="K627">
            <v>51014.400000000001</v>
          </cell>
          <cell r="L627">
            <v>9689</v>
          </cell>
          <cell r="M627">
            <v>418331</v>
          </cell>
          <cell r="N627">
            <v>7005</v>
          </cell>
          <cell r="O627">
            <v>7463</v>
          </cell>
          <cell r="P627">
            <v>98.18377799999999</v>
          </cell>
          <cell r="Q627">
            <v>0</v>
          </cell>
          <cell r="R627">
            <v>150766.91345009999</v>
          </cell>
          <cell r="S627">
            <v>13.780663576357723</v>
          </cell>
          <cell r="T627">
            <v>0.29279699999999997</v>
          </cell>
          <cell r="U627">
            <v>3.4079575927305102E-3</v>
          </cell>
          <cell r="V627">
            <v>1.7000000000000001E-2</v>
          </cell>
          <cell r="W627">
            <v>0.28194999999999998</v>
          </cell>
          <cell r="X627">
            <v>13.071</v>
          </cell>
          <cell r="Y627">
            <v>11.73</v>
          </cell>
          <cell r="AB627">
            <v>0</v>
          </cell>
          <cell r="AC627">
            <v>0.23587910983244936</v>
          </cell>
          <cell r="AD627">
            <v>0.11567420932359612</v>
          </cell>
          <cell r="AE627">
            <v>0.40030006000000001</v>
          </cell>
          <cell r="AF627">
            <v>12.898509685768248</v>
          </cell>
          <cell r="AG627">
            <v>8.8840732293149856</v>
          </cell>
          <cell r="AH627">
            <v>202412</v>
          </cell>
          <cell r="AJ627" t="str">
            <v>Sakhalin-1:New Prod'n data received from operator.
PCB:Prod'n deferred due to the low efficiency of PCPs in 23 wells.
A1-A3:Prod'n deferred due to buyer's nomination.
GPOC:Prod'n deferred due to biorem limitations, downhole complications.</v>
          </cell>
        </row>
        <row r="628">
          <cell r="C628">
            <v>45636</v>
          </cell>
          <cell r="D628">
            <v>357419</v>
          </cell>
          <cell r="E628">
            <v>28113</v>
          </cell>
          <cell r="F628">
            <v>24630.87</v>
          </cell>
          <cell r="G628">
            <v>4144</v>
          </cell>
          <cell r="H628">
            <v>2330</v>
          </cell>
          <cell r="I628">
            <v>145975</v>
          </cell>
          <cell r="J628">
            <v>178101</v>
          </cell>
          <cell r="K628">
            <v>50829.1</v>
          </cell>
          <cell r="L628">
            <v>12608</v>
          </cell>
          <cell r="M628">
            <v>434702</v>
          </cell>
          <cell r="N628">
            <v>6988</v>
          </cell>
          <cell r="O628">
            <v>6107</v>
          </cell>
          <cell r="P628">
            <v>103.02692399999999</v>
          </cell>
          <cell r="Q628">
            <v>0</v>
          </cell>
          <cell r="R628">
            <v>151584.76186579998</v>
          </cell>
          <cell r="S628">
            <v>13.921398171299773</v>
          </cell>
          <cell r="T628">
            <v>0.28628300000000001</v>
          </cell>
          <cell r="U628">
            <v>3.4079575927305102E-3</v>
          </cell>
          <cell r="V628">
            <v>1.7000000000000001E-2</v>
          </cell>
          <cell r="W628">
            <v>0.28238999999999997</v>
          </cell>
          <cell r="X628">
            <v>13.071</v>
          </cell>
          <cell r="Y628">
            <v>11.72</v>
          </cell>
          <cell r="AB628">
            <v>0</v>
          </cell>
          <cell r="AC628">
            <v>0.23021574585087798</v>
          </cell>
          <cell r="AD628">
            <v>0.11111520131843113</v>
          </cell>
          <cell r="AE628">
            <v>0.41930005999999997</v>
          </cell>
          <cell r="AF628">
            <v>12.904767702967886</v>
          </cell>
          <cell r="AG628">
            <v>8.8914382259009397</v>
          </cell>
          <cell r="AH628">
            <v>202412</v>
          </cell>
          <cell r="AJ628" t="str">
            <v>PCB:Prod'n deferred due to the low efficiency of PCPs in 23 wells.
A1-A3:Prod'n deferred due to buyer's nomination.
GPOC:Prod'n deferred due to biorem limitations, downhole complications.</v>
          </cell>
        </row>
        <row r="629">
          <cell r="C629">
            <v>45637</v>
          </cell>
          <cell r="D629">
            <v>366206</v>
          </cell>
          <cell r="E629">
            <v>28182</v>
          </cell>
          <cell r="F629">
            <v>24555.57</v>
          </cell>
          <cell r="G629">
            <v>4163</v>
          </cell>
          <cell r="H629">
            <v>2354</v>
          </cell>
          <cell r="I629">
            <v>145975</v>
          </cell>
          <cell r="J629">
            <v>175501</v>
          </cell>
          <cell r="K629">
            <v>50754.44</v>
          </cell>
          <cell r="L629">
            <v>12132</v>
          </cell>
          <cell r="M629">
            <v>428443</v>
          </cell>
          <cell r="N629">
            <v>6913</v>
          </cell>
          <cell r="O629">
            <v>5257</v>
          </cell>
          <cell r="P629">
            <v>80.257847999999996</v>
          </cell>
          <cell r="Q629">
            <v>0</v>
          </cell>
          <cell r="R629">
            <v>150422.84553159995</v>
          </cell>
          <cell r="S629">
            <v>14.05165554287591</v>
          </cell>
          <cell r="T629">
            <v>0.28525800000000001</v>
          </cell>
          <cell r="U629">
            <v>3.4079575927305102E-3</v>
          </cell>
          <cell r="V629">
            <v>1.7000000000000001E-2</v>
          </cell>
          <cell r="W629">
            <v>0.28236</v>
          </cell>
          <cell r="X629">
            <v>13.071</v>
          </cell>
          <cell r="Y629">
            <v>11.57</v>
          </cell>
          <cell r="AB629">
            <v>0</v>
          </cell>
          <cell r="AC629">
            <v>0.2296494094527208</v>
          </cell>
          <cell r="AD629">
            <v>0.1142300515082954</v>
          </cell>
          <cell r="AE629">
            <v>0.41360005999999999</v>
          </cell>
          <cell r="AF629">
            <v>12.897065527952948</v>
          </cell>
          <cell r="AG629">
            <v>8.8532507773391504</v>
          </cell>
          <cell r="AH629">
            <v>202412</v>
          </cell>
          <cell r="AJ629" t="str">
            <v>PCB:Prod'n deferred due to the low efficiency of PCPs in 23 wells.
A1-A3:Prod'n deferred due to buyer's nomination.
GPOC:Prod'n deferred due to biorem limitations, downhole complications.</v>
          </cell>
        </row>
        <row r="630">
          <cell r="C630">
            <v>45638</v>
          </cell>
          <cell r="D630">
            <v>347985</v>
          </cell>
          <cell r="E630">
            <v>28591</v>
          </cell>
          <cell r="F630">
            <v>24502</v>
          </cell>
          <cell r="G630">
            <v>4177</v>
          </cell>
          <cell r="H630">
            <v>2346</v>
          </cell>
          <cell r="I630">
            <v>145975</v>
          </cell>
          <cell r="J630">
            <v>173731</v>
          </cell>
          <cell r="K630">
            <v>51624.91</v>
          </cell>
          <cell r="L630">
            <v>10213</v>
          </cell>
          <cell r="M630">
            <v>422528</v>
          </cell>
          <cell r="N630">
            <v>6902</v>
          </cell>
          <cell r="O630">
            <v>4300</v>
          </cell>
          <cell r="P630">
            <v>101.70606600000001</v>
          </cell>
          <cell r="Q630">
            <v>0</v>
          </cell>
          <cell r="R630">
            <v>148645.3127297</v>
          </cell>
          <cell r="S630">
            <v>14.792989888063605</v>
          </cell>
          <cell r="T630">
            <v>0.28440399999999999</v>
          </cell>
          <cell r="U630">
            <v>3.4079575927305102E-3</v>
          </cell>
          <cell r="V630">
            <v>2.5000000000000001E-2</v>
          </cell>
          <cell r="W630">
            <v>0.28132999999999997</v>
          </cell>
          <cell r="X630">
            <v>13.071</v>
          </cell>
          <cell r="Y630">
            <v>11.51</v>
          </cell>
          <cell r="Z630">
            <v>0</v>
          </cell>
          <cell r="AA630">
            <v>0</v>
          </cell>
          <cell r="AB630">
            <v>0</v>
          </cell>
          <cell r="AC630">
            <v>0.22908307305456366</v>
          </cell>
          <cell r="AD630">
            <v>0.11363539829023041</v>
          </cell>
          <cell r="AE630">
            <v>0.40960005999999999</v>
          </cell>
          <cell r="AF630">
            <v>12.884606127193491</v>
          </cell>
          <cell r="AG630">
            <v>8.8578559705157591</v>
          </cell>
          <cell r="AH630">
            <v>202412</v>
          </cell>
          <cell r="AJ630" t="str">
            <v>_x000D_PCB:Prod'n deferred due to the low efficiency of PCPs in 23 wells._x000D_
A1-A3:Prod'n deferred due to buyer's nomination._x000D_
GPOC:Prod'n deferred due to biorem limitations, downhole complications.</v>
          </cell>
        </row>
        <row r="631">
          <cell r="C631">
            <v>45639</v>
          </cell>
          <cell r="D631">
            <v>320151</v>
          </cell>
          <cell r="E631">
            <v>29774</v>
          </cell>
          <cell r="F631">
            <v>24490.46</v>
          </cell>
          <cell r="G631">
            <v>4201</v>
          </cell>
          <cell r="H631">
            <v>2375</v>
          </cell>
          <cell r="I631">
            <v>152303</v>
          </cell>
          <cell r="J631">
            <v>173165</v>
          </cell>
          <cell r="K631">
            <v>50789.760000000002</v>
          </cell>
          <cell r="L631">
            <v>11107</v>
          </cell>
          <cell r="M631">
            <v>402763</v>
          </cell>
          <cell r="N631">
            <v>6761</v>
          </cell>
          <cell r="O631">
            <v>3921</v>
          </cell>
          <cell r="P631">
            <v>85.981566000000001</v>
          </cell>
          <cell r="Q631">
            <v>0</v>
          </cell>
          <cell r="R631">
            <v>148344.04420469998</v>
          </cell>
          <cell r="S631">
            <v>14.964306648506144</v>
          </cell>
          <cell r="T631">
            <v>0.296292</v>
          </cell>
          <cell r="U631">
            <v>3.4079575927305102E-3</v>
          </cell>
          <cell r="V631">
            <v>2.5000000000000001E-2</v>
          </cell>
          <cell r="W631">
            <v>0.27958999999999995</v>
          </cell>
          <cell r="X631">
            <v>13.071</v>
          </cell>
          <cell r="Y631">
            <v>11.31</v>
          </cell>
          <cell r="Z631">
            <v>0</v>
          </cell>
          <cell r="AA631">
            <v>0</v>
          </cell>
          <cell r="AB631">
            <v>0</v>
          </cell>
          <cell r="AC631">
            <v>0.22936624125364222</v>
          </cell>
          <cell r="AD631">
            <v>0.11553262522405683</v>
          </cell>
          <cell r="AE631">
            <v>0.41220005999999998</v>
          </cell>
          <cell r="AF631">
            <v>12.884209691714782</v>
          </cell>
          <cell r="AG631">
            <v>8.8142293910027547</v>
          </cell>
          <cell r="AH631">
            <v>202412</v>
          </cell>
          <cell r="AJ631" t="str">
            <v>_x000D_PCB:Prod'n deferred due to the low efficiency of PCPs in 23 wells._x000D_
A1-A3:Prod'n deferred due to buyer's nomination._x000D_
GPOC:Prod'n deferred due to biorem limitations, downhole complications.</v>
          </cell>
        </row>
        <row r="632">
          <cell r="C632">
            <v>45640</v>
          </cell>
          <cell r="D632">
            <v>349408</v>
          </cell>
          <cell r="E632">
            <v>29994</v>
          </cell>
          <cell r="F632">
            <v>24420.560000000001</v>
          </cell>
          <cell r="G632">
            <v>4226</v>
          </cell>
          <cell r="H632">
            <v>2395</v>
          </cell>
          <cell r="I632">
            <v>152303</v>
          </cell>
          <cell r="J632">
            <v>177996</v>
          </cell>
          <cell r="K632">
            <v>51737.29</v>
          </cell>
          <cell r="L632">
            <v>11559</v>
          </cell>
          <cell r="M632">
            <v>440421</v>
          </cell>
          <cell r="N632">
            <v>6975</v>
          </cell>
          <cell r="O632">
            <v>5281</v>
          </cell>
          <cell r="P632">
            <v>89.252261999999988</v>
          </cell>
          <cell r="Q632">
            <v>0</v>
          </cell>
          <cell r="R632">
            <v>152920.10076789997</v>
          </cell>
          <cell r="S632">
            <v>15.116651139610415</v>
          </cell>
          <cell r="T632">
            <v>0.29512300000000002</v>
          </cell>
          <cell r="U632">
            <v>3.4079575927305102E-3</v>
          </cell>
          <cell r="V632">
            <v>2.5000000000000001E-2</v>
          </cell>
          <cell r="W632">
            <v>0.28087000000000001</v>
          </cell>
          <cell r="X632">
            <v>13.071</v>
          </cell>
          <cell r="Y632">
            <v>11.47</v>
          </cell>
          <cell r="Z632">
            <v>0</v>
          </cell>
          <cell r="AA632">
            <v>0</v>
          </cell>
          <cell r="AB632">
            <v>0</v>
          </cell>
          <cell r="AC632">
            <v>0.22002169068404939</v>
          </cell>
          <cell r="AD632">
            <v>0.11864747541392112</v>
          </cell>
          <cell r="AE632">
            <v>0.40550006</v>
          </cell>
          <cell r="AF632">
            <v>13.26359844484025</v>
          </cell>
          <cell r="AG632">
            <v>8.9229489649121732</v>
          </cell>
          <cell r="AH632">
            <v>202412</v>
          </cell>
          <cell r="AJ632" t="str">
            <v>_x000D_PCB:Prod'n deferred due to the low efficiency of PCPs in 23 wells._x000D_
A1-A3:Prod'n deferred due to buyer's nomination._x000D_
GPOC:Prod'n deferred due to biorem limitations, downhole complications.</v>
          </cell>
        </row>
        <row r="633">
          <cell r="C633">
            <v>45641</v>
          </cell>
          <cell r="D633">
            <v>368957</v>
          </cell>
          <cell r="E633">
            <v>30522</v>
          </cell>
          <cell r="F633">
            <v>23027.11</v>
          </cell>
          <cell r="G633">
            <v>4208</v>
          </cell>
          <cell r="H633">
            <v>2368</v>
          </cell>
          <cell r="I633">
            <v>152303</v>
          </cell>
          <cell r="J633">
            <v>177007</v>
          </cell>
          <cell r="K633">
            <v>50510.400000000001</v>
          </cell>
          <cell r="L633">
            <v>11219</v>
          </cell>
          <cell r="M633">
            <v>443002</v>
          </cell>
          <cell r="N633">
            <v>6950</v>
          </cell>
          <cell r="O633">
            <v>3904</v>
          </cell>
          <cell r="P633">
            <v>104.03329199999999</v>
          </cell>
          <cell r="Q633">
            <v>0</v>
          </cell>
          <cell r="R633">
            <v>151533.50798140001</v>
          </cell>
          <cell r="S633">
            <v>15.620407365771197</v>
          </cell>
          <cell r="T633">
            <v>0.30304999999999999</v>
          </cell>
          <cell r="U633">
            <v>3.4079575927305102E-3</v>
          </cell>
          <cell r="V633">
            <v>2.5000000000000001E-2</v>
          </cell>
          <cell r="W633">
            <v>0.28088999999999997</v>
          </cell>
          <cell r="X633">
            <v>13.071</v>
          </cell>
          <cell r="Y633">
            <v>11.47</v>
          </cell>
          <cell r="Z633">
            <v>0</v>
          </cell>
          <cell r="AA633">
            <v>0</v>
          </cell>
          <cell r="AB633">
            <v>0</v>
          </cell>
          <cell r="AC633">
            <v>0.21832268148957798</v>
          </cell>
          <cell r="AD633">
            <v>0.11635381300138468</v>
          </cell>
          <cell r="AE633">
            <v>0.40000005999999999</v>
          </cell>
          <cell r="AF633">
            <v>13.24799587707102</v>
          </cell>
          <cell r="AG633">
            <v>8.9336123320302008</v>
          </cell>
          <cell r="AH633">
            <v>202412</v>
          </cell>
          <cell r="AJ633" t="str">
            <v>_x000D_PCB:Prod'n deferred due to the low efficiency of PCPs in 23 wells._x000D_
A1-A3:Prod'n deferred due to buyer's nomination._x000D_
GPOC:Prod'n deferred due to biorem limitations, downhole complications._x000D_
CPO-5:Prod'n deferred due to CPH Field Well shut in slickline unit rigup and PBU.</v>
          </cell>
        </row>
        <row r="634">
          <cell r="C634">
            <v>45642</v>
          </cell>
          <cell r="D634">
            <v>360275</v>
          </cell>
          <cell r="E634">
            <v>30994</v>
          </cell>
          <cell r="F634">
            <v>24116.75</v>
          </cell>
          <cell r="G634">
            <v>4258</v>
          </cell>
          <cell r="H634">
            <v>2345</v>
          </cell>
          <cell r="I634">
            <v>152303</v>
          </cell>
          <cell r="J634">
            <v>175824</v>
          </cell>
          <cell r="K634">
            <v>52138.13</v>
          </cell>
          <cell r="L634">
            <v>9814</v>
          </cell>
          <cell r="M634">
            <v>437189</v>
          </cell>
          <cell r="N634">
            <v>7107</v>
          </cell>
          <cell r="O634">
            <v>3996</v>
          </cell>
          <cell r="P634">
            <v>83.276951999999994</v>
          </cell>
          <cell r="Q634">
            <v>0</v>
          </cell>
          <cell r="R634">
            <v>151744.35337839997</v>
          </cell>
          <cell r="S634">
            <v>14.712570119525294</v>
          </cell>
          <cell r="T634">
            <v>0.305755</v>
          </cell>
          <cell r="U634">
            <v>3.4079575927305102E-3</v>
          </cell>
          <cell r="V634">
            <v>2.5000000000000001E-2</v>
          </cell>
          <cell r="W634">
            <v>0.27861999999999998</v>
          </cell>
          <cell r="X634">
            <v>13.071</v>
          </cell>
          <cell r="Y634">
            <v>11.5</v>
          </cell>
          <cell r="AC634">
            <v>0.22228703627667795</v>
          </cell>
          <cell r="AD634">
            <v>0.11949698001115681</v>
          </cell>
          <cell r="AE634">
            <v>0.39930006000000001</v>
          </cell>
          <cell r="AF634">
            <v>13.7506760640753</v>
          </cell>
          <cell r="AG634">
            <v>9.0001524201987255</v>
          </cell>
          <cell r="AH634">
            <v>202412</v>
          </cell>
          <cell r="AJ634" t="str">
            <v>_x000D_A1-A3:Prod'n deferred due to buyer's nomination.
PCB:Prod'n deferred due to the low efficiency of PCPs in 23 wells.
GPOC:Prod'n deferred due to biorem limitations, downhole complications.</v>
          </cell>
        </row>
        <row r="635">
          <cell r="C635">
            <v>45643</v>
          </cell>
          <cell r="D635">
            <v>350549</v>
          </cell>
          <cell r="E635">
            <v>31214</v>
          </cell>
          <cell r="F635">
            <v>24460.98</v>
          </cell>
          <cell r="G635">
            <v>4207</v>
          </cell>
          <cell r="H635">
            <v>2328</v>
          </cell>
          <cell r="I635">
            <v>152303</v>
          </cell>
          <cell r="J635">
            <v>175478</v>
          </cell>
          <cell r="K635">
            <v>51251.59</v>
          </cell>
          <cell r="L635">
            <v>11950</v>
          </cell>
          <cell r="M635">
            <v>436829</v>
          </cell>
          <cell r="N635">
            <v>7049</v>
          </cell>
          <cell r="O635">
            <v>4976</v>
          </cell>
          <cell r="P635">
            <v>101.328678</v>
          </cell>
          <cell r="Q635">
            <v>0</v>
          </cell>
          <cell r="R635">
            <v>152300.78715510003</v>
          </cell>
          <cell r="S635">
            <v>15.19763724454689</v>
          </cell>
          <cell r="T635">
            <v>0.30791499999999999</v>
          </cell>
          <cell r="U635">
            <v>3.4079575927305102E-3</v>
          </cell>
          <cell r="V635">
            <v>2.5999999999999999E-2</v>
          </cell>
          <cell r="W635">
            <v>0.27788000000000002</v>
          </cell>
          <cell r="X635">
            <v>13.071</v>
          </cell>
          <cell r="Y635">
            <v>11.43</v>
          </cell>
          <cell r="AC635">
            <v>0.22200386807759939</v>
          </cell>
          <cell r="AD635">
            <v>0.11995004912968253</v>
          </cell>
          <cell r="AE635">
            <v>0.39530006000000001</v>
          </cell>
          <cell r="AF635">
            <v>13.749571708098893</v>
          </cell>
          <cell r="AG635">
            <v>8.9946461722351287</v>
          </cell>
          <cell r="AH635">
            <v>202412</v>
          </cell>
          <cell r="AJ635" t="str">
            <v>_x000D_A1-A3:Prod'n deferred due to buyer's nomination.
PCB:Prod'n deferred due to the low efficiency of PCPs in 23 wells.
GPOC:Prod'n deferred due to biorem limitations, downhole complications.</v>
          </cell>
        </row>
        <row r="636">
          <cell r="C636">
            <v>45644</v>
          </cell>
          <cell r="D636">
            <v>336550</v>
          </cell>
          <cell r="E636">
            <v>31547</v>
          </cell>
          <cell r="F636">
            <v>24495.69</v>
          </cell>
          <cell r="G636">
            <v>4170</v>
          </cell>
          <cell r="H636">
            <v>2271</v>
          </cell>
          <cell r="I636">
            <v>152303</v>
          </cell>
          <cell r="J636">
            <v>175490</v>
          </cell>
          <cell r="K636">
            <v>47905.05</v>
          </cell>
          <cell r="L636">
            <v>11373</v>
          </cell>
          <cell r="M636">
            <v>428222</v>
          </cell>
          <cell r="N636">
            <v>7105</v>
          </cell>
          <cell r="O636">
            <v>4329</v>
          </cell>
          <cell r="P636">
            <v>71.074740000000006</v>
          </cell>
          <cell r="Q636">
            <v>0</v>
          </cell>
          <cell r="R636">
            <v>150346.772883</v>
          </cell>
          <cell r="S636">
            <v>15.052938294817743</v>
          </cell>
          <cell r="T636">
            <v>0.309919</v>
          </cell>
          <cell r="U636">
            <v>3.4079575927305102E-3</v>
          </cell>
          <cell r="V636">
            <v>2.5000000000000001E-2</v>
          </cell>
          <cell r="W636">
            <v>0.27855000000000002</v>
          </cell>
          <cell r="X636">
            <v>13.071</v>
          </cell>
          <cell r="Y636">
            <v>11.64</v>
          </cell>
          <cell r="Z636">
            <v>0</v>
          </cell>
          <cell r="AA636">
            <v>0</v>
          </cell>
          <cell r="AB636">
            <v>0</v>
          </cell>
          <cell r="AC636">
            <v>0.22483555006838513</v>
          </cell>
          <cell r="AD636">
            <v>0.11842094085465826</v>
          </cell>
          <cell r="AE636">
            <v>0.39430006000000001</v>
          </cell>
          <cell r="AF636">
            <v>14.31423741388147</v>
          </cell>
          <cell r="AG636">
            <v>9.1409678196475657</v>
          </cell>
          <cell r="AH636">
            <v>202412</v>
          </cell>
          <cell r="AJ636" t="str">
            <v>PCB:Prod'n deferred due to the low efficiency of PCPs in 23 wells._x000D_
GPOC:Prod'n deferred due to biorem limitations, downhole complications.
A1-A3:MOGE and CNUOC have partially increased their nomination quantity according prod’n has increased.
Sakhalin-1:New Prod'n data received from operator &amp; Oil production from new well DP-29L (from Berkut) has started this week. In order to avoid any process upsets, production has been lowered as a safety precaution.</v>
          </cell>
        </row>
        <row r="637">
          <cell r="C637">
            <v>45645</v>
          </cell>
          <cell r="D637">
            <v>348739</v>
          </cell>
          <cell r="E637">
            <v>31585</v>
          </cell>
          <cell r="F637">
            <v>24575.279999999999</v>
          </cell>
          <cell r="G637">
            <v>4193</v>
          </cell>
          <cell r="H637">
            <v>2311</v>
          </cell>
          <cell r="I637">
            <v>152303</v>
          </cell>
          <cell r="J637">
            <v>175860</v>
          </cell>
          <cell r="K637">
            <v>28299.21</v>
          </cell>
          <cell r="L637">
            <v>10783</v>
          </cell>
          <cell r="M637">
            <v>444976</v>
          </cell>
          <cell r="N637">
            <v>7114</v>
          </cell>
          <cell r="O637">
            <v>4935</v>
          </cell>
          <cell r="P637">
            <v>103.46720999999999</v>
          </cell>
          <cell r="Q637">
            <v>0</v>
          </cell>
          <cell r="R637">
            <v>146801.30324449998</v>
          </cell>
          <cell r="S637">
            <v>12.570402693495911</v>
          </cell>
          <cell r="T637">
            <v>0.30976500000000001</v>
          </cell>
          <cell r="U637">
            <v>3.4079575927305102E-3</v>
          </cell>
          <cell r="V637">
            <v>2.5999999999999999E-2</v>
          </cell>
          <cell r="W637">
            <v>0.27660000000000001</v>
          </cell>
          <cell r="X637">
            <v>13.071</v>
          </cell>
          <cell r="Y637">
            <v>11.58</v>
          </cell>
          <cell r="Z637">
            <v>0</v>
          </cell>
          <cell r="AA637">
            <v>0</v>
          </cell>
          <cell r="AB637">
            <v>0</v>
          </cell>
          <cell r="AC637">
            <v>0.22540188646654225</v>
          </cell>
          <cell r="AD637">
            <v>0.11887400997318398</v>
          </cell>
          <cell r="AE637">
            <v>0.40570005999999997</v>
          </cell>
          <cell r="AF637">
            <v>14.339496017239279</v>
          </cell>
          <cell r="AG637">
            <v>9.060929560530937</v>
          </cell>
          <cell r="AH637">
            <v>202412</v>
          </cell>
          <cell r="AJ637" t="str">
            <v xml:space="preserve">_x000D_PCB:Prod'n deferred due to the low efficiency of PCPs in 23 wells._x000D_
GPOC:Prod'n deferred due to landing pressure drop in the pipeline at Heglig. Leakage identified at NCPF. It has been repaired. _x000D_
A1-A3:MOGE and CNUOC have partially increased their nomination quantity accordingly the prod’n has increased.
</v>
          </cell>
        </row>
        <row r="638">
          <cell r="C638">
            <v>45646</v>
          </cell>
          <cell r="D638">
            <v>353148</v>
          </cell>
          <cell r="E638">
            <v>31415</v>
          </cell>
          <cell r="F638">
            <v>24664.560000000001</v>
          </cell>
          <cell r="G638">
            <v>4220</v>
          </cell>
          <cell r="H638">
            <v>2308</v>
          </cell>
          <cell r="I638">
            <v>174483</v>
          </cell>
          <cell r="J638">
            <v>175460</v>
          </cell>
          <cell r="K638">
            <v>49176.18</v>
          </cell>
          <cell r="L638">
            <v>10641</v>
          </cell>
          <cell r="M638">
            <v>428789</v>
          </cell>
          <cell r="N638">
            <v>7210</v>
          </cell>
          <cell r="O638">
            <v>4365</v>
          </cell>
          <cell r="P638">
            <v>90.195731999999992</v>
          </cell>
          <cell r="Q638">
            <v>0</v>
          </cell>
          <cell r="R638">
            <v>155603.45532940002</v>
          </cell>
          <cell r="S638">
            <v>12.185577110948133</v>
          </cell>
          <cell r="T638">
            <v>0.30888300000000002</v>
          </cell>
          <cell r="U638">
            <v>3.4079575927305102E-3</v>
          </cell>
          <cell r="V638">
            <v>2.5999999999999999E-2</v>
          </cell>
          <cell r="W638">
            <v>0.27779000000000004</v>
          </cell>
          <cell r="X638">
            <v>13.071</v>
          </cell>
          <cell r="Y638">
            <v>11.61</v>
          </cell>
          <cell r="Z638">
            <v>0</v>
          </cell>
          <cell r="AA638">
            <v>0</v>
          </cell>
          <cell r="AB638">
            <v>0</v>
          </cell>
          <cell r="AC638">
            <v>0.22766723205917078</v>
          </cell>
          <cell r="AD638">
            <v>0.11949698001115681</v>
          </cell>
          <cell r="AE638">
            <v>0.39710005999999998</v>
          </cell>
          <cell r="AF638">
            <v>14.317069095872256</v>
          </cell>
          <cell r="AG638">
            <v>9.0512410716393994</v>
          </cell>
          <cell r="AH638">
            <v>202412</v>
          </cell>
          <cell r="AJ638" t="str">
            <v>_x000D_PCB:Prod'n deferred due to the low efficiency of PCPs in 23 wells.
_x000D_GPOC:Prod'n deferred due to biorem limitations, downhole complications.
A1-A3:MOGE and CNUOC have partially increased their nomination quantity accordingly the prod’n has increased.</v>
          </cell>
        </row>
        <row r="639">
          <cell r="C639">
            <v>45647</v>
          </cell>
          <cell r="D639">
            <v>350691</v>
          </cell>
          <cell r="E639">
            <v>22843</v>
          </cell>
          <cell r="F639">
            <v>24337.54</v>
          </cell>
          <cell r="G639">
            <v>4281</v>
          </cell>
          <cell r="H639">
            <v>2287</v>
          </cell>
          <cell r="I639">
            <v>174483</v>
          </cell>
          <cell r="J639">
            <v>182691</v>
          </cell>
          <cell r="K639">
            <v>51547.05</v>
          </cell>
          <cell r="L639">
            <v>10711</v>
          </cell>
          <cell r="M639">
            <v>433483</v>
          </cell>
          <cell r="N639">
            <v>7300</v>
          </cell>
          <cell r="O639">
            <v>3522</v>
          </cell>
          <cell r="P639">
            <v>99.378839999999997</v>
          </cell>
          <cell r="Q639">
            <v>0</v>
          </cell>
          <cell r="R639">
            <v>155351.99147800001</v>
          </cell>
          <cell r="S639">
            <v>12.343301797834897</v>
          </cell>
          <cell r="T639">
            <v>0.27085700000000001</v>
          </cell>
          <cell r="U639">
            <v>3.4079575927305102E-3</v>
          </cell>
          <cell r="V639">
            <v>2.5999999999999999E-2</v>
          </cell>
          <cell r="W639">
            <v>0.27626999999999996</v>
          </cell>
          <cell r="X639">
            <v>13.071</v>
          </cell>
          <cell r="Y639">
            <v>11.61</v>
          </cell>
          <cell r="Z639">
            <v>0</v>
          </cell>
          <cell r="AA639">
            <v>0</v>
          </cell>
          <cell r="AB639">
            <v>0</v>
          </cell>
          <cell r="AC639">
            <v>0.22710089566101366</v>
          </cell>
          <cell r="AD639">
            <v>0.11995004912968253</v>
          </cell>
          <cell r="AE639">
            <v>0.38710003000000004</v>
          </cell>
          <cell r="AF639">
            <v>13.301599617156594</v>
          </cell>
          <cell r="AG639">
            <v>8.8670566044927881</v>
          </cell>
          <cell r="AH639">
            <v>202412</v>
          </cell>
          <cell r="AJ639" t="str">
            <v>_x000D_PCB:Prod'n deferred due to the low efficiency of PCPs in 23 wells._x000D_
BC-10:_x000D_Prod'n deferred due to ALM-2 and MOBO-5 is offline.
SCB:Prod'n deferred due to reduced oil pumping from Budre-2 to PTO.
GPOC:Prod'n deferred due to biorem limitations, downhole complications.
A1-A3:Prod'n deferred due to buyer's nomination.</v>
          </cell>
        </row>
        <row r="640">
          <cell r="C640">
            <v>45648</v>
          </cell>
          <cell r="D640">
            <v>362306</v>
          </cell>
          <cell r="E640">
            <v>35340</v>
          </cell>
          <cell r="F640">
            <v>24379.29</v>
          </cell>
          <cell r="G640">
            <v>4336</v>
          </cell>
          <cell r="H640">
            <v>2305</v>
          </cell>
          <cell r="I640">
            <v>174483</v>
          </cell>
          <cell r="J640">
            <v>176217</v>
          </cell>
          <cell r="K640">
            <v>51036.7</v>
          </cell>
          <cell r="L640">
            <v>10797</v>
          </cell>
          <cell r="M640">
            <v>421620</v>
          </cell>
          <cell r="N640">
            <v>7312</v>
          </cell>
          <cell r="O640">
            <v>5243</v>
          </cell>
          <cell r="P640">
            <v>79.125683999999993</v>
          </cell>
          <cell r="Q640">
            <v>0</v>
          </cell>
          <cell r="R640">
            <v>157556.6513078</v>
          </cell>
          <cell r="S640">
            <v>13.106156926152563</v>
          </cell>
          <cell r="T640">
            <v>0.28700599999999998</v>
          </cell>
          <cell r="U640">
            <v>3.4079575927305102E-3</v>
          </cell>
          <cell r="V640">
            <v>2.7E-2</v>
          </cell>
          <cell r="W640">
            <v>0.25892000000000004</v>
          </cell>
          <cell r="X640">
            <v>13.071</v>
          </cell>
          <cell r="Y640">
            <v>11.54</v>
          </cell>
          <cell r="Z640">
            <v>0</v>
          </cell>
          <cell r="AA640">
            <v>0</v>
          </cell>
          <cell r="AB640">
            <v>0</v>
          </cell>
          <cell r="AC640">
            <v>0.2296494094527208</v>
          </cell>
          <cell r="AD640">
            <v>0.1203748014283004</v>
          </cell>
          <cell r="AE640">
            <v>0.39040003000000001</v>
          </cell>
          <cell r="AF640">
            <v>13.275010123263117</v>
          </cell>
          <cell r="AG640">
            <v>8.8560953704707224</v>
          </cell>
          <cell r="AH640">
            <v>202412</v>
          </cell>
          <cell r="AJ640" t="str">
            <v>_x000D_PCB:Prod'n deferred due to the low efficiency of PCPs in 23 wells.
GPOC:Prod'n deferred due to biorem limitations, downhole complications.
A1-A3:Prod'n deferred due to buyer's nomination.</v>
          </cell>
        </row>
        <row r="641">
          <cell r="C641">
            <v>45649</v>
          </cell>
          <cell r="D641">
            <v>354249</v>
          </cell>
          <cell r="E641">
            <v>33780</v>
          </cell>
          <cell r="F641">
            <v>24610.240000000002</v>
          </cell>
          <cell r="G641">
            <v>4340</v>
          </cell>
          <cell r="H641">
            <v>2343</v>
          </cell>
          <cell r="I641">
            <v>174483</v>
          </cell>
          <cell r="J641">
            <v>175294</v>
          </cell>
          <cell r="K641">
            <v>52067.360000000001</v>
          </cell>
          <cell r="L641">
            <v>11216</v>
          </cell>
          <cell r="M641">
            <v>440938</v>
          </cell>
          <cell r="N641">
            <v>7399</v>
          </cell>
          <cell r="O641">
            <v>4236</v>
          </cell>
          <cell r="P641">
            <v>98.498267999999996</v>
          </cell>
          <cell r="Q641">
            <v>0</v>
          </cell>
          <cell r="R641">
            <v>157608.42547059999</v>
          </cell>
          <cell r="S641">
            <v>13.2061153004273</v>
          </cell>
          <cell r="T641">
            <v>0.33198499999999997</v>
          </cell>
          <cell r="U641">
            <v>3.4079575927305102E-3</v>
          </cell>
          <cell r="V641">
            <v>2.3E-2</v>
          </cell>
          <cell r="W641">
            <v>0.28216000000000002</v>
          </cell>
          <cell r="X641">
            <v>13.071</v>
          </cell>
          <cell r="Y641">
            <v>11.46</v>
          </cell>
          <cell r="Z641">
            <v>0</v>
          </cell>
          <cell r="AA641">
            <v>0</v>
          </cell>
          <cell r="AB641">
            <v>0</v>
          </cell>
          <cell r="AC641">
            <v>0.22936624125364222</v>
          </cell>
          <cell r="AD641">
            <v>0.10630134193409543</v>
          </cell>
          <cell r="AE641">
            <v>0.39120003000000003</v>
          </cell>
          <cell r="AF641">
            <v>13.325640597258365</v>
          </cell>
          <cell r="AG641">
            <v>8.874910131197872</v>
          </cell>
          <cell r="AH641">
            <v>202412</v>
          </cell>
          <cell r="AJ641" t="str">
            <v>_x000D_PCB:Prod'n deferred due to the low efficiency of PCPs in 23 wells.
GPOC:Prod'n deferred due to biorem limitations, downhole complications.
A1-A3:Prod'n deferred due to buyer's nomination.</v>
          </cell>
        </row>
        <row r="642">
          <cell r="C642">
            <v>45650</v>
          </cell>
          <cell r="D642">
            <v>359196</v>
          </cell>
          <cell r="E642">
            <v>36862</v>
          </cell>
          <cell r="F642">
            <v>24592.880000000001</v>
          </cell>
          <cell r="G642">
            <v>4374</v>
          </cell>
          <cell r="H642">
            <v>2300</v>
          </cell>
          <cell r="I642">
            <v>174483</v>
          </cell>
          <cell r="J642">
            <v>175857</v>
          </cell>
          <cell r="K642">
            <v>50930.9</v>
          </cell>
          <cell r="L642">
            <v>10444</v>
          </cell>
          <cell r="M642">
            <v>428167</v>
          </cell>
          <cell r="N642">
            <v>7412</v>
          </cell>
          <cell r="O642">
            <v>4519</v>
          </cell>
          <cell r="P642">
            <v>97.932186000000002</v>
          </cell>
          <cell r="Q642">
            <v>0</v>
          </cell>
          <cell r="R642">
            <v>157826.66848370002</v>
          </cell>
          <cell r="S642">
            <v>12.708022438248094</v>
          </cell>
          <cell r="T642">
            <v>0.357761</v>
          </cell>
          <cell r="U642">
            <v>3.4079575927305102E-3</v>
          </cell>
          <cell r="V642">
            <v>2.1000000000000001E-2</v>
          </cell>
          <cell r="W642">
            <v>0.28254000000000001</v>
          </cell>
          <cell r="X642">
            <v>13.071</v>
          </cell>
          <cell r="Y642">
            <v>11.38</v>
          </cell>
          <cell r="Z642">
            <v>0</v>
          </cell>
          <cell r="AA642">
            <v>0</v>
          </cell>
          <cell r="AB642">
            <v>0</v>
          </cell>
          <cell r="AC642">
            <v>0.22851673665640654</v>
          </cell>
          <cell r="AD642">
            <v>0.1203748014283004</v>
          </cell>
          <cell r="AE642">
            <v>0.39020003000000003</v>
          </cell>
          <cell r="AF642">
            <v>13.321393074272185</v>
          </cell>
          <cell r="AG642">
            <v>8.8502442943634652</v>
          </cell>
          <cell r="AH642">
            <v>202412</v>
          </cell>
          <cell r="AJ642" t="str">
            <v>_x000D_PCB:_x000D_Prod'n deferred due to the low efficiency of PCPs in 23 wells.
GPOC:Prod'n deferred due to biorem limitations, downhole complications.
A1-A3:Prod'n deferred due to buyer's nomination.</v>
          </cell>
        </row>
        <row r="643">
          <cell r="C643">
            <v>45651</v>
          </cell>
          <cell r="D643">
            <v>344523</v>
          </cell>
          <cell r="E643">
            <v>31252</v>
          </cell>
          <cell r="F643">
            <v>24529.24</v>
          </cell>
          <cell r="G643">
            <v>4396</v>
          </cell>
          <cell r="H643">
            <v>2314</v>
          </cell>
          <cell r="I643">
            <v>174483</v>
          </cell>
          <cell r="J643">
            <v>172966</v>
          </cell>
          <cell r="K643">
            <v>51025.14</v>
          </cell>
          <cell r="L643">
            <v>10521</v>
          </cell>
          <cell r="M643">
            <v>421347</v>
          </cell>
          <cell r="N643">
            <v>7414</v>
          </cell>
          <cell r="O643">
            <v>4091</v>
          </cell>
          <cell r="P643">
            <v>95.416265999999993</v>
          </cell>
          <cell r="Q643">
            <v>0</v>
          </cell>
          <cell r="R643">
            <v>154708.79931970002</v>
          </cell>
          <cell r="S643">
            <v>12.521414595055299</v>
          </cell>
          <cell r="T643">
            <v>0.35112100000000002</v>
          </cell>
          <cell r="U643">
            <v>3.4079575927305102E-3</v>
          </cell>
          <cell r="V643">
            <v>2.3E-2</v>
          </cell>
          <cell r="W643">
            <v>0.28358</v>
          </cell>
          <cell r="X643">
            <v>13.071</v>
          </cell>
          <cell r="Y643">
            <v>11.24</v>
          </cell>
          <cell r="Z643">
            <v>0</v>
          </cell>
          <cell r="AA643">
            <v>0</v>
          </cell>
          <cell r="AB643">
            <v>0</v>
          </cell>
          <cell r="AC643">
            <v>0.22625139106377798</v>
          </cell>
          <cell r="AD643">
            <v>0.12190390970332467</v>
          </cell>
          <cell r="AE643">
            <v>0.38120003000000002</v>
          </cell>
          <cell r="AF643">
            <v>14.043556932382266</v>
          </cell>
          <cell r="AG643">
            <v>8.9277135261236111</v>
          </cell>
          <cell r="AH643">
            <v>202412</v>
          </cell>
          <cell r="AJ643" t="str">
            <v>_x000D_PCB:Prod'n deferred due to the low efficiency of PCPs in 23 wells.
A1-A3:Prod'n deferred due to buyer's nomination.
GPOC:Prod'n deferred due to biorem limitations, downhole complications.</v>
          </cell>
        </row>
        <row r="644">
          <cell r="C644">
            <v>45652</v>
          </cell>
          <cell r="D644">
            <v>339838</v>
          </cell>
          <cell r="E644">
            <v>29019</v>
          </cell>
          <cell r="F644">
            <v>24467.72</v>
          </cell>
          <cell r="G644">
            <v>4426</v>
          </cell>
          <cell r="H644">
            <v>2304</v>
          </cell>
          <cell r="I644">
            <v>174483</v>
          </cell>
          <cell r="J644">
            <v>173882</v>
          </cell>
          <cell r="K644">
            <v>51790.68</v>
          </cell>
          <cell r="L644">
            <v>10566</v>
          </cell>
          <cell r="M644">
            <v>409714</v>
          </cell>
          <cell r="N644">
            <v>7403</v>
          </cell>
          <cell r="O644">
            <v>4575</v>
          </cell>
          <cell r="P644">
            <v>60.444977999999992</v>
          </cell>
          <cell r="Q644">
            <v>0</v>
          </cell>
          <cell r="R644">
            <v>154082.52324009998</v>
          </cell>
          <cell r="S644">
            <v>12.601834363593627</v>
          </cell>
          <cell r="T644">
            <v>0.31977499999999998</v>
          </cell>
          <cell r="U644">
            <v>3.4079575927305102E-3</v>
          </cell>
          <cell r="V644">
            <v>2.4E-2</v>
          </cell>
          <cell r="W644">
            <v>0.28326000000000001</v>
          </cell>
          <cell r="X644">
            <v>13.071</v>
          </cell>
          <cell r="Y644">
            <v>11.39</v>
          </cell>
          <cell r="Z644">
            <v>0</v>
          </cell>
          <cell r="AA644">
            <v>0</v>
          </cell>
          <cell r="AB644">
            <v>0</v>
          </cell>
          <cell r="AC644">
            <v>0.24040980101770651</v>
          </cell>
          <cell r="AD644">
            <v>0.1203748014283004</v>
          </cell>
          <cell r="AE644">
            <v>0.38690003000000001</v>
          </cell>
          <cell r="AF644">
            <v>14.032400105338569</v>
          </cell>
          <cell r="AG644">
            <v>8.9623965055408501</v>
          </cell>
          <cell r="AH644">
            <v>202412</v>
          </cell>
          <cell r="AJ644" t="str">
            <v>_x000D_GPOC:Prod'n deferred due to biorem limitations, downhole complications.
PCB:Prod'n deferred due to the low efficiency of PCPs in 23 wells.
A1-A3:Prod'n deferred due to buyer's nomination.
Sakhalin-1:New Prod'n data received from operator.</v>
          </cell>
        </row>
        <row r="645">
          <cell r="C645">
            <v>45653</v>
          </cell>
          <cell r="D645">
            <v>345300</v>
          </cell>
          <cell r="E645">
            <v>34597</v>
          </cell>
          <cell r="F645">
            <v>24417.96</v>
          </cell>
          <cell r="G645">
            <v>4525</v>
          </cell>
          <cell r="H645">
            <v>2259</v>
          </cell>
          <cell r="I645">
            <v>174483</v>
          </cell>
          <cell r="J645">
            <v>175242</v>
          </cell>
          <cell r="K645">
            <v>51631.72</v>
          </cell>
          <cell r="L645">
            <v>10837</v>
          </cell>
          <cell r="M645">
            <v>408131</v>
          </cell>
          <cell r="N645">
            <v>7496</v>
          </cell>
          <cell r="O645">
            <v>4242</v>
          </cell>
          <cell r="P645">
            <v>97.743491999999989</v>
          </cell>
          <cell r="Q645">
            <v>0</v>
          </cell>
          <cell r="R645">
            <v>155927.74782139997</v>
          </cell>
          <cell r="S645">
            <v>12.422872061775974</v>
          </cell>
          <cell r="T645">
            <v>0.28946</v>
          </cell>
          <cell r="U645">
            <v>3.4079575927305102E-3</v>
          </cell>
          <cell r="V645">
            <v>2.3E-2</v>
          </cell>
          <cell r="W645">
            <v>0.28489999999999999</v>
          </cell>
          <cell r="X645">
            <v>13.071</v>
          </cell>
          <cell r="Y645">
            <v>11.32</v>
          </cell>
          <cell r="Z645">
            <v>0</v>
          </cell>
          <cell r="AA645">
            <v>0</v>
          </cell>
          <cell r="AB645">
            <v>0</v>
          </cell>
          <cell r="AC645">
            <v>0.25994840675412784</v>
          </cell>
          <cell r="AD645">
            <v>0.12190390970332467</v>
          </cell>
          <cell r="AE645">
            <v>0.38160003000000003</v>
          </cell>
          <cell r="AF645">
            <v>14.323383746711709</v>
          </cell>
          <cell r="AG645">
            <v>8.9817599171871336</v>
          </cell>
          <cell r="AH645">
            <v>202412</v>
          </cell>
          <cell r="AJ645" t="str">
            <v>_x000D_GPOC:Prod'n deferred due to biorem limitations, downhole complications.
PCB:Prod'n deferred due to the low efficiency of PCPs in 23 wells.
A1-A3:Prod'n deferred due to buyer's nomination.</v>
          </cell>
        </row>
        <row r="646">
          <cell r="C646">
            <v>45654</v>
          </cell>
          <cell r="D646">
            <v>351213</v>
          </cell>
          <cell r="E646">
            <v>31956</v>
          </cell>
          <cell r="F646">
            <v>7655.75</v>
          </cell>
          <cell r="G646">
            <v>4508</v>
          </cell>
          <cell r="H646">
            <v>2266</v>
          </cell>
          <cell r="I646">
            <v>174483</v>
          </cell>
          <cell r="J646">
            <v>175089</v>
          </cell>
          <cell r="K646">
            <v>51166.44</v>
          </cell>
          <cell r="L646">
            <v>10243</v>
          </cell>
          <cell r="M646">
            <v>430934</v>
          </cell>
          <cell r="N646">
            <v>7463</v>
          </cell>
          <cell r="O646">
            <v>4546</v>
          </cell>
          <cell r="P646">
            <v>75.917885999999996</v>
          </cell>
          <cell r="Q646">
            <v>0</v>
          </cell>
          <cell r="R646">
            <v>144373.45204869998</v>
          </cell>
          <cell r="S646">
            <v>13.125129195490832</v>
          </cell>
          <cell r="T646">
            <v>0.32507000000000003</v>
          </cell>
          <cell r="U646">
            <v>3.4079575927305102E-3</v>
          </cell>
          <cell r="V646">
            <v>2.1999999999999999E-2</v>
          </cell>
          <cell r="W646">
            <v>0.28602999999999995</v>
          </cell>
          <cell r="X646">
            <v>13.071</v>
          </cell>
          <cell r="Y646">
            <v>11.29</v>
          </cell>
          <cell r="Z646">
            <v>0</v>
          </cell>
          <cell r="AA646">
            <v>0</v>
          </cell>
          <cell r="AB646">
            <v>0</v>
          </cell>
          <cell r="AC646">
            <v>0.27665533049976354</v>
          </cell>
          <cell r="AD646">
            <v>0.11907222771253896</v>
          </cell>
          <cell r="AE646">
            <v>0.37610003000000003</v>
          </cell>
          <cell r="AF646">
            <v>14.319504342384333</v>
          </cell>
          <cell r="AG646">
            <v>9.0023162284283451</v>
          </cell>
          <cell r="AH646">
            <v>202412</v>
          </cell>
          <cell r="AJ646" t="str">
            <v>_x000D_GPOC:Prod'n deferred due to biorem limitations, downhole complications.
PCB:Prod'n deferred due to the low efficiency of PCPs in 23 wells.
A1-A3:Prod'n deferred due to buyer's nomination._x000D_
CPO-5:Wells are closed because of a blockade by the local community.</v>
          </cell>
        </row>
        <row r="647">
          <cell r="C647">
            <v>45655</v>
          </cell>
          <cell r="D647">
            <v>365212</v>
          </cell>
          <cell r="E647">
            <v>32094</v>
          </cell>
          <cell r="F647">
            <v>717.3</v>
          </cell>
          <cell r="G647">
            <v>4567</v>
          </cell>
          <cell r="H647">
            <v>2310</v>
          </cell>
          <cell r="I647">
            <v>174483</v>
          </cell>
          <cell r="J647">
            <v>175711</v>
          </cell>
          <cell r="K647">
            <v>52377.66</v>
          </cell>
          <cell r="L647">
            <v>10993</v>
          </cell>
          <cell r="M647">
            <v>399931</v>
          </cell>
          <cell r="N647">
            <v>7529</v>
          </cell>
          <cell r="O647">
            <v>4137</v>
          </cell>
          <cell r="P647">
            <v>81.515808000000007</v>
          </cell>
          <cell r="Q647">
            <v>0</v>
          </cell>
          <cell r="R647">
            <v>139288.28936359996</v>
          </cell>
          <cell r="S647">
            <v>12.557943292736452</v>
          </cell>
          <cell r="T647">
            <v>0.32674500000000001</v>
          </cell>
          <cell r="U647">
            <v>3.4079575927305102E-3</v>
          </cell>
          <cell r="V647">
            <v>2.1000000000000001E-2</v>
          </cell>
          <cell r="W647">
            <v>0.28486</v>
          </cell>
          <cell r="X647">
            <v>13.071</v>
          </cell>
          <cell r="Y647">
            <v>11.44</v>
          </cell>
          <cell r="Z647">
            <v>0</v>
          </cell>
          <cell r="AA647">
            <v>0</v>
          </cell>
          <cell r="AB647">
            <v>0</v>
          </cell>
          <cell r="AC647">
            <v>0.27297414391174213</v>
          </cell>
          <cell r="AD647">
            <v>0.12190390970332467</v>
          </cell>
          <cell r="AE647">
            <v>0.37790003000000005</v>
          </cell>
          <cell r="AF647">
            <v>14.308659000359622</v>
          </cell>
          <cell r="AG647">
            <v>9.0232023249002093</v>
          </cell>
          <cell r="AH647">
            <v>202412</v>
          </cell>
          <cell r="AJ647" t="str">
            <v xml:space="preserve">
GPOC:Prod'n deferred due to biorem limitations, downhole complications.
PCB:Prod'n deferred due to the low efficiency of PCPs in 23 wells.
A1-A3:Prod'n deferred due to buyer's nomination.
CPO-5:Wells are closed because of a blockade by the local community.
</v>
          </cell>
        </row>
        <row r="648">
          <cell r="C648">
            <v>45656</v>
          </cell>
          <cell r="D648">
            <v>356857</v>
          </cell>
          <cell r="E648">
            <v>33352</v>
          </cell>
          <cell r="F648">
            <v>997.33</v>
          </cell>
          <cell r="G648">
            <v>4559</v>
          </cell>
          <cell r="H648">
            <v>2251</v>
          </cell>
          <cell r="I648">
            <v>174483</v>
          </cell>
          <cell r="J648">
            <v>175910</v>
          </cell>
          <cell r="K648">
            <v>52395.98</v>
          </cell>
          <cell r="L648">
            <v>10846</v>
          </cell>
          <cell r="M648">
            <v>434399</v>
          </cell>
          <cell r="N648">
            <v>7365</v>
          </cell>
          <cell r="O648">
            <v>4421</v>
          </cell>
          <cell r="P648">
            <v>109.00223399999999</v>
          </cell>
          <cell r="Q648">
            <v>0</v>
          </cell>
          <cell r="R648">
            <v>141024.09175529997</v>
          </cell>
          <cell r="S648">
            <v>12.477806692397216</v>
          </cell>
          <cell r="T648">
            <v>0.30938700000000002</v>
          </cell>
          <cell r="U648">
            <v>3.4079575927305102E-3</v>
          </cell>
          <cell r="V648">
            <v>2.1999999999999999E-2</v>
          </cell>
          <cell r="W648">
            <v>0.28449999999999998</v>
          </cell>
          <cell r="X648">
            <v>13.071</v>
          </cell>
          <cell r="Y648">
            <v>11.4</v>
          </cell>
          <cell r="Z648">
            <v>0</v>
          </cell>
          <cell r="AA648">
            <v>0</v>
          </cell>
          <cell r="AB648">
            <v>0</v>
          </cell>
          <cell r="AC648">
            <v>0.27495632130529213</v>
          </cell>
          <cell r="AD648">
            <v>0.11907222771253896</v>
          </cell>
          <cell r="AE648">
            <v>0.38610003000000004</v>
          </cell>
          <cell r="AF648">
            <v>14.308205931241098</v>
          </cell>
          <cell r="AG648">
            <v>9.0086100143071146</v>
          </cell>
          <cell r="AH648">
            <v>202412</v>
          </cell>
          <cell r="AJ648" t="str">
            <v>_x000D_A1-A3:Prod'n deferred due to buyer's nomination.
GPOC:Prod'n deferred due to biorem limitations, downhole complications.
PCB:Prod'n deferred due to the low efficiency of PCPs in 23 wells.
CPO-5:Wells are closed because of a blockade by the local community &amp; CF-2 prod'n: 278.08 bopd.</v>
          </cell>
        </row>
        <row r="649">
          <cell r="C649">
            <v>45657</v>
          </cell>
          <cell r="D649">
            <v>354091</v>
          </cell>
          <cell r="E649">
            <v>34025</v>
          </cell>
          <cell r="F649">
            <v>845</v>
          </cell>
          <cell r="G649">
            <v>4544</v>
          </cell>
          <cell r="H649">
            <v>2269</v>
          </cell>
          <cell r="I649">
            <v>174483</v>
          </cell>
          <cell r="J649">
            <v>176089</v>
          </cell>
          <cell r="K649">
            <v>53021.22</v>
          </cell>
          <cell r="L649">
            <v>9476</v>
          </cell>
          <cell r="M649">
            <v>442792</v>
          </cell>
          <cell r="N649">
            <v>7331</v>
          </cell>
          <cell r="O649">
            <v>4738</v>
          </cell>
          <cell r="P649">
            <v>87.176627999999994</v>
          </cell>
          <cell r="Q649">
            <v>0</v>
          </cell>
          <cell r="R649">
            <v>141350.06123260001</v>
          </cell>
          <cell r="S649">
            <v>11.624337740374404</v>
          </cell>
          <cell r="T649">
            <v>0.33065</v>
          </cell>
          <cell r="U649">
            <v>3.4079575927305102E-3</v>
          </cell>
          <cell r="V649">
            <v>2.1999999999999999E-2</v>
          </cell>
          <cell r="W649">
            <v>0.28398000000000001</v>
          </cell>
          <cell r="X649">
            <v>13.071</v>
          </cell>
          <cell r="Y649">
            <v>11.55</v>
          </cell>
          <cell r="Z649">
            <v>0</v>
          </cell>
          <cell r="AA649">
            <v>0</v>
          </cell>
          <cell r="AB649">
            <v>0</v>
          </cell>
          <cell r="AC649">
            <v>0.27637216230068495</v>
          </cell>
          <cell r="AD649">
            <v>0.12190390970332467</v>
          </cell>
          <cell r="AE649">
            <v>0.40210005999999998</v>
          </cell>
          <cell r="AF649">
            <v>14.26230436617046</v>
          </cell>
          <cell r="AG649">
            <v>9.0285522202042472</v>
          </cell>
          <cell r="AH649">
            <v>202412</v>
          </cell>
          <cell r="AJ649" t="str">
            <v>_x000D_A1-A3:Prod'n deferred due to buyer's nomination.
GPOC:Prod'n deferred due to biorem limitations, downhole complications.
PCB:Prod'n deferred due to the low efficiency of PCPs in 23 wells.
CPO-5:Wells are closed because of a blockade by the local community.
SPOC:Prod'n deferred due to water draining and power dip.</v>
          </cell>
        </row>
        <row r="650">
          <cell r="C650">
            <v>45658</v>
          </cell>
          <cell r="D650">
            <v>350912</v>
          </cell>
          <cell r="E650">
            <v>32862</v>
          </cell>
          <cell r="F650">
            <v>14963</v>
          </cell>
          <cell r="G650">
            <v>4537</v>
          </cell>
          <cell r="H650">
            <v>2246</v>
          </cell>
          <cell r="I650">
            <v>174483</v>
          </cell>
          <cell r="J650">
            <v>175952</v>
          </cell>
          <cell r="K650">
            <v>51877</v>
          </cell>
          <cell r="L650">
            <v>11684</v>
          </cell>
          <cell r="M650">
            <v>418880</v>
          </cell>
          <cell r="N650">
            <v>7383</v>
          </cell>
          <cell r="O650">
            <v>4449</v>
          </cell>
          <cell r="P650">
            <v>78.811193999999986</v>
          </cell>
          <cell r="Q650">
            <v>0</v>
          </cell>
          <cell r="R650">
            <v>149940.0460373</v>
          </cell>
          <cell r="S650">
            <v>12.154428609049489</v>
          </cell>
          <cell r="T650">
            <v>0.33203700000000003</v>
          </cell>
          <cell r="U650">
            <v>3.4079575927305102E-3</v>
          </cell>
          <cell r="V650">
            <v>2.1999999999999999E-2</v>
          </cell>
          <cell r="W650">
            <v>0.28414999999999996</v>
          </cell>
          <cell r="X650">
            <v>11.661289999999999</v>
          </cell>
          <cell r="Y650">
            <v>11.39</v>
          </cell>
          <cell r="Z650">
            <v>0</v>
          </cell>
          <cell r="AA650">
            <v>0</v>
          </cell>
          <cell r="AB650">
            <v>0</v>
          </cell>
          <cell r="AC650">
            <v>0.27637216230068495</v>
          </cell>
          <cell r="AD650">
            <v>0.11822272311530324</v>
          </cell>
          <cell r="AE650">
            <v>0.39210003000000004</v>
          </cell>
          <cell r="AF650">
            <v>16.385000000000002</v>
          </cell>
          <cell r="AG650">
            <v>9.0759456377288075</v>
          </cell>
          <cell r="AH650">
            <v>202501</v>
          </cell>
          <cell r="AJ650" t="str">
            <v>CPO-5:Prod'n from Indico pad wells is being ramped-up after lifting of blockade. The normalization of operations is taking more time due to tanker availability concerns.
PCB:Prod'n deferred due to the low efficiency of PCPs in 23 wells.
GPOC:Prod'n deferred due to biorem limitations, downhole complications.
A1-A3:CNUOC has increased its gas nominations amid the winter season. MOGE's nominations have also increased._x000D_</v>
          </cell>
        </row>
        <row r="651">
          <cell r="C651">
            <v>45659</v>
          </cell>
          <cell r="D651">
            <v>331041</v>
          </cell>
          <cell r="E651">
            <v>32654</v>
          </cell>
          <cell r="F651">
            <v>19454.669999999998</v>
          </cell>
          <cell r="G651">
            <v>4552</v>
          </cell>
          <cell r="H651">
            <v>2240</v>
          </cell>
          <cell r="I651">
            <v>174483</v>
          </cell>
          <cell r="J651">
            <v>176222</v>
          </cell>
          <cell r="K651">
            <v>51536.78</v>
          </cell>
          <cell r="L651">
            <v>10699</v>
          </cell>
          <cell r="M651">
            <v>407699</v>
          </cell>
          <cell r="N651">
            <v>7279</v>
          </cell>
          <cell r="O651">
            <v>3750</v>
          </cell>
          <cell r="P651">
            <v>118.940118</v>
          </cell>
          <cell r="Q651">
            <v>0</v>
          </cell>
          <cell r="R651">
            <v>151475.62005310002</v>
          </cell>
          <cell r="S651">
            <v>12.751630340906193</v>
          </cell>
          <cell r="T651">
            <v>0.33125100000000002</v>
          </cell>
          <cell r="U651">
            <v>3.4079575927305102E-3</v>
          </cell>
          <cell r="V651">
            <v>2.1999999999999999E-2</v>
          </cell>
          <cell r="W651">
            <v>0.28448000000000001</v>
          </cell>
          <cell r="X651">
            <v>11.661289999999999</v>
          </cell>
          <cell r="Y651">
            <v>11.28</v>
          </cell>
          <cell r="Z651">
            <v>0</v>
          </cell>
          <cell r="AA651">
            <v>0</v>
          </cell>
          <cell r="AB651">
            <v>0</v>
          </cell>
          <cell r="AC651">
            <v>0.27637216230068495</v>
          </cell>
          <cell r="AD651">
            <v>0.11822272311530324</v>
          </cell>
          <cell r="AE651">
            <v>0.39510005999999998</v>
          </cell>
          <cell r="AF651">
            <v>16.459151571441918</v>
          </cell>
          <cell r="AG651">
            <v>9.0788873490307402</v>
          </cell>
          <cell r="AH651">
            <v>202501</v>
          </cell>
          <cell r="AJ651" t="str">
            <v>_x000D_PCB:Prod'n deferred due to the low efficiency of PCPs in 23 wells.
GPOC:Prod'n deferred due to biorem limitations, downhole complications.
A1-A3:CNUOC has increased its gas nominations amid the winter season.MOGE's nominations have also increased.
CPO-5:The normalization of operations is taking more time due to tanker availability concerns.</v>
          </cell>
        </row>
        <row r="652">
          <cell r="C652">
            <v>45660</v>
          </cell>
          <cell r="D652">
            <v>363571</v>
          </cell>
          <cell r="E652">
            <v>33553</v>
          </cell>
          <cell r="F652">
            <v>22468.86</v>
          </cell>
          <cell r="G652">
            <v>4559</v>
          </cell>
          <cell r="H652">
            <v>2292</v>
          </cell>
          <cell r="I652">
            <v>168010</v>
          </cell>
          <cell r="J652">
            <v>175456</v>
          </cell>
          <cell r="K652">
            <v>52090.23</v>
          </cell>
          <cell r="L652">
            <v>8006</v>
          </cell>
          <cell r="M652">
            <v>409729</v>
          </cell>
          <cell r="N652">
            <v>7295</v>
          </cell>
          <cell r="O652">
            <v>4403</v>
          </cell>
          <cell r="P652">
            <v>88.434587999999991</v>
          </cell>
          <cell r="Q652">
            <v>0</v>
          </cell>
          <cell r="R652">
            <v>153160.63431460003</v>
          </cell>
          <cell r="S652">
            <v>12.121297929757294</v>
          </cell>
          <cell r="T652">
            <v>0.32894099999999998</v>
          </cell>
          <cell r="U652">
            <v>3.4079575927305102E-3</v>
          </cell>
          <cell r="V652">
            <v>2.1000000000000001E-2</v>
          </cell>
          <cell r="W652">
            <v>0.28279000000000004</v>
          </cell>
          <cell r="X652">
            <v>11.661289999999999</v>
          </cell>
          <cell r="Y652">
            <v>11.36</v>
          </cell>
          <cell r="Z652">
            <v>0</v>
          </cell>
          <cell r="AA652">
            <v>0</v>
          </cell>
          <cell r="AB652">
            <v>0</v>
          </cell>
          <cell r="AC652">
            <v>0.2726909757126636</v>
          </cell>
          <cell r="AD652">
            <v>0.11949698001115681</v>
          </cell>
          <cell r="AE652">
            <v>0.39820006000000002</v>
          </cell>
          <cell r="AF652">
            <v>15.88143181168182</v>
          </cell>
          <cell r="AG652">
            <v>8.981723839079077</v>
          </cell>
          <cell r="AH652">
            <v>202501</v>
          </cell>
          <cell r="AJ652" t="str">
            <v xml:space="preserve">
GPOC:Prod'n deferred due to biorem limitations, downhole complications.
PCB:Prod'n deferred due to the low efficiency of PCPs in 23 wells.
SPOC:Prod'n deferred due to water draining and power dip.
CPO-5:The normalization of operations is taking more time due to tanker availability concerns.</v>
          </cell>
        </row>
        <row r="653">
          <cell r="C653">
            <v>45661</v>
          </cell>
          <cell r="D653">
            <v>352256</v>
          </cell>
          <cell r="E653">
            <v>31220</v>
          </cell>
          <cell r="F653">
            <v>24714.14</v>
          </cell>
          <cell r="G653">
            <v>4507</v>
          </cell>
          <cell r="H653">
            <v>2243</v>
          </cell>
          <cell r="I653">
            <v>168010</v>
          </cell>
          <cell r="J653">
            <v>175788</v>
          </cell>
          <cell r="K653">
            <v>52751.71</v>
          </cell>
          <cell r="L653">
            <v>11156</v>
          </cell>
          <cell r="M653">
            <v>392441</v>
          </cell>
          <cell r="N653">
            <v>7184</v>
          </cell>
          <cell r="O653">
            <v>4059.9999999999995</v>
          </cell>
          <cell r="P653">
            <v>98.120879999999985</v>
          </cell>
          <cell r="Q653">
            <v>0</v>
          </cell>
          <cell r="R653">
            <v>153871.51289599997</v>
          </cell>
          <cell r="S653">
            <v>12.100343483025483</v>
          </cell>
          <cell r="T653">
            <v>0.31304100000000001</v>
          </cell>
          <cell r="U653">
            <v>3.4079575927305102E-3</v>
          </cell>
          <cell r="V653">
            <v>2.1999999999999999E-2</v>
          </cell>
          <cell r="W653">
            <v>0.28292</v>
          </cell>
          <cell r="X653">
            <v>11.661289999999999</v>
          </cell>
          <cell r="Y653">
            <v>11.27</v>
          </cell>
          <cell r="Z653">
            <v>0</v>
          </cell>
          <cell r="AA653">
            <v>0</v>
          </cell>
          <cell r="AB653">
            <v>0</v>
          </cell>
          <cell r="AC653">
            <v>0.27580582590252783</v>
          </cell>
          <cell r="AD653">
            <v>0.11363539829023041</v>
          </cell>
          <cell r="AE653">
            <v>0.39830006000000001</v>
          </cell>
          <cell r="AF653">
            <v>15.966807023704011</v>
          </cell>
          <cell r="AG653">
            <v>8.9666047083884592</v>
          </cell>
          <cell r="AH653">
            <v>202501</v>
          </cell>
          <cell r="AJ653" t="str">
            <v>_x000D_GPOC:Prod'n deferred due to biorem limitations, downhole complications.
PCB:Prod'n deferred due to the low efficiency of PCPs in 23 wells.
LZC:Strorage tank integrity issue.
CPO-5:CF-2 well shutdown due to a PBU test.</v>
          </cell>
        </row>
        <row r="654">
          <cell r="C654">
            <v>45662</v>
          </cell>
          <cell r="D654">
            <v>323135</v>
          </cell>
          <cell r="E654">
            <v>19780</v>
          </cell>
          <cell r="F654">
            <v>24630.78</v>
          </cell>
          <cell r="G654">
            <v>4500</v>
          </cell>
          <cell r="H654">
            <v>2300</v>
          </cell>
          <cell r="I654">
            <v>168010</v>
          </cell>
          <cell r="J654">
            <v>175811</v>
          </cell>
          <cell r="K654">
            <v>53945.29</v>
          </cell>
          <cell r="L654">
            <v>10443</v>
          </cell>
          <cell r="M654">
            <v>388153</v>
          </cell>
          <cell r="N654">
            <v>7016</v>
          </cell>
          <cell r="O654">
            <v>4324</v>
          </cell>
          <cell r="P654">
            <v>83.088257999999996</v>
          </cell>
          <cell r="Q654">
            <v>0</v>
          </cell>
          <cell r="R654">
            <v>149967.2707161</v>
          </cell>
          <cell r="S654">
            <v>11.99613758576457</v>
          </cell>
          <cell r="T654">
            <v>0.23776800000000001</v>
          </cell>
          <cell r="U654">
            <v>3.4079575927305102E-3</v>
          </cell>
          <cell r="V654">
            <v>2.4E-2</v>
          </cell>
          <cell r="W654">
            <v>0.28408999999999995</v>
          </cell>
          <cell r="X654">
            <v>11.661289999999999</v>
          </cell>
          <cell r="Y654">
            <v>11.46</v>
          </cell>
          <cell r="Z654">
            <v>0</v>
          </cell>
          <cell r="AA654">
            <v>0</v>
          </cell>
          <cell r="AB654">
            <v>0</v>
          </cell>
          <cell r="AC654">
            <v>0.27354048030989925</v>
          </cell>
          <cell r="AD654">
            <v>0.11236114139437683</v>
          </cell>
          <cell r="AE654">
            <v>0.39270003000000003</v>
          </cell>
          <cell r="AF654">
            <v>15.965730984547513</v>
          </cell>
          <cell r="AG654">
            <v>8.9913411449634424</v>
          </cell>
          <cell r="AH654">
            <v>202501</v>
          </cell>
          <cell r="AJ654" t="str">
            <v>_x000D_GPOC:Prod'n deferred due to biorem limitations, downhole complications.
PCB:Prod'n deferred due to the low efficiency of PCPs in 23 wells.
CPO-5:CF-2 well shutdown due to a PBU test.
LZC:Strorage tank integrity issue.
BC-10:ALM 2 stopped, high scaling phenomenas happening on train B pumps suction strainers both crude oil and PW pumps.</v>
          </cell>
        </row>
        <row r="655">
          <cell r="C655">
            <v>45663</v>
          </cell>
          <cell r="D655">
            <v>325021</v>
          </cell>
          <cell r="E655">
            <v>20094</v>
          </cell>
          <cell r="F655">
            <v>24634.51</v>
          </cell>
          <cell r="G655">
            <v>4435</v>
          </cell>
          <cell r="H655">
            <v>2285</v>
          </cell>
          <cell r="I655">
            <v>168010</v>
          </cell>
          <cell r="J655">
            <v>176245</v>
          </cell>
          <cell r="K655">
            <v>53610.68</v>
          </cell>
          <cell r="L655">
            <v>11452</v>
          </cell>
          <cell r="M655">
            <v>374729</v>
          </cell>
          <cell r="N655">
            <v>7108</v>
          </cell>
          <cell r="O655">
            <v>3955</v>
          </cell>
          <cell r="P655">
            <v>115.79521799999999</v>
          </cell>
          <cell r="Q655">
            <v>0</v>
          </cell>
          <cell r="R655">
            <v>149675.2140981</v>
          </cell>
          <cell r="S655">
            <v>14.248457441235518</v>
          </cell>
          <cell r="T655">
            <v>0.22489200000000001</v>
          </cell>
          <cell r="U655">
            <v>3.4079575927305102E-3</v>
          </cell>
          <cell r="V655">
            <v>2.3E-2</v>
          </cell>
          <cell r="W655">
            <v>0.28226999999999997</v>
          </cell>
          <cell r="X655">
            <v>11.661289999999999</v>
          </cell>
          <cell r="Y655">
            <v>11.39</v>
          </cell>
          <cell r="Z655">
            <v>0</v>
          </cell>
          <cell r="AA655">
            <v>0</v>
          </cell>
          <cell r="AB655">
            <v>0</v>
          </cell>
          <cell r="AC655">
            <v>0.27212463931450637</v>
          </cell>
          <cell r="AD655">
            <v>0.1127858936929947</v>
          </cell>
          <cell r="AE655">
            <v>0.39770006000000002</v>
          </cell>
          <cell r="AF655">
            <v>15.965362865888709</v>
          </cell>
          <cell r="AG655">
            <v>9.0354265724739253</v>
          </cell>
          <cell r="AH655">
            <v>202501</v>
          </cell>
          <cell r="AJ655" t="str">
            <v xml:space="preserve">
GPOC:Prod'n deferred due to biorem limitations, downhole complications.
PCB:Prod'n deferred due to the low efficiency of PCPs in 23 wells.
LZC:Strorage tank integrity issue.
CPO-5:CF-2 well shutdown due to a PBU test.
BC-10:ALM 2 stopped, high scaling phenomenas happening on train B pumps suction strainers both crude oil and PW pumps.</v>
          </cell>
        </row>
        <row r="656">
          <cell r="C656">
            <v>45664</v>
          </cell>
          <cell r="D656">
            <v>321171</v>
          </cell>
          <cell r="E656">
            <v>29874</v>
          </cell>
          <cell r="F656">
            <v>24727.21</v>
          </cell>
          <cell r="G656">
            <v>4402</v>
          </cell>
          <cell r="H656">
            <v>2257</v>
          </cell>
          <cell r="I656">
            <v>168010</v>
          </cell>
          <cell r="J656">
            <v>176324</v>
          </cell>
          <cell r="K656">
            <v>51892.21</v>
          </cell>
          <cell r="L656">
            <v>9224</v>
          </cell>
          <cell r="M656">
            <v>364911</v>
          </cell>
          <cell r="N656">
            <v>7045</v>
          </cell>
          <cell r="O656">
            <v>4813</v>
          </cell>
          <cell r="P656">
            <v>84.534911999999991</v>
          </cell>
          <cell r="Q656">
            <v>0</v>
          </cell>
          <cell r="R656">
            <v>151206.49196040002</v>
          </cell>
          <cell r="S656">
            <v>14.844243332096829</v>
          </cell>
          <cell r="T656">
            <v>0.240701</v>
          </cell>
          <cell r="U656">
            <v>3.4079575927305102E-3</v>
          </cell>
          <cell r="V656">
            <v>2.3E-2</v>
          </cell>
          <cell r="W656">
            <v>0.28254000000000001</v>
          </cell>
          <cell r="X656">
            <v>11.661289999999999</v>
          </cell>
          <cell r="Y656">
            <v>11.31</v>
          </cell>
          <cell r="Z656">
            <v>0</v>
          </cell>
          <cell r="AA656">
            <v>0</v>
          </cell>
          <cell r="AB656">
            <v>0</v>
          </cell>
          <cell r="AC656">
            <v>0.27523948950437072</v>
          </cell>
          <cell r="AD656">
            <v>4.9214632999855581E-2</v>
          </cell>
          <cell r="AE656">
            <v>0.40720005999999997</v>
          </cell>
          <cell r="AF656">
            <v>15.965221281789169</v>
          </cell>
          <cell r="AG656">
            <v>9.0157567997283259</v>
          </cell>
          <cell r="AH656">
            <v>202501</v>
          </cell>
          <cell r="AJ656" t="str">
            <v>_x000D_
PCB:_x000D_Prod'n deferred due to the low efficiency of PCPs in 23 wells.
GPOC:Prod'n deferred due to biorem limitations, downhole complications.
LZC:Strorage tank integrity issue.
ACG:Wells B12Z, B33, B36 is closed due to Sand issue. GIC Tr4 is offline for outage.
SPOC:Prod'n deferred due to water draining and power dip.</v>
          </cell>
        </row>
        <row r="657">
          <cell r="C657">
            <v>45665</v>
          </cell>
          <cell r="D657">
            <v>334448</v>
          </cell>
          <cell r="E657">
            <v>30610</v>
          </cell>
          <cell r="F657">
            <v>24732.59</v>
          </cell>
          <cell r="G657">
            <v>4423</v>
          </cell>
          <cell r="H657">
            <v>2291</v>
          </cell>
          <cell r="I657">
            <v>168010</v>
          </cell>
          <cell r="J657">
            <v>175116</v>
          </cell>
          <cell r="K657">
            <v>52793.66</v>
          </cell>
          <cell r="L657">
            <v>7252</v>
          </cell>
          <cell r="M657">
            <v>394402</v>
          </cell>
          <cell r="N657">
            <v>7066</v>
          </cell>
          <cell r="O657">
            <v>4313</v>
          </cell>
          <cell r="P657">
            <v>79.188581999999997</v>
          </cell>
          <cell r="Q657">
            <v>0</v>
          </cell>
          <cell r="R657">
            <v>152256.91186190004</v>
          </cell>
          <cell r="S657">
            <v>14.779680982706919</v>
          </cell>
          <cell r="T657">
            <v>0.318301</v>
          </cell>
          <cell r="U657">
            <v>3.4079575927305102E-3</v>
          </cell>
          <cell r="V657">
            <v>2.1999999999999999E-2</v>
          </cell>
          <cell r="W657">
            <v>0.28326999999999997</v>
          </cell>
          <cell r="X657">
            <v>11.661289999999999</v>
          </cell>
          <cell r="Y657">
            <v>11.23</v>
          </cell>
          <cell r="Z657">
            <v>0</v>
          </cell>
          <cell r="AA657">
            <v>0</v>
          </cell>
          <cell r="AB657">
            <v>0</v>
          </cell>
          <cell r="AC657">
            <v>0.28061968528686354</v>
          </cell>
          <cell r="AD657">
            <v>4.0776220667314171E-2</v>
          </cell>
          <cell r="AE657">
            <v>0.40960005999999999</v>
          </cell>
          <cell r="AF657">
            <v>15.966410588225301</v>
          </cell>
          <cell r="AG657">
            <v>9.0127489897058695</v>
          </cell>
          <cell r="AH657">
            <v>202501</v>
          </cell>
          <cell r="AJ657" t="str">
            <v xml:space="preserve">
PCB:Prod'n deferred due to the low efficiency of PCPs in 23 wells.
GPOC:Prod'n deferred due to biorem limitations, downhole complications.
LZC:Strorage tank integrity issue.
ACG:Wells B12Z, B33, B36 are closed due to Sand issue.
SPOC:MALA field wells is suspended for Genset servicing.</v>
          </cell>
        </row>
        <row r="658">
          <cell r="C658">
            <v>45666</v>
          </cell>
          <cell r="D658">
            <v>338992</v>
          </cell>
          <cell r="E658">
            <v>29553</v>
          </cell>
          <cell r="F658">
            <v>24643.96</v>
          </cell>
          <cell r="G658">
            <v>4401</v>
          </cell>
          <cell r="H658">
            <v>2282</v>
          </cell>
          <cell r="I658">
            <v>168010</v>
          </cell>
          <cell r="J658">
            <v>172287</v>
          </cell>
          <cell r="K658">
            <v>52013.919999999998</v>
          </cell>
          <cell r="L658">
            <v>11917</v>
          </cell>
          <cell r="M658">
            <v>402385</v>
          </cell>
          <cell r="N658">
            <v>7103</v>
          </cell>
          <cell r="O658">
            <v>3534</v>
          </cell>
          <cell r="P658">
            <v>106.86370199999999</v>
          </cell>
          <cell r="Q658">
            <v>0</v>
          </cell>
          <cell r="R658">
            <v>152241.59291589996</v>
          </cell>
          <cell r="S658">
            <v>14.610912736056093</v>
          </cell>
          <cell r="T658">
            <v>0.33051599999999998</v>
          </cell>
          <cell r="U658">
            <v>3.4079575927305102E-3</v>
          </cell>
          <cell r="V658">
            <v>2.1999999999999999E-2</v>
          </cell>
          <cell r="W658">
            <v>0.28175</v>
          </cell>
          <cell r="X658">
            <v>11.661289999999999</v>
          </cell>
          <cell r="Y658">
            <v>11.25</v>
          </cell>
          <cell r="Z658">
            <v>0</v>
          </cell>
          <cell r="AA658">
            <v>0</v>
          </cell>
          <cell r="AB658">
            <v>0</v>
          </cell>
          <cell r="AC658">
            <v>0.28090285348594207</v>
          </cell>
          <cell r="AD658">
            <v>4.6156416449807017E-2</v>
          </cell>
          <cell r="AE658">
            <v>0.40270059999999996</v>
          </cell>
          <cell r="AF658">
            <v>15.893579727422292</v>
          </cell>
          <cell r="AG658">
            <v>9.0014877919697192</v>
          </cell>
          <cell r="AH658">
            <v>202501</v>
          </cell>
          <cell r="AJ658" t="str">
            <v xml:space="preserve">
GPOC:Prod'n deferred due to biorem limitations, downhole complications.
PCB:Prod'n deferred due to the low efficiency of PCPs in 23 wells.
ACG:Wells B12Z, B36 are closed due to Sand issue.</v>
          </cell>
        </row>
        <row r="659">
          <cell r="C659">
            <v>45667</v>
          </cell>
          <cell r="D659">
            <v>334769</v>
          </cell>
          <cell r="E659">
            <v>28038</v>
          </cell>
          <cell r="F659">
            <v>24533</v>
          </cell>
          <cell r="G659">
            <v>4418</v>
          </cell>
          <cell r="H659">
            <v>2249</v>
          </cell>
          <cell r="I659">
            <v>151470</v>
          </cell>
          <cell r="J659">
            <v>168985</v>
          </cell>
          <cell r="K659">
            <v>50077.09</v>
          </cell>
          <cell r="L659">
            <v>12294</v>
          </cell>
          <cell r="M659">
            <v>401981</v>
          </cell>
          <cell r="N659">
            <v>7110</v>
          </cell>
          <cell r="O659">
            <v>3887</v>
          </cell>
          <cell r="P659">
            <v>91.076303999999993</v>
          </cell>
          <cell r="Q659">
            <v>0</v>
          </cell>
          <cell r="R659">
            <v>147165.77758679999</v>
          </cell>
          <cell r="S659">
            <v>14.490849419646771</v>
          </cell>
          <cell r="T659">
            <v>0.327658</v>
          </cell>
          <cell r="U659">
            <v>3.4079575927305102E-3</v>
          </cell>
          <cell r="V659">
            <v>2.4E-2</v>
          </cell>
          <cell r="W659">
            <v>0.28169</v>
          </cell>
          <cell r="X659">
            <v>11.661289999999999</v>
          </cell>
          <cell r="Y659">
            <v>10.94</v>
          </cell>
          <cell r="Z659">
            <v>0</v>
          </cell>
          <cell r="AA659">
            <v>0</v>
          </cell>
          <cell r="AB659">
            <v>0</v>
          </cell>
          <cell r="AC659">
            <v>0.28175235808317778</v>
          </cell>
          <cell r="AD659">
            <v>4.3183150359482024E-2</v>
          </cell>
          <cell r="AE659">
            <v>0.40200005999999999</v>
          </cell>
          <cell r="AF659">
            <v>15.878147060572507</v>
          </cell>
          <cell r="AG659">
            <v>8.9135096226698476</v>
          </cell>
          <cell r="AH659">
            <v>202501</v>
          </cell>
          <cell r="AJ659" t="str">
            <v xml:space="preserve">
GPOC:Prod'n deferred due to biorem limitations, downhole complications.
PCB:Prod'n deferred due to the low efficiency of PCPs in 23 wells.
ACG:Wells B12Z, B36 are closed due to Sand issue.
BC-10:BW1, BW3 shut down. As part of ALM2 strategy to maintain stability on Mobo 6. BW2 shut-in due to high BSW and production liquid constraint.</v>
          </cell>
        </row>
        <row r="660">
          <cell r="C660">
            <v>45668</v>
          </cell>
          <cell r="D660">
            <v>332595</v>
          </cell>
          <cell r="E660">
            <v>28258</v>
          </cell>
          <cell r="F660">
            <v>24138</v>
          </cell>
          <cell r="G660">
            <v>4457</v>
          </cell>
          <cell r="H660">
            <v>2270</v>
          </cell>
          <cell r="I660">
            <v>151470</v>
          </cell>
          <cell r="J660">
            <v>169182</v>
          </cell>
          <cell r="K660">
            <v>50531</v>
          </cell>
          <cell r="L660">
            <v>11810</v>
          </cell>
          <cell r="M660">
            <v>418213</v>
          </cell>
          <cell r="N660">
            <v>7012</v>
          </cell>
          <cell r="O660">
            <v>4339</v>
          </cell>
          <cell r="P660">
            <v>94.158305999999996</v>
          </cell>
          <cell r="Q660">
            <v>0</v>
          </cell>
          <cell r="R660">
            <v>147794.20748770001</v>
          </cell>
          <cell r="S660">
            <v>15.065114527378119</v>
          </cell>
          <cell r="T660">
            <v>0.32610299999999998</v>
          </cell>
          <cell r="U660">
            <v>3.4079575927305102E-3</v>
          </cell>
          <cell r="V660">
            <v>2.4E-2</v>
          </cell>
          <cell r="W660">
            <v>0.28229000000000004</v>
          </cell>
          <cell r="X660">
            <v>11.661289999999999</v>
          </cell>
          <cell r="Y660">
            <v>10.75</v>
          </cell>
          <cell r="Z660">
            <v>0</v>
          </cell>
          <cell r="AA660">
            <v>0</v>
          </cell>
          <cell r="AB660">
            <v>0</v>
          </cell>
          <cell r="AC660">
            <v>0.27892067609239207</v>
          </cell>
          <cell r="AD660">
            <v>4.2333645762246318E-2</v>
          </cell>
          <cell r="AE660">
            <v>0.40540006000000001</v>
          </cell>
          <cell r="AF660">
            <v>15.877467456894719</v>
          </cell>
          <cell r="AG660">
            <v>8.8818502075878847</v>
          </cell>
          <cell r="AH660">
            <v>202501</v>
          </cell>
          <cell r="AJ660" t="str">
            <v>GPOC:Prod'n deferred due to biorem limitations, downhole complications.
PCB:Prod'n deferred due to the low efficiency of PCPs in 23 wells.
ACG:Wells B12Z, B36 are closed due to Sand issue.
CPO-5:Wells are closed because of a blockade performed by the community.
BC-10:BW1, BW3 shut down. As part of ALM2 strategy to maintain stability on Mobo 6. BW2 shut-in due to high BSW and production liquid constraint.</v>
          </cell>
        </row>
        <row r="661">
          <cell r="C661">
            <v>45669</v>
          </cell>
          <cell r="D661">
            <v>335456</v>
          </cell>
          <cell r="E661">
            <v>28415</v>
          </cell>
          <cell r="F661">
            <v>24493.56</v>
          </cell>
          <cell r="G661">
            <v>4500</v>
          </cell>
          <cell r="H661">
            <v>2332</v>
          </cell>
          <cell r="I661">
            <v>151470</v>
          </cell>
          <cell r="J661">
            <v>170823</v>
          </cell>
          <cell r="K661">
            <v>51658.66</v>
          </cell>
          <cell r="L661">
            <v>8221</v>
          </cell>
          <cell r="M661">
            <v>409469</v>
          </cell>
          <cell r="N661">
            <v>7088</v>
          </cell>
          <cell r="O661">
            <v>4327</v>
          </cell>
          <cell r="P661">
            <v>91.327895999999996</v>
          </cell>
          <cell r="Q661">
            <v>0</v>
          </cell>
          <cell r="R661">
            <v>147747.92880320002</v>
          </cell>
          <cell r="S661">
            <v>14.645742424542755</v>
          </cell>
          <cell r="T661">
            <v>0.32969999999999999</v>
          </cell>
          <cell r="U661">
            <v>3.4079575927305102E-3</v>
          </cell>
          <cell r="V661">
            <v>2.4E-2</v>
          </cell>
          <cell r="W661">
            <v>0.28191000000000005</v>
          </cell>
          <cell r="X661">
            <v>11.661289999999999</v>
          </cell>
          <cell r="Y661">
            <v>10.78</v>
          </cell>
          <cell r="Z661">
            <v>0</v>
          </cell>
          <cell r="AA661">
            <v>0</v>
          </cell>
          <cell r="AB661">
            <v>0</v>
          </cell>
          <cell r="AC661">
            <v>0.27750483509699925</v>
          </cell>
          <cell r="AD661">
            <v>4.6269683729438446E-2</v>
          </cell>
          <cell r="AE661">
            <v>0.39930006000000001</v>
          </cell>
          <cell r="AF661">
            <v>15.790591453417415</v>
          </cell>
          <cell r="AG661">
            <v>8.8618795156661925</v>
          </cell>
          <cell r="AH661">
            <v>202501</v>
          </cell>
          <cell r="AJ661" t="str">
            <v xml:space="preserve">
PCB:Prod'n deferred due to the low efficiency of PCPs in 23 wells.
GPOC:Prod'n deferred due to biorem limitations, downhole complications.
ACG:Wells B12Z, B36 are closed due to Sand issue.
CPO-5:Indico-3 is closed at the request of the WO crew.
BC-10:BW2 shut-in due to high BSW and production liquid constraint.
SPOC:Prod'n deferred due to water draining and power dip.
</v>
          </cell>
        </row>
        <row r="662">
          <cell r="C662">
            <v>45670</v>
          </cell>
          <cell r="D662">
            <v>339763</v>
          </cell>
          <cell r="E662">
            <v>29013</v>
          </cell>
          <cell r="F662">
            <v>23649</v>
          </cell>
          <cell r="G662">
            <v>4524</v>
          </cell>
          <cell r="H662">
            <v>2281</v>
          </cell>
          <cell r="I662">
            <v>151470</v>
          </cell>
          <cell r="J662">
            <v>173643</v>
          </cell>
          <cell r="K662">
            <v>51907.93</v>
          </cell>
          <cell r="L662">
            <v>8378</v>
          </cell>
          <cell r="M662">
            <v>421556</v>
          </cell>
          <cell r="N662">
            <v>7101</v>
          </cell>
          <cell r="O662">
            <v>4359</v>
          </cell>
          <cell r="P662">
            <v>111.89554199999999</v>
          </cell>
          <cell r="Q662">
            <v>0</v>
          </cell>
          <cell r="R662">
            <v>148745.53574389999</v>
          </cell>
          <cell r="S662">
            <v>14.739754266636838</v>
          </cell>
          <cell r="T662">
            <v>0.32395499999999999</v>
          </cell>
          <cell r="U662">
            <v>3.4079575927305102E-3</v>
          </cell>
          <cell r="V662">
            <v>2.4E-2</v>
          </cell>
          <cell r="W662">
            <v>0.28050999999999998</v>
          </cell>
          <cell r="X662">
            <v>11.661289999999999</v>
          </cell>
          <cell r="Y662">
            <v>10.88</v>
          </cell>
          <cell r="Z662">
            <v>0</v>
          </cell>
          <cell r="AA662">
            <v>0</v>
          </cell>
          <cell r="AB662">
            <v>0</v>
          </cell>
          <cell r="AC662">
            <v>0.27410681670805642</v>
          </cell>
          <cell r="AD662">
            <v>4.2418596221969883E-2</v>
          </cell>
          <cell r="AE662">
            <v>0.39440006</v>
          </cell>
          <cell r="AF662">
            <v>15.790279968398428</v>
          </cell>
          <cell r="AG662">
            <v>8.8835060425684453</v>
          </cell>
          <cell r="AH662">
            <v>202501</v>
          </cell>
          <cell r="AJ662" t="str">
            <v>PCB:Prod'n deferred due to the low efficiency of PCPs in 23 wells.
GPOC:Prod'n deferred due to biorem limitations, downhole complications.
ACG:Wells J8a,J12,J17,C24 are shut due to sand issue.Well 18a is shut due to water load up.
SPOC:Prod'n deferred due to water draining and power dip.
CPO-5:Indico 3-71.91 bopd because of fluid displacement that took place to control/kill the well with sodium formate.
Vankor:Reason awaited from the operator.</v>
          </cell>
        </row>
        <row r="663">
          <cell r="C663">
            <v>45671</v>
          </cell>
          <cell r="D663">
            <v>345474</v>
          </cell>
          <cell r="E663">
            <v>32277</v>
          </cell>
          <cell r="F663">
            <v>23568.38</v>
          </cell>
          <cell r="G663">
            <v>4508</v>
          </cell>
          <cell r="H663">
            <v>2266</v>
          </cell>
          <cell r="I663">
            <v>151470</v>
          </cell>
          <cell r="J663">
            <v>173847</v>
          </cell>
          <cell r="K663">
            <v>52834.01</v>
          </cell>
          <cell r="L663">
            <v>12245</v>
          </cell>
          <cell r="M663">
            <v>396108</v>
          </cell>
          <cell r="N663">
            <v>7119</v>
          </cell>
          <cell r="O663">
            <v>0</v>
          </cell>
          <cell r="P663">
            <v>100.511004</v>
          </cell>
          <cell r="Q663">
            <v>0</v>
          </cell>
          <cell r="R663">
            <v>148167.2392018</v>
          </cell>
          <cell r="S663">
            <v>14.749665153604585</v>
          </cell>
          <cell r="T663">
            <v>0.325737</v>
          </cell>
          <cell r="U663">
            <v>3.4079575927305102E-3</v>
          </cell>
          <cell r="V663">
            <v>2.4E-2</v>
          </cell>
          <cell r="W663">
            <v>0.28200999999999998</v>
          </cell>
          <cell r="X663">
            <v>11.661289999999999</v>
          </cell>
          <cell r="Y663">
            <v>11.06</v>
          </cell>
          <cell r="Z663">
            <v>0</v>
          </cell>
          <cell r="AA663">
            <v>0</v>
          </cell>
          <cell r="AB663">
            <v>0</v>
          </cell>
          <cell r="AC663">
            <v>0.27438998490713495</v>
          </cell>
          <cell r="AD663">
            <v>3.6840182700122043E-2</v>
          </cell>
          <cell r="AE663">
            <v>0.39150003000000005</v>
          </cell>
          <cell r="AF663">
            <v>15.79183739349336</v>
          </cell>
          <cell r="AG663">
            <v>8.9293366078715515</v>
          </cell>
          <cell r="AH663">
            <v>202501</v>
          </cell>
          <cell r="AJ663" t="str">
            <v>CPO-5:Indico 3 well is under workover operations.
Vankor:Reason awaited from the operator.
SCB:Due to high water level in storage tank, can't fiscalize volume, however daily prod'n is received.
LZC:Shutdown due to Junana rig movement.
ACG:Wells J8a,J12,J17,C24 are shut due to sand issue.Well 18a is shut due to water load up.
Sakhalin-1:New Prod'n data received from operator.Production from new well DP-39U (from Berkut) has been lowered as a safety precaution.
PCB:Prod'n deferred due to the low efficiency of PCPs in 23 wells.
GPOC:Prod'n deferred due to biorem limitations, downhole complications.</v>
          </cell>
        </row>
        <row r="664">
          <cell r="C664">
            <v>45672</v>
          </cell>
          <cell r="D664">
            <v>334774</v>
          </cell>
          <cell r="E664">
            <v>30887</v>
          </cell>
          <cell r="F664">
            <v>23509.81</v>
          </cell>
          <cell r="G664">
            <v>4454</v>
          </cell>
          <cell r="H664">
            <v>2285</v>
          </cell>
          <cell r="I664">
            <v>151470</v>
          </cell>
          <cell r="J664">
            <v>174745</v>
          </cell>
          <cell r="K664">
            <v>52545.94</v>
          </cell>
          <cell r="L664">
            <v>11568</v>
          </cell>
          <cell r="M664">
            <v>409597</v>
          </cell>
          <cell r="N664">
            <v>7218</v>
          </cell>
          <cell r="O664">
            <v>7076</v>
          </cell>
          <cell r="P664">
            <v>101.26578000000001</v>
          </cell>
          <cell r="R664">
            <v>150809.29110099998</v>
          </cell>
          <cell r="S664">
            <v>13.750930915454466</v>
          </cell>
          <cell r="T664">
            <v>0.33133699999999999</v>
          </cell>
          <cell r="U664">
            <v>3.4079575927305102E-3</v>
          </cell>
          <cell r="V664">
            <v>2.4E-2</v>
          </cell>
          <cell r="W664">
            <v>0.28177999999999997</v>
          </cell>
          <cell r="X664">
            <v>11.661289999999999</v>
          </cell>
          <cell r="Y664">
            <v>11.21</v>
          </cell>
          <cell r="Z664">
            <v>0</v>
          </cell>
          <cell r="AA664">
            <v>0</v>
          </cell>
          <cell r="AB664">
            <v>0</v>
          </cell>
          <cell r="AC664">
            <v>0.25060385618453501</v>
          </cell>
          <cell r="AD664">
            <v>4.9356217099394868E-2</v>
          </cell>
          <cell r="AE664">
            <v>0.38550003000000005</v>
          </cell>
          <cell r="AF664">
            <v>15.665657643983948</v>
          </cell>
          <cell r="AG664">
            <v>8.9186450135892841</v>
          </cell>
          <cell r="AH664">
            <v>202501</v>
          </cell>
          <cell r="AJ664" t="str">
            <v xml:space="preserve">
PCB:Prod'n deferred due to the low efficiency of PCPs in 23 wells.
GPOC:Prod'n deferred due to biorem limitations, downhole complications.
CPO-5:Indico 3 well is under workover operations.
ACG: Prod'n deferred due to water injection. Prod'n is being ramped up.</v>
          </cell>
        </row>
        <row r="665">
          <cell r="C665">
            <v>45673</v>
          </cell>
          <cell r="D665">
            <v>333858</v>
          </cell>
          <cell r="E665">
            <v>31176</v>
          </cell>
          <cell r="F665">
            <v>23483</v>
          </cell>
          <cell r="G665">
            <v>4422</v>
          </cell>
          <cell r="H665">
            <v>2278</v>
          </cell>
          <cell r="I665">
            <v>151470</v>
          </cell>
          <cell r="J665">
            <v>174359</v>
          </cell>
          <cell r="K665">
            <v>53221.1</v>
          </cell>
          <cell r="L665">
            <v>10310</v>
          </cell>
          <cell r="M665">
            <v>409523</v>
          </cell>
          <cell r="N665">
            <v>7202</v>
          </cell>
          <cell r="O665">
            <v>4645</v>
          </cell>
          <cell r="P665">
            <v>86.107361999999995</v>
          </cell>
          <cell r="Q665">
            <v>0</v>
          </cell>
          <cell r="R665">
            <v>149599.75731290001</v>
          </cell>
          <cell r="S665">
            <v>14.964872984904304</v>
          </cell>
          <cell r="T665">
            <v>0.396366</v>
          </cell>
          <cell r="U665">
            <v>3.4079575927305102E-3</v>
          </cell>
          <cell r="V665">
            <v>2.5000000000000001E-2</v>
          </cell>
          <cell r="W665">
            <v>0.28332999999999997</v>
          </cell>
          <cell r="X665">
            <v>11.661289999999999</v>
          </cell>
          <cell r="Y665">
            <v>11.09</v>
          </cell>
          <cell r="Z665">
            <v>0</v>
          </cell>
          <cell r="AA665">
            <v>0</v>
          </cell>
          <cell r="AB665">
            <v>0</v>
          </cell>
          <cell r="AC665">
            <v>0.24069296921678507</v>
          </cell>
          <cell r="AD665">
            <v>4.1342557065471318E-2</v>
          </cell>
          <cell r="AE665">
            <v>0.38690003000000001</v>
          </cell>
          <cell r="AF665">
            <v>10.16333141722852</v>
          </cell>
          <cell r="AG665">
            <v>8.0034995289922453</v>
          </cell>
          <cell r="AH665">
            <v>202501</v>
          </cell>
          <cell r="AJ665" t="str">
            <v xml:space="preserve">
PCB:Prod'n deferred due to the low efficiency of PCPs in 23 wells.
GPOC:Prod'n deferred due to biorem limitations, downhole complications.
CPO-5:Indico 3 well is under workover operations.
ACG:Prod'n deferred as Gas Injection compressor is down.
A1-A3: Prod'n deferred due to Emergency Shutdown.</v>
          </cell>
        </row>
        <row r="666">
          <cell r="C666">
            <v>45674</v>
          </cell>
          <cell r="D666">
            <v>344650</v>
          </cell>
          <cell r="E666">
            <v>28667</v>
          </cell>
          <cell r="F666">
            <v>23468</v>
          </cell>
          <cell r="G666">
            <v>4437</v>
          </cell>
          <cell r="H666">
            <v>2250</v>
          </cell>
          <cell r="I666">
            <v>156540</v>
          </cell>
          <cell r="J666">
            <v>175282</v>
          </cell>
          <cell r="K666">
            <v>53081</v>
          </cell>
          <cell r="L666">
            <v>10944</v>
          </cell>
          <cell r="M666">
            <v>419311</v>
          </cell>
          <cell r="N666">
            <v>7214</v>
          </cell>
          <cell r="O666">
            <v>4927</v>
          </cell>
          <cell r="P666">
            <v>101.51737199999999</v>
          </cell>
          <cell r="Q666">
            <v>0</v>
          </cell>
          <cell r="R666">
            <v>151091.47531739998</v>
          </cell>
          <cell r="S666">
            <v>15.178098638810466</v>
          </cell>
          <cell r="T666">
            <v>0.35338999999999998</v>
          </cell>
          <cell r="U666">
            <v>3.4079575927305102E-3</v>
          </cell>
          <cell r="V666">
            <v>2.4E-2</v>
          </cell>
          <cell r="W666">
            <v>0.29438999999999999</v>
          </cell>
          <cell r="X666">
            <v>11.661289999999999</v>
          </cell>
          <cell r="Y666">
            <v>11.03</v>
          </cell>
          <cell r="Z666">
            <v>0</v>
          </cell>
          <cell r="AA666">
            <v>0</v>
          </cell>
          <cell r="AB666">
            <v>0</v>
          </cell>
          <cell r="AC666">
            <v>0.2375781190269208</v>
          </cell>
          <cell r="AD666">
            <v>4.1484141165010605E-2</v>
          </cell>
          <cell r="AE666">
            <v>0.38610003000000004</v>
          </cell>
          <cell r="AF666">
            <v>16.186092477070453</v>
          </cell>
          <cell r="AG666">
            <v>9.0163162396610605</v>
          </cell>
          <cell r="AH666">
            <v>202501</v>
          </cell>
          <cell r="AJ666" t="str">
            <v>GPOC:Prod'n deferred due to biorem limitations, downhole complications.
PCB:Prod'n deferred due to the low efficiency of PCPs in 23 wells.
CPO-5:Indico 3 well is under workover operations.</v>
          </cell>
        </row>
        <row r="667">
          <cell r="C667">
            <v>45675</v>
          </cell>
          <cell r="D667">
            <v>338751</v>
          </cell>
          <cell r="E667">
            <v>31874</v>
          </cell>
          <cell r="F667">
            <v>23407</v>
          </cell>
          <cell r="G667">
            <v>4443</v>
          </cell>
          <cell r="H667">
            <v>2277</v>
          </cell>
          <cell r="I667">
            <v>156540</v>
          </cell>
          <cell r="J667">
            <v>176042</v>
          </cell>
          <cell r="K667">
            <v>52238.49</v>
          </cell>
          <cell r="L667">
            <v>9434</v>
          </cell>
          <cell r="M667">
            <v>421930</v>
          </cell>
          <cell r="N667">
            <v>7315</v>
          </cell>
          <cell r="O667">
            <v>3707</v>
          </cell>
          <cell r="P667">
            <v>106.48631399999999</v>
          </cell>
          <cell r="Q667">
            <v>0</v>
          </cell>
          <cell r="R667">
            <v>151024.91059129999</v>
          </cell>
          <cell r="S667">
            <v>15.016692765335682</v>
          </cell>
          <cell r="T667">
            <v>0.30937799999999999</v>
          </cell>
          <cell r="U667">
            <v>3.4079575927305102E-3</v>
          </cell>
          <cell r="V667">
            <v>2.4E-2</v>
          </cell>
          <cell r="W667">
            <v>0.31022000000000005</v>
          </cell>
          <cell r="X667">
            <v>11.661289999999999</v>
          </cell>
          <cell r="Y667">
            <v>11.24</v>
          </cell>
          <cell r="Z667">
            <v>0</v>
          </cell>
          <cell r="AB667">
            <v>0</v>
          </cell>
          <cell r="AC667">
            <v>0.24012663281862792</v>
          </cell>
          <cell r="AD667">
            <v>3.7010083619569187E-2</v>
          </cell>
          <cell r="AE667">
            <v>0.38620003000000003</v>
          </cell>
          <cell r="AF667">
            <v>16.543677278866873</v>
          </cell>
          <cell r="AG667">
            <v>9.129467007666225</v>
          </cell>
          <cell r="AH667">
            <v>202501</v>
          </cell>
          <cell r="AJ667" t="str">
            <v>GPOC:Prod'n deferred due to biorem limitations, downhole complications.
PCB:Prod'n deferred due to the low efficiency of PCPs in 23 wells.
CPO-5:Indico 3 well is under workover operations.
SPOC:Prod'n deferred due to water draining and power dip.</v>
          </cell>
        </row>
        <row r="668">
          <cell r="C668">
            <v>45676</v>
          </cell>
          <cell r="D668">
            <v>338288</v>
          </cell>
          <cell r="E668">
            <v>32346</v>
          </cell>
          <cell r="F668">
            <v>23738</v>
          </cell>
          <cell r="G668">
            <v>4454</v>
          </cell>
          <cell r="H668">
            <v>2305</v>
          </cell>
          <cell r="I668">
            <v>156540</v>
          </cell>
          <cell r="J668">
            <v>174945</v>
          </cell>
          <cell r="K668">
            <v>51422.22</v>
          </cell>
          <cell r="L668">
            <v>11859</v>
          </cell>
          <cell r="M668">
            <v>424000</v>
          </cell>
          <cell r="N668">
            <v>7309</v>
          </cell>
          <cell r="O668">
            <v>4616</v>
          </cell>
          <cell r="P668">
            <v>102.272148</v>
          </cell>
          <cell r="Q668">
            <v>0</v>
          </cell>
          <cell r="R668">
            <v>151943.59521659999</v>
          </cell>
          <cell r="S668">
            <v>14.848490855083014</v>
          </cell>
          <cell r="T668">
            <v>0.32514300000000002</v>
          </cell>
          <cell r="U668">
            <v>3.4079575927305102E-3</v>
          </cell>
          <cell r="V668">
            <v>2.4E-2</v>
          </cell>
          <cell r="W668">
            <v>0.30598999999999998</v>
          </cell>
          <cell r="X668">
            <v>11.661289999999999</v>
          </cell>
          <cell r="Y668">
            <v>11.07</v>
          </cell>
          <cell r="Z668">
            <v>0</v>
          </cell>
          <cell r="AA668">
            <v>0</v>
          </cell>
          <cell r="AB668">
            <v>0</v>
          </cell>
          <cell r="AC668">
            <v>0.23842762362415651</v>
          </cell>
          <cell r="AD668">
            <v>3.9077211472842752E-2</v>
          </cell>
          <cell r="AE668">
            <v>0.37830003000000001</v>
          </cell>
          <cell r="AF668">
            <v>16.130591510051101</v>
          </cell>
          <cell r="AG668">
            <v>9.0072340312225698</v>
          </cell>
          <cell r="AH668">
            <v>202501</v>
          </cell>
          <cell r="AJ668" t="str">
            <v xml:space="preserve">
GPOC:Prod'n deferred due to biorem limitations, downhole complications.
PCB:Prod'n deferred due to the low efficiency of PCPs in 23 wells.
CPO-5:Indico 3 well is under workover operations.</v>
          </cell>
        </row>
        <row r="669">
          <cell r="C669">
            <v>45677</v>
          </cell>
          <cell r="D669">
            <v>337821</v>
          </cell>
          <cell r="E669">
            <v>32365</v>
          </cell>
          <cell r="F669">
            <v>24796</v>
          </cell>
          <cell r="G669">
            <v>4438</v>
          </cell>
          <cell r="H669">
            <v>2252</v>
          </cell>
          <cell r="I669">
            <v>156540</v>
          </cell>
          <cell r="J669">
            <v>173343</v>
          </cell>
          <cell r="K669">
            <v>50412.51</v>
          </cell>
          <cell r="L669">
            <v>10194</v>
          </cell>
          <cell r="M669">
            <v>413502</v>
          </cell>
          <cell r="N669">
            <v>7310</v>
          </cell>
          <cell r="O669">
            <v>3453</v>
          </cell>
          <cell r="P669">
            <v>85.038095999999996</v>
          </cell>
          <cell r="Q669">
            <v>0</v>
          </cell>
          <cell r="R669">
            <v>150651.27139320003</v>
          </cell>
          <cell r="S669">
            <v>15.328460952521189</v>
          </cell>
          <cell r="T669">
            <v>0.32835700000000001</v>
          </cell>
          <cell r="U669">
            <v>3.4079575927305102E-3</v>
          </cell>
          <cell r="V669">
            <v>2.4E-2</v>
          </cell>
          <cell r="W669">
            <v>0.29994999999999999</v>
          </cell>
          <cell r="X669">
            <v>11.661289999999999</v>
          </cell>
          <cell r="Y669">
            <v>10.96</v>
          </cell>
          <cell r="Z669">
            <v>0</v>
          </cell>
          <cell r="AA669">
            <v>0</v>
          </cell>
          <cell r="AB669">
            <v>0</v>
          </cell>
          <cell r="AC669">
            <v>0.23729495082784224</v>
          </cell>
          <cell r="AD669">
            <v>8.1609074974444071E-2</v>
          </cell>
          <cell r="AE669">
            <v>0.37920003000000002</v>
          </cell>
          <cell r="AF669">
            <v>15.884178543212883</v>
          </cell>
          <cell r="AG669">
            <v>8.962903883603186</v>
          </cell>
          <cell r="AH669">
            <v>202501</v>
          </cell>
          <cell r="AJ669" t="str">
            <v xml:space="preserve">
GPOC:Prod'n deferred due to biorem limitations, downhole complications.
PCB:Prod'n deferred due to the low efficiency of PCPs in 23 wells.
SCB:Due to high water level in storage tank, can't fiscalize volume, however daily prod'n is received.
ACG:B36 well shutdown due to sand issue.</v>
          </cell>
        </row>
        <row r="670">
          <cell r="C670">
            <v>45678</v>
          </cell>
          <cell r="D670">
            <v>339928</v>
          </cell>
          <cell r="E670">
            <v>32497</v>
          </cell>
          <cell r="F670">
            <v>25141</v>
          </cell>
          <cell r="G670">
            <v>4301</v>
          </cell>
          <cell r="H670">
            <v>2240</v>
          </cell>
          <cell r="I670">
            <v>156540</v>
          </cell>
          <cell r="J670">
            <v>172617</v>
          </cell>
          <cell r="K670">
            <v>50270.16</v>
          </cell>
          <cell r="L670">
            <v>10050</v>
          </cell>
          <cell r="M670">
            <v>411122</v>
          </cell>
          <cell r="N670">
            <v>7320</v>
          </cell>
          <cell r="O670">
            <v>5188</v>
          </cell>
          <cell r="P670">
            <v>93.592224000000002</v>
          </cell>
          <cell r="Q670">
            <v>0</v>
          </cell>
          <cell r="R670">
            <v>151254.20300080004</v>
          </cell>
          <cell r="S670">
            <v>14.87086114281022</v>
          </cell>
          <cell r="T670">
            <v>0.32556299999999999</v>
          </cell>
          <cell r="U670">
            <v>3.4079575927305102E-3</v>
          </cell>
          <cell r="V670">
            <v>2.1999999999999999E-2</v>
          </cell>
          <cell r="W670">
            <v>0.30472000000000005</v>
          </cell>
          <cell r="X670">
            <v>11.661289999999999</v>
          </cell>
          <cell r="Y670">
            <v>11.23</v>
          </cell>
          <cell r="Z670">
            <v>0</v>
          </cell>
          <cell r="AA670">
            <v>0</v>
          </cell>
          <cell r="AB670">
            <v>0</v>
          </cell>
          <cell r="AC670">
            <v>0.23531277343429224</v>
          </cell>
          <cell r="AD670">
            <v>4.958275165865772E-2</v>
          </cell>
          <cell r="AE670">
            <v>0.37490003000000005</v>
          </cell>
          <cell r="AF670">
            <v>15.883923691833713</v>
          </cell>
          <cell r="AG670">
            <v>9.0077278155950768</v>
          </cell>
          <cell r="AH670">
            <v>202501</v>
          </cell>
          <cell r="AJ670" t="str">
            <v xml:space="preserve">
GPOC:Prod'n deferred due to biorem limitations, downhole complications.
PCB:Prod'n deferred due to the low efficiency of PCPs in 23 wells.
ACG:Prod'n ramped up as central azeri gas injection. Compressor re-opened.</v>
          </cell>
        </row>
        <row r="671">
          <cell r="C671">
            <v>45679</v>
          </cell>
          <cell r="D671">
            <v>332170</v>
          </cell>
          <cell r="E671">
            <v>32497</v>
          </cell>
          <cell r="F671">
            <v>24687.14</v>
          </cell>
          <cell r="G671">
            <v>4242</v>
          </cell>
          <cell r="H671">
            <v>2268</v>
          </cell>
          <cell r="I671">
            <v>156540</v>
          </cell>
          <cell r="J671">
            <v>171196</v>
          </cell>
          <cell r="K671">
            <v>51676.17</v>
          </cell>
          <cell r="L671">
            <v>11198</v>
          </cell>
          <cell r="M671">
            <v>418715</v>
          </cell>
          <cell r="N671">
            <v>7304</v>
          </cell>
          <cell r="O671">
            <v>83</v>
          </cell>
          <cell r="P671">
            <v>110.07149999999999</v>
          </cell>
          <cell r="Q671">
            <v>0</v>
          </cell>
          <cell r="R671">
            <v>149234.45267500001</v>
          </cell>
          <cell r="S671">
            <v>14.646308760940908</v>
          </cell>
          <cell r="T671">
            <v>0.32522200000000001</v>
          </cell>
          <cell r="U671">
            <v>3.4079575927305102E-3</v>
          </cell>
          <cell r="V671">
            <v>2.1000000000000001E-2</v>
          </cell>
          <cell r="W671">
            <v>0.30943999999999999</v>
          </cell>
          <cell r="X671">
            <v>11.661289999999999</v>
          </cell>
          <cell r="Y671">
            <v>11.39</v>
          </cell>
          <cell r="Z671">
            <v>0</v>
          </cell>
          <cell r="AA671">
            <v>0</v>
          </cell>
          <cell r="AB671">
            <v>0</v>
          </cell>
          <cell r="AC671">
            <v>0.23616227803152792</v>
          </cell>
          <cell r="AD671">
            <v>4.5844931430820593E-2</v>
          </cell>
          <cell r="AE671">
            <v>0.37450003000000004</v>
          </cell>
          <cell r="AF671">
            <v>15.880695574364216</v>
          </cell>
          <cell r="AG671">
            <v>9.0447571258701469</v>
          </cell>
          <cell r="AH671">
            <v>202501</v>
          </cell>
          <cell r="AJ671" t="str">
            <v xml:space="preserve">
GPOC:Prod'n deferred due to biorem limitations, downhole complications.
PCB:Prod'n deferred due to the low efficiency of PCPs in 23 wells.
ACG:Prod'n ramped up as central azeri gas injection. Compressor re-opened.
SCB:Due to high water level in storage tank, can't fiscalize volume, however daily prod'n is received.
Sakhalin-1:New prod'n data received from the operator.
</v>
          </cell>
        </row>
        <row r="672">
          <cell r="C672">
            <v>45680</v>
          </cell>
          <cell r="D672">
            <v>331909</v>
          </cell>
          <cell r="E672">
            <v>32314</v>
          </cell>
          <cell r="F672">
            <v>25147</v>
          </cell>
          <cell r="G672">
            <v>4345</v>
          </cell>
          <cell r="H672">
            <v>2256</v>
          </cell>
          <cell r="I672">
            <v>156540</v>
          </cell>
          <cell r="J672">
            <v>169442</v>
          </cell>
          <cell r="K672">
            <v>51734.13</v>
          </cell>
          <cell r="L672">
            <v>9856</v>
          </cell>
          <cell r="M672">
            <v>435416</v>
          </cell>
          <cell r="N672">
            <v>7321</v>
          </cell>
          <cell r="O672">
            <v>6522</v>
          </cell>
          <cell r="P672">
            <v>93.655121999999992</v>
          </cell>
          <cell r="Q672">
            <v>0</v>
          </cell>
          <cell r="R672">
            <v>152011.62555489998</v>
          </cell>
          <cell r="S672">
            <v>14.997437327798334</v>
          </cell>
          <cell r="T672">
            <v>0.324436</v>
          </cell>
          <cell r="U672">
            <v>3.4079575927305102E-3</v>
          </cell>
          <cell r="V672">
            <v>2.1999999999999999E-2</v>
          </cell>
          <cell r="W672">
            <v>0.30016000000000004</v>
          </cell>
          <cell r="X672">
            <v>11.661289999999999</v>
          </cell>
          <cell r="Y672">
            <v>11.31</v>
          </cell>
          <cell r="Z672">
            <v>0</v>
          </cell>
          <cell r="AA672">
            <v>0</v>
          </cell>
          <cell r="AB672">
            <v>0</v>
          </cell>
          <cell r="AC672">
            <v>0.23531277343429224</v>
          </cell>
          <cell r="AD672">
            <v>4.8110277023449159E-2</v>
          </cell>
          <cell r="AE672">
            <v>0.37430003000000001</v>
          </cell>
          <cell r="AF672">
            <v>15.88222468263924</v>
          </cell>
          <cell r="AG672">
            <v>9.0262180575888351</v>
          </cell>
          <cell r="AH672">
            <v>202501</v>
          </cell>
          <cell r="AJ672" t="str">
            <v xml:space="preserve">
GPOC:Prod'n deferred due to biorem limitations, downhole complications.
PCB:Prod'n deferred due to the low efficiency of PCPs in 23 wells.
ACG:Prod'n ramped up as central azeri gas injection compressor re-opened.</v>
          </cell>
        </row>
        <row r="673">
          <cell r="C673">
            <v>45681</v>
          </cell>
          <cell r="D673">
            <v>356078</v>
          </cell>
          <cell r="E673">
            <v>32434</v>
          </cell>
          <cell r="F673">
            <v>25051</v>
          </cell>
          <cell r="G673">
            <v>4322</v>
          </cell>
          <cell r="H673">
            <v>2224</v>
          </cell>
          <cell r="I673">
            <v>165540</v>
          </cell>
          <cell r="J673">
            <v>169151</v>
          </cell>
          <cell r="K673">
            <v>52055.24</v>
          </cell>
          <cell r="L673">
            <v>12370</v>
          </cell>
          <cell r="M673">
            <v>434900</v>
          </cell>
          <cell r="N673">
            <v>7304</v>
          </cell>
          <cell r="O673">
            <v>4896</v>
          </cell>
          <cell r="P673">
            <v>91.264997999999991</v>
          </cell>
          <cell r="Q673">
            <v>0</v>
          </cell>
          <cell r="R673">
            <v>154377.4032491</v>
          </cell>
          <cell r="S673">
            <v>13.27634101379879</v>
          </cell>
          <cell r="T673">
            <v>0.325409</v>
          </cell>
          <cell r="U673">
            <v>3.4079575927305102E-3</v>
          </cell>
          <cell r="V673">
            <v>2.1000000000000001E-2</v>
          </cell>
          <cell r="W673">
            <v>0.29624</v>
          </cell>
          <cell r="X673">
            <v>11.661289999999999</v>
          </cell>
          <cell r="Y673">
            <v>11.14</v>
          </cell>
          <cell r="Z673">
            <v>0</v>
          </cell>
          <cell r="AA673">
            <v>0</v>
          </cell>
          <cell r="AB673">
            <v>0</v>
          </cell>
          <cell r="AC673">
            <v>0.23672861442968507</v>
          </cell>
          <cell r="AD673">
            <v>4.7713841544739156E-2</v>
          </cell>
          <cell r="AE673">
            <v>0.37490003000000005</v>
          </cell>
          <cell r="AF673">
            <v>15.884036959113345</v>
          </cell>
          <cell r="AG673">
            <v>8.9280939557229573</v>
          </cell>
          <cell r="AH673">
            <v>202501</v>
          </cell>
          <cell r="AJ673" t="str">
            <v xml:space="preserve">
GPOC:Prod'n deferred due to biorem limitations, downhole complications.
PCB:Prod'n deferred due to the low efficiency of PCPs in 23 wells.</v>
          </cell>
        </row>
        <row r="674">
          <cell r="C674">
            <v>45682</v>
          </cell>
          <cell r="D674">
            <v>66964</v>
          </cell>
          <cell r="E674">
            <v>33497</v>
          </cell>
          <cell r="F674">
            <v>24333</v>
          </cell>
          <cell r="G674">
            <v>4209</v>
          </cell>
          <cell r="H674">
            <v>2335</v>
          </cell>
          <cell r="I674">
            <v>165540</v>
          </cell>
          <cell r="J674">
            <v>171249</v>
          </cell>
          <cell r="K674">
            <v>50871.9</v>
          </cell>
          <cell r="L674">
            <v>10510</v>
          </cell>
          <cell r="M674">
            <v>339627</v>
          </cell>
          <cell r="N674">
            <v>7324</v>
          </cell>
          <cell r="O674">
            <v>5099</v>
          </cell>
          <cell r="P674">
            <v>69.124901999999992</v>
          </cell>
          <cell r="Q674">
            <v>0</v>
          </cell>
          <cell r="R674">
            <v>141823.1657059</v>
          </cell>
          <cell r="S674">
            <v>2.2503376780774009</v>
          </cell>
          <cell r="T674">
            <v>0.32875100000000002</v>
          </cell>
          <cell r="U674">
            <v>3.4079575927305102E-3</v>
          </cell>
          <cell r="V674">
            <v>1.9E-2</v>
          </cell>
          <cell r="W674">
            <v>0.29511000000000004</v>
          </cell>
          <cell r="X674">
            <v>11.661289999999999</v>
          </cell>
          <cell r="Y674">
            <v>11.32</v>
          </cell>
          <cell r="Z674">
            <v>0</v>
          </cell>
          <cell r="AA674">
            <v>0</v>
          </cell>
          <cell r="AB674">
            <v>0</v>
          </cell>
          <cell r="AC674">
            <v>0.2296494094527208</v>
          </cell>
          <cell r="AD674">
            <v>4.8251861122988439E-2</v>
          </cell>
          <cell r="AE674">
            <v>0.37620003000000002</v>
          </cell>
          <cell r="AF674">
            <v>15.891682500488466</v>
          </cell>
          <cell r="AG674">
            <v>8.652476935470709</v>
          </cell>
          <cell r="AH674">
            <v>202501</v>
          </cell>
          <cell r="AJ674" t="str">
            <v xml:space="preserve">
GPOC:Prod'n deferred due to biorem limitations, downhole complications.
PCB:Prod'n deferred due to the low efficiency of PCPs in 23 wells.
ACG:Onshore process shutdown due to gas leakage, details awaited.
CPO-5:Indico 4 well is under workover operations.
LZC:AGI EPS-1: ZK-401 closed due to shutdown activities.</v>
          </cell>
        </row>
        <row r="675">
          <cell r="C675">
            <v>45683</v>
          </cell>
          <cell r="D675">
            <v>239489</v>
          </cell>
          <cell r="E675">
            <v>22950</v>
          </cell>
          <cell r="F675">
            <v>24327</v>
          </cell>
          <cell r="G675">
            <v>4143</v>
          </cell>
          <cell r="H675">
            <v>2249</v>
          </cell>
          <cell r="I675">
            <v>165540</v>
          </cell>
          <cell r="J675">
            <v>170640</v>
          </cell>
          <cell r="K675">
            <v>50674.45</v>
          </cell>
          <cell r="L675">
            <v>12791</v>
          </cell>
          <cell r="M675">
            <v>414882</v>
          </cell>
          <cell r="N675">
            <v>7340</v>
          </cell>
          <cell r="O675">
            <v>3880</v>
          </cell>
          <cell r="P675">
            <v>115.669422</v>
          </cell>
          <cell r="Q675">
            <v>0</v>
          </cell>
          <cell r="R675">
            <v>146786.52573989998</v>
          </cell>
          <cell r="S675">
            <v>6.1453162564031416</v>
          </cell>
          <cell r="T675">
            <v>0.27430199999999999</v>
          </cell>
          <cell r="U675">
            <v>3.4079575927305102E-3</v>
          </cell>
          <cell r="V675">
            <v>0.02</v>
          </cell>
          <cell r="W675">
            <v>0.29481000000000002</v>
          </cell>
          <cell r="X675">
            <v>11.661289999999999</v>
          </cell>
          <cell r="Y675">
            <v>11.33</v>
          </cell>
          <cell r="Z675">
            <v>0</v>
          </cell>
          <cell r="AA675">
            <v>0</v>
          </cell>
          <cell r="AB675">
            <v>0</v>
          </cell>
          <cell r="AC675">
            <v>0.23333059604074224</v>
          </cell>
          <cell r="AD675">
            <v>4.1880576643720607E-2</v>
          </cell>
          <cell r="AE675">
            <v>0.37830003000000001</v>
          </cell>
          <cell r="AF675">
            <v>15.883697157274449</v>
          </cell>
          <cell r="AG675">
            <v>8.7519477372733299</v>
          </cell>
          <cell r="AH675">
            <v>202501</v>
          </cell>
          <cell r="AJ675" t="str">
            <v>_x000D_
GPOC:Prod'n deferred due to biorem limitations, downhole complications.
PCB:Prod'n deferred due to the low efficiency of PCPs in 23 wells.
CPO-5:Indico 4 well is under workover operations.
ACG:Onshore process shutdown due to gas leakage at Sangachal terminal.
BC-10:Abalone field closed due to Main Gas Compressor being unavailable &amp; ALM 2 stopped as Gas Export valve has been closed by Petrobras.</v>
          </cell>
        </row>
        <row r="676">
          <cell r="C676">
            <v>45684</v>
          </cell>
          <cell r="D676">
            <v>316213</v>
          </cell>
          <cell r="E676">
            <v>22943</v>
          </cell>
          <cell r="F676">
            <v>24178</v>
          </cell>
          <cell r="G676">
            <v>4139</v>
          </cell>
          <cell r="H676">
            <v>2272</v>
          </cell>
          <cell r="I676">
            <v>165540</v>
          </cell>
          <cell r="J676">
            <v>171073</v>
          </cell>
          <cell r="K676">
            <v>50997.39</v>
          </cell>
          <cell r="L676">
            <v>9695</v>
          </cell>
          <cell r="M676">
            <v>415586</v>
          </cell>
          <cell r="N676">
            <v>7333</v>
          </cell>
          <cell r="O676">
            <v>715</v>
          </cell>
          <cell r="P676">
            <v>77.741927999999987</v>
          </cell>
          <cell r="Q676">
            <v>0</v>
          </cell>
          <cell r="R676">
            <v>147136.2403676</v>
          </cell>
          <cell r="S676">
            <v>10.432199622253624</v>
          </cell>
          <cell r="T676">
            <v>0.249081</v>
          </cell>
          <cell r="U676">
            <v>3.4079575927305102E-3</v>
          </cell>
          <cell r="V676">
            <v>0.02</v>
          </cell>
          <cell r="W676">
            <v>0.2873</v>
          </cell>
          <cell r="X676">
            <v>11.661289999999999</v>
          </cell>
          <cell r="Y676">
            <v>11.38</v>
          </cell>
          <cell r="Z676">
            <v>0</v>
          </cell>
          <cell r="AA676">
            <v>0</v>
          </cell>
          <cell r="AB676">
            <v>0</v>
          </cell>
          <cell r="AC676">
            <v>0.23474643703613507</v>
          </cell>
          <cell r="AD676">
            <v>5.0488889895709148E-2</v>
          </cell>
          <cell r="AE676">
            <v>0.36930003</v>
          </cell>
          <cell r="AF676">
            <v>15.838730047260773</v>
          </cell>
          <cell r="AG676">
            <v>8.8679240648324189</v>
          </cell>
          <cell r="AH676">
            <v>202501</v>
          </cell>
          <cell r="AJ676" t="str">
            <v>ACG:ACG:Prod'n ramped up as central azeri gas injection. Compressor re-opened.
Vankor:Prod'n deferred due to repair of defect in oil gathering pipe.
SPOC:Prod'n deferred due to water draining and power dip.
SCB:Due to high water level in storage tank, can't fiscalize volume, however daily prod'n is received.
BC-10:Abalone field closed due to Main Gas Compressor being unavailable &amp; ALM 2 stopped as Gas Export valve has been closed by Petrobras.
Sakhalin-1:New prod'n data received from the operator.
GPOC:Prod'n deferred due to biorem limitations, downhole complications.
PCB:Prod'n deferred due to the low efficiency of PCPs in 23 wells.
CPO-5:Indico 4 well is under workover operations.</v>
          </cell>
        </row>
        <row r="677">
          <cell r="C677">
            <v>45685</v>
          </cell>
          <cell r="D677">
            <v>301553</v>
          </cell>
          <cell r="E677">
            <v>22157</v>
          </cell>
          <cell r="F677">
            <v>23703</v>
          </cell>
          <cell r="G677">
            <v>4085</v>
          </cell>
          <cell r="H677">
            <v>2240</v>
          </cell>
          <cell r="I677">
            <v>165540</v>
          </cell>
          <cell r="J677">
            <v>170487</v>
          </cell>
          <cell r="K677">
            <v>50698.53</v>
          </cell>
          <cell r="L677">
            <v>8683</v>
          </cell>
          <cell r="M677">
            <v>437661</v>
          </cell>
          <cell r="N677">
            <v>7427</v>
          </cell>
          <cell r="O677">
            <v>6048</v>
          </cell>
          <cell r="P677">
            <v>107.42978399999998</v>
          </cell>
          <cell r="Q677">
            <v>0</v>
          </cell>
          <cell r="R677">
            <v>148672.39490280001</v>
          </cell>
          <cell r="S677">
            <v>13.3805469110597</v>
          </cell>
          <cell r="T677">
            <v>0.2419</v>
          </cell>
          <cell r="U677">
            <v>3.4079575927305102E-3</v>
          </cell>
          <cell r="V677">
            <v>2.1000000000000001E-2</v>
          </cell>
          <cell r="W677">
            <v>0.29174</v>
          </cell>
          <cell r="X677">
            <v>11.661289999999999</v>
          </cell>
          <cell r="Y677">
            <v>11.42</v>
          </cell>
          <cell r="Z677">
            <v>0</v>
          </cell>
          <cell r="AA677">
            <v>0</v>
          </cell>
          <cell r="AB677">
            <v>0</v>
          </cell>
          <cell r="AC677">
            <v>0.2296494094527208</v>
          </cell>
          <cell r="AD677">
            <v>8.3732836467533336E-2</v>
          </cell>
          <cell r="AE677">
            <v>0.36960003000000002</v>
          </cell>
          <cell r="AF677">
            <v>15.828196190255047</v>
          </cell>
          <cell r="AG677">
            <v>8.9786455029335794</v>
          </cell>
          <cell r="AH677">
            <v>202501</v>
          </cell>
          <cell r="AJ677" t="str">
            <v>ACG:Prod'n ramped up as central azeri gas injection. Compressor re-opened.
Vankor:Prod'n deferred due to repair of defect in oil gathering pipe.
SPOC:Prod'n deferred due to water draining and power dip.
BC-10:Abalone field closed due to Main Gas Compressor being unavailable &amp; ALM 2 stopped as Gas Export valve has been closed by Petrobras.
GPOC:Prod'n deferred due to biorem limitations, downhole complications.
PCB:Prod'n deferred due to the low efficiency of PCPs in 23 wells.
CPO-5:Indico 4 well is under workover operations.</v>
          </cell>
        </row>
        <row r="678">
          <cell r="C678">
            <v>45686</v>
          </cell>
          <cell r="D678">
            <v>290001</v>
          </cell>
          <cell r="E678">
            <v>22088</v>
          </cell>
          <cell r="F678">
            <v>23874</v>
          </cell>
          <cell r="G678">
            <v>4068</v>
          </cell>
          <cell r="H678">
            <v>2208</v>
          </cell>
          <cell r="I678">
            <v>165540</v>
          </cell>
          <cell r="J678">
            <v>170833</v>
          </cell>
          <cell r="K678">
            <v>52832.41</v>
          </cell>
          <cell r="L678">
            <v>10760</v>
          </cell>
          <cell r="M678">
            <v>428913</v>
          </cell>
          <cell r="N678">
            <v>7436</v>
          </cell>
          <cell r="O678">
            <v>0</v>
          </cell>
          <cell r="P678">
            <v>107.55558000000001</v>
          </cell>
          <cell r="Q678">
            <v>0</v>
          </cell>
          <cell r="R678">
            <v>146751.50176099996</v>
          </cell>
          <cell r="S678">
            <v>14.15104758075249</v>
          </cell>
          <cell r="T678">
            <v>0.24210300000000001</v>
          </cell>
          <cell r="U678">
            <v>3.4079575927305102E-3</v>
          </cell>
          <cell r="V678">
            <v>2.1999999999999999E-2</v>
          </cell>
          <cell r="W678">
            <v>0.28991</v>
          </cell>
          <cell r="X678">
            <v>11.661289999999999</v>
          </cell>
          <cell r="Y678">
            <v>11.31</v>
          </cell>
          <cell r="Z678">
            <v>0</v>
          </cell>
          <cell r="AA678">
            <v>0</v>
          </cell>
          <cell r="AB678">
            <v>0</v>
          </cell>
          <cell r="AC678">
            <v>0.2296494094527208</v>
          </cell>
          <cell r="AD678">
            <v>8.3704519647625486E-2</v>
          </cell>
          <cell r="AE678">
            <v>0.36620003000000001</v>
          </cell>
          <cell r="AF678">
            <v>15.825760943742971</v>
          </cell>
          <cell r="AG678">
            <v>8.9693521388870767</v>
          </cell>
          <cell r="AH678">
            <v>202501</v>
          </cell>
          <cell r="AJ678" t="str">
            <v xml:space="preserve">
ACG:Prod'n ramped up as central azeri gas injection. Compressor re-opened.
Vankor:Prod'n deferred due to repair of defect in oil gathering pipe.
BC-10:Abalone field closed due to Main Gas Compressor being unavailable &amp; ALM 2 stopped as Gas Export valve has been closed by Petrobras.
SCB:Due to high water level in storage tank, can't fiscalize volume, however daily prod'n is received.
GPOC:Prod'n deferred due to biorem limitations, downhole complications.
PCB:Prod'n deferred due to the low efficiency of PCPs in 23 wells.
CPO-5:Indico 4 well is under workover operations.</v>
          </cell>
        </row>
        <row r="679">
          <cell r="C679">
            <v>45687</v>
          </cell>
          <cell r="D679">
            <v>319987</v>
          </cell>
          <cell r="E679">
            <v>22170</v>
          </cell>
          <cell r="F679">
            <v>23864</v>
          </cell>
          <cell r="G679">
            <v>4051</v>
          </cell>
          <cell r="H679">
            <v>2234</v>
          </cell>
          <cell r="I679">
            <v>165540</v>
          </cell>
          <cell r="J679">
            <v>169815</v>
          </cell>
          <cell r="K679">
            <v>50313.17</v>
          </cell>
          <cell r="L679">
            <v>10032</v>
          </cell>
          <cell r="M679">
            <v>441355</v>
          </cell>
          <cell r="N679">
            <v>7433</v>
          </cell>
          <cell r="O679">
            <v>5672</v>
          </cell>
          <cell r="P679">
            <v>86.170259999999985</v>
          </cell>
          <cell r="Q679">
            <v>0</v>
          </cell>
          <cell r="R679">
            <v>149347.63886699997</v>
          </cell>
          <cell r="S679">
            <v>14.961191798316278</v>
          </cell>
          <cell r="T679">
            <v>0.234069</v>
          </cell>
          <cell r="U679">
            <v>3.4079575927305102E-3</v>
          </cell>
          <cell r="V679">
            <v>2.3E-2</v>
          </cell>
          <cell r="W679">
            <v>0.29077999999999998</v>
          </cell>
          <cell r="X679">
            <v>11.661289999999999</v>
          </cell>
          <cell r="Y679">
            <v>11.24</v>
          </cell>
          <cell r="Z679">
            <v>0</v>
          </cell>
          <cell r="AA679">
            <v>0</v>
          </cell>
          <cell r="AB679">
            <v>0</v>
          </cell>
          <cell r="AC679">
            <v>0.22738406386009222</v>
          </cell>
          <cell r="AD679">
            <v>8.3053232789744774E-2</v>
          </cell>
          <cell r="AE679">
            <v>0.36290003000000004</v>
          </cell>
          <cell r="AF679">
            <v>15.829328863051364</v>
          </cell>
          <cell r="AG679">
            <v>8.9726615207749028</v>
          </cell>
          <cell r="AH679">
            <v>202501</v>
          </cell>
          <cell r="AJ679" t="str">
            <v>ACG:Prod'n ramped up as central azeri gas injection. Compressor re-opened.
Vankor:Prod'n deferred due to repair of defect in oil gathering pipe.
BC-10:Abalone field closed due to Main Gas Compressor being unavailable &amp; ALM 2 stopped as Gas Export valve has been closed by Petrobras.
GPOC:Prod'n deferred due to biorem limitations, downhole complications.
MECL:Wells Vel-282, Vel-436 &amp; Vel-358 are under well service.
PCB:Prod'n deferred due to the low efficiency of PCPs in 23 wells.
CPO-5:Indico 4 well is under workover operations.</v>
          </cell>
        </row>
        <row r="680">
          <cell r="C680">
            <v>45688</v>
          </cell>
          <cell r="D680">
            <v>323981</v>
          </cell>
          <cell r="E680">
            <v>22201</v>
          </cell>
          <cell r="F680">
            <v>23863.49</v>
          </cell>
          <cell r="G680">
            <v>4014</v>
          </cell>
          <cell r="H680">
            <v>2315</v>
          </cell>
          <cell r="I680">
            <v>163400</v>
          </cell>
          <cell r="J680">
            <v>171495</v>
          </cell>
          <cell r="K680">
            <v>50718.63</v>
          </cell>
          <cell r="L680">
            <v>5993</v>
          </cell>
          <cell r="M680">
            <v>432419</v>
          </cell>
          <cell r="N680">
            <v>7500</v>
          </cell>
          <cell r="O680">
            <v>6809</v>
          </cell>
          <cell r="P680">
            <v>108.31035599999998</v>
          </cell>
          <cell r="Q680">
            <v>0</v>
          </cell>
          <cell r="R680">
            <v>148785.42566020001</v>
          </cell>
          <cell r="S680">
            <v>15.163940228856537</v>
          </cell>
          <cell r="T680">
            <v>0.23162099999999999</v>
          </cell>
          <cell r="U680">
            <v>3.4079575927305102E-3</v>
          </cell>
          <cell r="V680">
            <v>2.4E-2</v>
          </cell>
          <cell r="W680">
            <v>0.29008999999999996</v>
          </cell>
          <cell r="X680">
            <v>11.661289999999999</v>
          </cell>
          <cell r="Y680">
            <v>11.35</v>
          </cell>
          <cell r="Z680">
            <v>0</v>
          </cell>
          <cell r="AA680">
            <v>0</v>
          </cell>
          <cell r="AB680">
            <v>0</v>
          </cell>
          <cell r="AC680">
            <v>0.22710089566101366</v>
          </cell>
          <cell r="AD680">
            <v>8.4355806505506198E-2</v>
          </cell>
          <cell r="AE680">
            <v>0.36460003000000002</v>
          </cell>
          <cell r="AF680">
            <v>15.844308460782621</v>
          </cell>
          <cell r="AG680">
            <v>9.0101423649669243</v>
          </cell>
          <cell r="AH680">
            <v>202501</v>
          </cell>
          <cell r="AJ680" t="str">
            <v>ACG:Prod'n ramped up as central azeri gas injection. Compressor re-opened.
BC-10:Abalone field closed due to Main Gas Compressor being unavailable &amp; ALM 2 stopped as Gas Export valve has been closed by Petrobras.
GPOC:Prod'n deferred due to biorem limitations, downhole complications.
MECL:Wells Vel-282, Vel-436 &amp; Vel-358 are under well service.
CPO-5:Indico 4 well is under workover operations.
SPOC:Mala wells shut-in due to power shutdown.
PCB:Prod'n deferred due to the low efficiency of PCPs in 23 wells.
Vankor:Prod'n deferred due to repair of defect in oil gathering pipe.</v>
          </cell>
        </row>
        <row r="681">
          <cell r="C681">
            <v>45689</v>
          </cell>
          <cell r="D681">
            <v>334022</v>
          </cell>
          <cell r="E681">
            <v>22126</v>
          </cell>
          <cell r="F681">
            <v>23991.39</v>
          </cell>
          <cell r="G681">
            <v>3978</v>
          </cell>
          <cell r="H681">
            <v>2274</v>
          </cell>
          <cell r="I681">
            <v>163400</v>
          </cell>
          <cell r="J681">
            <v>169476</v>
          </cell>
          <cell r="K681">
            <v>52011.519999999997</v>
          </cell>
          <cell r="L681">
            <v>7181</v>
          </cell>
          <cell r="M681">
            <v>429518</v>
          </cell>
          <cell r="N681">
            <v>7407</v>
          </cell>
          <cell r="O681">
            <v>6452</v>
          </cell>
          <cell r="P681">
            <v>92.33426399999999</v>
          </cell>
          <cell r="Q681">
            <v>0</v>
          </cell>
          <cell r="R681">
            <v>148898.0331688</v>
          </cell>
          <cell r="S681">
            <v>14.903991822102407</v>
          </cell>
          <cell r="T681">
            <v>0.23546</v>
          </cell>
          <cell r="U681">
            <v>3.4079575927305102E-3</v>
          </cell>
          <cell r="V681">
            <v>2.4E-2</v>
          </cell>
          <cell r="W681">
            <v>0.28873000000000004</v>
          </cell>
          <cell r="X681">
            <v>12.37857</v>
          </cell>
          <cell r="Y681">
            <v>11.33</v>
          </cell>
          <cell r="Z681">
            <v>0</v>
          </cell>
          <cell r="AA681">
            <v>0</v>
          </cell>
          <cell r="AB681">
            <v>0</v>
          </cell>
          <cell r="AC681">
            <v>0.22653455926285654</v>
          </cell>
          <cell r="AD681">
            <v>8.3931054206888345E-2</v>
          </cell>
          <cell r="AE681">
            <v>0.35580003000000004</v>
          </cell>
          <cell r="AF681">
            <v>15.828734209833296</v>
          </cell>
          <cell r="AG681">
            <v>9.1336315834847372</v>
          </cell>
          <cell r="AH681">
            <v>202502</v>
          </cell>
          <cell r="AJ681" t="str">
            <v>ACG:Prod'n ramped up as central azeri gas injection. Compressor re-opened.
BC-10:Abalone field closed due to Main Gas Compressor being unavailable &amp; ALM 2 stopped as Gas Export valve has been closed by Petrobras.
GPOC:Prod'n deferred due to biorem limitations, downhole complications.
MECL:Wells Vel-282, Vel-436 &amp; Vel-358 are under well service.
CPO-5:Indico 4 well is under workover operations.
PCB:Prod'n deferred due to the low efficiency of PCPs in 23 wells.
Vankor:Prod'n deferred due to repair of defect in oil gathering pipe.</v>
          </cell>
        </row>
        <row r="682">
          <cell r="C682">
            <v>45690</v>
          </cell>
          <cell r="D682">
            <v>338767</v>
          </cell>
          <cell r="E682">
            <v>22019</v>
          </cell>
          <cell r="F682">
            <v>24064.02</v>
          </cell>
          <cell r="G682">
            <v>4001</v>
          </cell>
          <cell r="H682">
            <v>2305</v>
          </cell>
          <cell r="I682">
            <v>163400</v>
          </cell>
          <cell r="J682">
            <v>170666</v>
          </cell>
          <cell r="K682">
            <v>50958.34</v>
          </cell>
          <cell r="L682">
            <v>10019</v>
          </cell>
          <cell r="M682">
            <v>442489</v>
          </cell>
          <cell r="N682">
            <v>7402</v>
          </cell>
          <cell r="O682">
            <v>4655</v>
          </cell>
          <cell r="P682">
            <v>95.038877999999997</v>
          </cell>
          <cell r="Q682">
            <v>0</v>
          </cell>
          <cell r="R682">
            <v>149632.75499510003</v>
          </cell>
          <cell r="S682">
            <v>14.86406510603233</v>
          </cell>
          <cell r="T682">
            <v>0.242365</v>
          </cell>
          <cell r="U682">
            <v>3.4079575927305102E-3</v>
          </cell>
          <cell r="V682">
            <v>2.3E-2</v>
          </cell>
          <cell r="W682">
            <v>0.28693000000000002</v>
          </cell>
          <cell r="X682">
            <v>12.37857</v>
          </cell>
          <cell r="Y682">
            <v>11.47</v>
          </cell>
          <cell r="Z682">
            <v>0</v>
          </cell>
          <cell r="AA682">
            <v>0</v>
          </cell>
          <cell r="AB682">
            <v>0</v>
          </cell>
          <cell r="AC682">
            <v>0.22341970907299225</v>
          </cell>
          <cell r="AD682">
            <v>7.387858313959908E-2</v>
          </cell>
          <cell r="AE682">
            <v>0.36060003000000002</v>
          </cell>
          <cell r="AF682">
            <v>15.827290052017998</v>
          </cell>
          <cell r="AG682">
            <v>9.1659789482632856</v>
          </cell>
          <cell r="AH682">
            <v>202502</v>
          </cell>
          <cell r="AJ682" t="str">
            <v>ACG:Prod'n ramped up as central azeri gas injection compressor re-opened.
BC-10:Abalone field closed due to Main Gas Compressor being unavailable &amp; ALM 2 stopped as Gas Export valve has been closed by Petrobras.
GPOC:Prod'n deferred due to biorem limitations, downhole complications.
MECL:Wells Vel-282, Vel-436 &amp; Vel-358 are under well service.
CPO-5:Indico 4 well is under workover operations.
PCB:Prod'n deferred due to the low efficiency of PCPs in 23 wells.
Vankor:Prod'n deferred due to repair of defect in oil gathering pipe.</v>
          </cell>
        </row>
        <row r="683">
          <cell r="C683">
            <v>45691</v>
          </cell>
          <cell r="D683">
            <v>344675</v>
          </cell>
          <cell r="E683">
            <v>25151</v>
          </cell>
          <cell r="F683">
            <v>23880.41</v>
          </cell>
          <cell r="G683">
            <v>3913</v>
          </cell>
          <cell r="H683">
            <v>2267</v>
          </cell>
          <cell r="I683">
            <v>163400</v>
          </cell>
          <cell r="J683">
            <v>171747</v>
          </cell>
          <cell r="K683">
            <v>49963.839999999997</v>
          </cell>
          <cell r="L683">
            <v>13885</v>
          </cell>
          <cell r="M683">
            <v>438306</v>
          </cell>
          <cell r="N683">
            <v>7416</v>
          </cell>
          <cell r="O683">
            <v>3719</v>
          </cell>
          <cell r="P683">
            <v>100.00782</v>
          </cell>
          <cell r="Q683">
            <v>0</v>
          </cell>
          <cell r="R683">
            <v>150867.84051899999</v>
          </cell>
          <cell r="S683">
            <v>15.067096704771664</v>
          </cell>
          <cell r="T683">
            <v>0.23868500000000001</v>
          </cell>
          <cell r="U683">
            <v>3.4079575927305102E-3</v>
          </cell>
          <cell r="V683">
            <v>2.4E-2</v>
          </cell>
          <cell r="W683">
            <v>0.28443999999999997</v>
          </cell>
          <cell r="X683">
            <v>12.37857</v>
          </cell>
          <cell r="Y683">
            <v>11.45</v>
          </cell>
          <cell r="Z683">
            <v>0</v>
          </cell>
          <cell r="AA683">
            <v>0</v>
          </cell>
          <cell r="AB683">
            <v>0</v>
          </cell>
          <cell r="AC683">
            <v>0.2256850546656208</v>
          </cell>
          <cell r="AD683">
            <v>8.8235210832882618E-2</v>
          </cell>
          <cell r="AE683">
            <v>0.35330003000000004</v>
          </cell>
          <cell r="AF683">
            <v>15.594185990536516</v>
          </cell>
          <cell r="AG683">
            <v>9.1268131711670613</v>
          </cell>
          <cell r="AH683">
            <v>202502</v>
          </cell>
          <cell r="AJ683" t="str">
            <v>ACG:Prod'n ramped up as central azeri gas injection compressor re-opened.
GPOC:Prod'n deferred due to biorem limitations, downhole complications.
MECL:Wells Vel-282, Vel-436 &amp; Vel-358 are under well service.
CPO-5:Indico 4 well is under workover operations.
PCB:Prod'n deferred due to the low efficiency of PCPs in 23 wells.
Vankor:Prod'n deferred due to repair of defect in oil gathering pipe.
Sakhalin-1:New prod'n data received from the operator.</v>
          </cell>
        </row>
        <row r="684">
          <cell r="C684">
            <v>45692</v>
          </cell>
          <cell r="D684">
            <v>346273</v>
          </cell>
          <cell r="E684">
            <v>25849</v>
          </cell>
          <cell r="F684">
            <v>23515.88</v>
          </cell>
          <cell r="G684">
            <v>3933</v>
          </cell>
          <cell r="H684">
            <v>2303</v>
          </cell>
          <cell r="I684">
            <v>163400</v>
          </cell>
          <cell r="J684">
            <v>171559</v>
          </cell>
          <cell r="K684">
            <v>51108.34</v>
          </cell>
          <cell r="L684">
            <v>11315</v>
          </cell>
          <cell r="M684">
            <v>439175</v>
          </cell>
          <cell r="N684">
            <v>7412</v>
          </cell>
          <cell r="O684">
            <v>4495</v>
          </cell>
          <cell r="P684">
            <v>95.353367999999989</v>
          </cell>
          <cell r="Q684">
            <v>0</v>
          </cell>
          <cell r="R684">
            <v>150853.72901559999</v>
          </cell>
          <cell r="S684">
            <v>14.662449348288391</v>
          </cell>
          <cell r="T684">
            <v>0.23877100000000001</v>
          </cell>
          <cell r="U684">
            <v>3.4079575927305102E-3</v>
          </cell>
          <cell r="V684">
            <v>2.4E-2</v>
          </cell>
          <cell r="W684">
            <v>0.28152999999999995</v>
          </cell>
          <cell r="X684">
            <v>12.37857</v>
          </cell>
          <cell r="Y684">
            <v>11.49</v>
          </cell>
          <cell r="Z684">
            <v>0</v>
          </cell>
          <cell r="AA684">
            <v>0</v>
          </cell>
          <cell r="AB684">
            <v>0</v>
          </cell>
          <cell r="AC684">
            <v>0.22341970907299225</v>
          </cell>
          <cell r="AD684">
            <v>9.0104120946801189E-2</v>
          </cell>
          <cell r="AE684">
            <v>0.36300003000000003</v>
          </cell>
          <cell r="AF684">
            <v>15.593647970958267</v>
          </cell>
          <cell r="AG684">
            <v>9.1272623686920014</v>
          </cell>
          <cell r="AH684">
            <v>202502</v>
          </cell>
          <cell r="AJ684" t="str">
            <v>ACG:Prod'n ramped up as central azeri gas injection compressor re-opened.
GPOC:Prod'n deferred due to biorem limitations, downhole complications.
MECL:Wells Vel-282, Vel-358 are under well service.
CPO-5:Indico 4 well  workover operation is completed.
PCB:Prod'n deferred due to the low efficiency of PCPs in 23 wells.
Vankor:Prod'n deferred due to repair of defect in oil gathering pipe.
Sakhalin-1:New prod'n data received from the operator.</v>
          </cell>
        </row>
        <row r="685">
          <cell r="C685">
            <v>45693</v>
          </cell>
          <cell r="D685">
            <v>333769</v>
          </cell>
          <cell r="E685">
            <v>24901</v>
          </cell>
          <cell r="F685">
            <v>23485.79</v>
          </cell>
          <cell r="G685">
            <v>3947</v>
          </cell>
          <cell r="H685">
            <v>2302</v>
          </cell>
          <cell r="I685">
            <v>163400</v>
          </cell>
          <cell r="J685">
            <v>172557</v>
          </cell>
          <cell r="K685">
            <v>52017.43</v>
          </cell>
          <cell r="L685">
            <v>7352</v>
          </cell>
          <cell r="M685">
            <v>431709</v>
          </cell>
          <cell r="N685">
            <v>7427</v>
          </cell>
          <cell r="O685">
            <v>4526</v>
          </cell>
          <cell r="P685">
            <v>114.22276799999999</v>
          </cell>
          <cell r="Q685">
            <v>0</v>
          </cell>
          <cell r="R685">
            <v>149471.54399559999</v>
          </cell>
          <cell r="S685">
            <v>15.342053026076961</v>
          </cell>
          <cell r="T685">
            <v>0.24621199999999999</v>
          </cell>
          <cell r="U685">
            <v>3.4079575927305102E-3</v>
          </cell>
          <cell r="V685">
            <v>2.4E-2</v>
          </cell>
          <cell r="W685">
            <v>0.27867999999999998</v>
          </cell>
          <cell r="X685">
            <v>12.37857</v>
          </cell>
          <cell r="Y685">
            <v>11.51</v>
          </cell>
          <cell r="Z685">
            <v>0</v>
          </cell>
          <cell r="AA685">
            <v>0</v>
          </cell>
          <cell r="AB685">
            <v>0</v>
          </cell>
          <cell r="AC685">
            <v>0.21520783129971369</v>
          </cell>
          <cell r="AD685">
            <v>9.7919563241369745E-2</v>
          </cell>
          <cell r="AE685">
            <v>0.37840003000000005</v>
          </cell>
          <cell r="AF685">
            <v>15.597414108006014</v>
          </cell>
          <cell r="AG685">
            <v>9.1612929599282005</v>
          </cell>
          <cell r="AH685">
            <v>202502</v>
          </cell>
          <cell r="AJ685" t="str">
            <v xml:space="preserve">ACG:Prod'n ramped up as central azeri gas injection compressor re-opened.
MECL:Wells Vel-282, Vel-358 are under well service.
CPO-5:Indico 4 well  workover operation is completed.
SPOC:Prod'n deferred due to power dip in Tharjath field.
GPOC:Prod'n deferred due to biorem limitations, downhole complications.
PCB:Prod'n deferred due to the low efficiency of PCPs in 23 wells.
</v>
          </cell>
        </row>
        <row r="686">
          <cell r="C686">
            <v>45694</v>
          </cell>
          <cell r="D686">
            <v>348091</v>
          </cell>
          <cell r="E686">
            <v>22151</v>
          </cell>
          <cell r="F686">
            <v>23698.13</v>
          </cell>
          <cell r="G686">
            <v>3872</v>
          </cell>
          <cell r="H686">
            <v>2268</v>
          </cell>
          <cell r="I686">
            <v>163400</v>
          </cell>
          <cell r="J686">
            <v>170409</v>
          </cell>
          <cell r="K686">
            <v>50352.29</v>
          </cell>
          <cell r="L686">
            <v>9850</v>
          </cell>
          <cell r="M686">
            <v>424102</v>
          </cell>
          <cell r="N686">
            <v>7442</v>
          </cell>
          <cell r="O686">
            <v>4657</v>
          </cell>
          <cell r="P686">
            <v>83.968829999999997</v>
          </cell>
          <cell r="Q686">
            <v>0</v>
          </cell>
          <cell r="R686">
            <v>148589.13372349998</v>
          </cell>
          <cell r="S686">
            <v>15.187726357579141</v>
          </cell>
          <cell r="T686">
            <v>0.247339</v>
          </cell>
          <cell r="U686">
            <v>3.4079575927305102E-3</v>
          </cell>
          <cell r="V686">
            <v>2.3E-2</v>
          </cell>
          <cell r="W686">
            <v>0.30349999999999999</v>
          </cell>
          <cell r="X686">
            <v>12.37857</v>
          </cell>
          <cell r="Y686">
            <v>11.42</v>
          </cell>
          <cell r="Z686">
            <v>0</v>
          </cell>
          <cell r="AA686">
            <v>0</v>
          </cell>
          <cell r="AB686">
            <v>0</v>
          </cell>
          <cell r="AC686">
            <v>0.22625139106377798</v>
          </cell>
          <cell r="AD686">
            <v>9.3756990714914751E-2</v>
          </cell>
          <cell r="AE686">
            <v>0.37350003000000004</v>
          </cell>
          <cell r="AF686">
            <v>15.735345337777185</v>
          </cell>
          <cell r="AG686">
            <v>9.1787962664992051</v>
          </cell>
          <cell r="AH686">
            <v>202502</v>
          </cell>
          <cell r="AJ686" t="str">
            <v xml:space="preserve">CPO-5:Indico 5 well is under workover operations.Perico-1X well closed due to PBU test .
BC-10: In Abalone main gas compressor is unavailable.
ACG:Prod'n ramped up as central azeri gas injection compressor re-opened.
MECL:Wells Vel-282, Vel-358 are under well service.
GPOC:Prod'n deferred due to biorem limitations, downhole complications.
PCB:Prod'n deferred due to the low efficiency of PCPs in 23 wells.
</v>
          </cell>
        </row>
        <row r="687">
          <cell r="C687">
            <v>45695</v>
          </cell>
          <cell r="D687">
            <v>342147</v>
          </cell>
          <cell r="E687">
            <v>18478</v>
          </cell>
          <cell r="F687">
            <v>24804</v>
          </cell>
          <cell r="G687">
            <v>3812</v>
          </cell>
          <cell r="H687">
            <v>2359</v>
          </cell>
          <cell r="I687">
            <v>160770</v>
          </cell>
          <cell r="J687">
            <v>168795</v>
          </cell>
          <cell r="K687">
            <v>50087.38</v>
          </cell>
          <cell r="L687">
            <v>10370</v>
          </cell>
          <cell r="M687">
            <v>428841</v>
          </cell>
          <cell r="N687">
            <v>7434</v>
          </cell>
          <cell r="O687">
            <v>4264</v>
          </cell>
          <cell r="P687">
            <v>118.18534199999999</v>
          </cell>
          <cell r="Q687">
            <v>0</v>
          </cell>
          <cell r="R687">
            <v>147419.13065390001</v>
          </cell>
          <cell r="S687">
            <v>15.025187811308038</v>
          </cell>
          <cell r="T687">
            <v>0.24652299999999999</v>
          </cell>
          <cell r="U687">
            <v>3.4079575927305102E-3</v>
          </cell>
          <cell r="V687">
            <v>2.4E-2</v>
          </cell>
          <cell r="W687">
            <v>0.30607999999999996</v>
          </cell>
          <cell r="X687">
            <v>12.37857</v>
          </cell>
          <cell r="Y687">
            <v>11.44</v>
          </cell>
          <cell r="Z687">
            <v>0</v>
          </cell>
          <cell r="AA687">
            <v>0</v>
          </cell>
          <cell r="AB687">
            <v>0</v>
          </cell>
          <cell r="AC687">
            <v>0.22143753167944227</v>
          </cell>
          <cell r="AD687">
            <v>9.7947880061277595E-2</v>
          </cell>
          <cell r="AE687">
            <v>0.37200003000000004</v>
          </cell>
          <cell r="AF687">
            <v>15.829328863051364</v>
          </cell>
          <cell r="AG687">
            <v>9.1985507245236526</v>
          </cell>
          <cell r="AH687">
            <v>202502</v>
          </cell>
          <cell r="AJ687" t="str">
            <v xml:space="preserve">
ACG:Prod'n ramped up as central azeri gas injection compressor re-opened.
MECL:Wells Vel-282, Vel-358 are under well service.
GPOC:Prod'n deferred due to biorem limitations, downhole complications.
BC-10: In Abalone main gas compressor is unavailable.
PCB:Prod'n deferred due to the low efficiency of PCPs in 23 wells.</v>
          </cell>
        </row>
        <row r="688">
          <cell r="C688">
            <v>45696</v>
          </cell>
          <cell r="D688">
            <v>324018</v>
          </cell>
          <cell r="E688">
            <v>18050</v>
          </cell>
          <cell r="F688">
            <v>24857</v>
          </cell>
          <cell r="G688">
            <v>3837</v>
          </cell>
          <cell r="H688">
            <v>2300</v>
          </cell>
          <cell r="I688">
            <v>160770</v>
          </cell>
          <cell r="J688">
            <v>168821</v>
          </cell>
          <cell r="K688">
            <v>47887.33</v>
          </cell>
          <cell r="L688">
            <v>9728</v>
          </cell>
          <cell r="M688">
            <v>437185</v>
          </cell>
          <cell r="N688">
            <v>7409</v>
          </cell>
          <cell r="O688">
            <v>3488</v>
          </cell>
          <cell r="P688">
            <v>93.718019999999996</v>
          </cell>
          <cell r="Q688">
            <v>0</v>
          </cell>
          <cell r="R688">
            <v>146075.36210900001</v>
          </cell>
          <cell r="S688">
            <v>15.338938175887096</v>
          </cell>
          <cell r="T688">
            <v>0.23497599999999999</v>
          </cell>
          <cell r="U688">
            <v>3.4079575927305102E-3</v>
          </cell>
          <cell r="V688">
            <v>2.4E-2</v>
          </cell>
          <cell r="W688">
            <v>0.30386000000000002</v>
          </cell>
          <cell r="X688">
            <v>12.37857</v>
          </cell>
          <cell r="Y688">
            <v>11.39</v>
          </cell>
          <cell r="Z688">
            <v>0</v>
          </cell>
          <cell r="AA688">
            <v>0</v>
          </cell>
          <cell r="AB688">
            <v>0</v>
          </cell>
          <cell r="AC688">
            <v>0.22257020447575654</v>
          </cell>
          <cell r="AD688">
            <v>9.1123526463484039E-2</v>
          </cell>
          <cell r="AE688">
            <v>0.37560003000000003</v>
          </cell>
          <cell r="AF688">
            <v>15.878826664250296</v>
          </cell>
          <cell r="AG688">
            <v>9.1968197114598862</v>
          </cell>
          <cell r="AH688">
            <v>202502</v>
          </cell>
          <cell r="AJ688" t="str">
            <v>BC-10: In Abalone main gas compressor is unavailable.
ACG:Prod'n ramped up as central azeri gas injection compressor re-opened.
MECL:Wells Vel-282, Vel-358 are under well service.
PCB:Prod'n deferred due to the low efficiency of PCPs in 23 wells.
SCB:Due to high water level in storage tank, can't fiscalize daily prod'n.
SPOC:TJH-16, TJH-17 &amp; TJH-20 wells shutdown due to free water knockout high level.
GPOC:Prod'n deferred due to biorem limitations, downhole complications._x000D_</v>
          </cell>
        </row>
        <row r="689">
          <cell r="C689">
            <v>45697</v>
          </cell>
          <cell r="D689">
            <v>329577</v>
          </cell>
          <cell r="E689">
            <v>20906</v>
          </cell>
          <cell r="F689">
            <v>23894</v>
          </cell>
          <cell r="G689">
            <v>3842</v>
          </cell>
          <cell r="H689">
            <v>2246</v>
          </cell>
          <cell r="I689">
            <v>160770</v>
          </cell>
          <cell r="J689">
            <v>168241</v>
          </cell>
          <cell r="K689">
            <v>49124.77</v>
          </cell>
          <cell r="L689">
            <v>9050</v>
          </cell>
          <cell r="M689">
            <v>438733</v>
          </cell>
          <cell r="N689">
            <v>7387</v>
          </cell>
          <cell r="O689">
            <v>4494</v>
          </cell>
          <cell r="P689">
            <v>115.79521799999999</v>
          </cell>
          <cell r="Q689">
            <v>0</v>
          </cell>
          <cell r="R689">
            <v>146750.31009810002</v>
          </cell>
          <cell r="S689">
            <v>15.733957813601704</v>
          </cell>
          <cell r="T689">
            <v>0.228214</v>
          </cell>
          <cell r="U689">
            <v>3.4079575927305102E-3</v>
          </cell>
          <cell r="V689">
            <v>2.3E-2</v>
          </cell>
          <cell r="W689">
            <v>0.28839999999999999</v>
          </cell>
          <cell r="X689">
            <v>12.37857</v>
          </cell>
          <cell r="Y689">
            <v>11.39</v>
          </cell>
          <cell r="Z689">
            <v>0</v>
          </cell>
          <cell r="AA689">
            <v>0</v>
          </cell>
          <cell r="AB689">
            <v>0</v>
          </cell>
          <cell r="AC689">
            <v>0.21747317689234227</v>
          </cell>
          <cell r="AD689">
            <v>0.10338470948358615</v>
          </cell>
          <cell r="AE689">
            <v>0.37460003000000003</v>
          </cell>
          <cell r="AF689">
            <v>15.881884880800346</v>
          </cell>
          <cell r="AG689">
            <v>9.1950019928504112</v>
          </cell>
          <cell r="AH689">
            <v>202502</v>
          </cell>
          <cell r="AJ689" t="str">
            <v>GPOC:Prod'n deferred due to biorem limitations, downhole complications.
PCB:Prod'n deferred due to the low efficiency of PCPs in 23 wells.
SPOC:TJH-17 &amp; TJH-23 wells shutdown due to free water knockout high level.
BC-10: Prod'n deferred due to ALM-2 offline, will restart on 14 feb after train-B cleaning.
CPO-5:Indico-5 well is under well service operations.
Vankor:Reason awaited from the operator.</v>
          </cell>
        </row>
        <row r="690">
          <cell r="C690">
            <v>45698</v>
          </cell>
          <cell r="D690">
            <v>327732</v>
          </cell>
          <cell r="E690">
            <v>21384</v>
          </cell>
          <cell r="F690">
            <v>19402</v>
          </cell>
          <cell r="G690">
            <v>3941</v>
          </cell>
          <cell r="H690">
            <v>2246</v>
          </cell>
          <cell r="I690">
            <v>160770</v>
          </cell>
          <cell r="J690">
            <v>167332</v>
          </cell>
          <cell r="K690">
            <v>50069.66</v>
          </cell>
          <cell r="L690">
            <v>8850</v>
          </cell>
          <cell r="M690">
            <v>432875</v>
          </cell>
          <cell r="N690">
            <v>7414</v>
          </cell>
          <cell r="O690">
            <v>3923</v>
          </cell>
          <cell r="P690">
            <v>95.164674000000005</v>
          </cell>
          <cell r="Q690">
            <v>0</v>
          </cell>
          <cell r="R690">
            <v>143213.10260330001</v>
          </cell>
          <cell r="S690">
            <v>15.853737961811932</v>
          </cell>
          <cell r="T690">
            <v>0.23371700000000001</v>
          </cell>
          <cell r="U690">
            <v>3.4079575927305102E-3</v>
          </cell>
          <cell r="V690">
            <v>2.4E-2</v>
          </cell>
          <cell r="W690">
            <v>0.30343000000000003</v>
          </cell>
          <cell r="X690">
            <v>12.37857</v>
          </cell>
          <cell r="Y690">
            <v>11.42</v>
          </cell>
          <cell r="Z690">
            <v>0</v>
          </cell>
          <cell r="AA690">
            <v>0</v>
          </cell>
          <cell r="AB690">
            <v>0</v>
          </cell>
          <cell r="AC690">
            <v>0.22030485888312798</v>
          </cell>
          <cell r="AD690">
            <v>8.087283765683978E-2</v>
          </cell>
          <cell r="AE690">
            <v>0.37790003000000005</v>
          </cell>
          <cell r="AF690">
            <v>15.890125075393531</v>
          </cell>
          <cell r="AG690">
            <v>9.2175139415546905</v>
          </cell>
          <cell r="AH690">
            <v>202502</v>
          </cell>
          <cell r="AJ690" t="str">
            <v xml:space="preserve">
GPOC:Prod'n deferred due to biorem limitations, downhole complications.
SPOC:TJH-17,TJH-20 &amp; TJH-23 wells shutdown due to free water knockout high level &amp; MN-04 well down due to drive head leakage.
BC-10:ALM-2 offline, will restart on 14 feb after train-B cleaning.
CPO-5:Prod'n deferred due to community blockade at Indico pad.
ACG:Azeri Central East K01,K02 &amp; K03 wells shutdown due to fire event.
Vankor:Repair of Power Equipment, Connection of 2 standby control stations.
PCB:Prod'n deferred due to the low efficiency of PCPs in 23 wells.</v>
          </cell>
        </row>
        <row r="691">
          <cell r="C691">
            <v>45699</v>
          </cell>
          <cell r="D691">
            <v>314674</v>
          </cell>
          <cell r="E691">
            <v>21987</v>
          </cell>
          <cell r="F691">
            <v>2413.36</v>
          </cell>
          <cell r="G691">
            <v>3977</v>
          </cell>
          <cell r="H691">
            <v>2305</v>
          </cell>
          <cell r="I691">
            <v>160770</v>
          </cell>
          <cell r="J691">
            <v>170629</v>
          </cell>
          <cell r="K691">
            <v>47365.84</v>
          </cell>
          <cell r="L691">
            <v>7494</v>
          </cell>
          <cell r="M691">
            <v>428830</v>
          </cell>
          <cell r="N691">
            <v>7398</v>
          </cell>
          <cell r="O691">
            <v>4798</v>
          </cell>
          <cell r="P691">
            <v>97.932186000000002</v>
          </cell>
          <cell r="Q691">
            <v>0</v>
          </cell>
          <cell r="R691">
            <v>131220.73348370002</v>
          </cell>
          <cell r="S691">
            <v>14.560225628421023</v>
          </cell>
          <cell r="T691">
            <v>0.2422</v>
          </cell>
          <cell r="U691">
            <v>3.4079575927305102E-3</v>
          </cell>
          <cell r="V691">
            <v>2.5000000000000001E-2</v>
          </cell>
          <cell r="W691">
            <v>0.30016999999999999</v>
          </cell>
          <cell r="X691">
            <v>12.37857</v>
          </cell>
          <cell r="Y691">
            <v>11.42</v>
          </cell>
          <cell r="Z691">
            <v>0</v>
          </cell>
          <cell r="AA691">
            <v>0</v>
          </cell>
          <cell r="AB691">
            <v>0</v>
          </cell>
          <cell r="AC691">
            <v>0.21945535428589227</v>
          </cell>
          <cell r="AD691">
            <v>8.0504718998037642E-2</v>
          </cell>
          <cell r="AE691">
            <v>0.36680003000000005</v>
          </cell>
          <cell r="AF691">
            <v>15.881460128501729</v>
          </cell>
          <cell r="AG691">
            <v>9.172500381862184</v>
          </cell>
          <cell r="AH691">
            <v>202502</v>
          </cell>
          <cell r="AJ691" t="str">
            <v>Sakhalin-1:New prod'n data received from the operator.
GPOC:Prod'n deferred due to biorem limitations, downhole complications.
SPOC:Prod'n deferred due to power dip in Tharjhat field.
BC-10:ALM-2 offline, will restart on 14 feb after train-B cleaning.
CPO-5:Prod'n deferred due to community blockade at Indico pad.
ACG:Azeri Central East K01,K02 &amp; K03 wells shutdown due to fire event.
PCB:Prod'n deferred due to the low efficiency of PCPs in 23 wells.</v>
          </cell>
        </row>
        <row r="692">
          <cell r="C692">
            <v>45700</v>
          </cell>
          <cell r="D692">
            <v>333511</v>
          </cell>
          <cell r="E692">
            <v>22811</v>
          </cell>
          <cell r="F692">
            <v>2346</v>
          </cell>
          <cell r="G692">
            <v>3987</v>
          </cell>
          <cell r="H692">
            <v>2322</v>
          </cell>
          <cell r="I692">
            <v>160770</v>
          </cell>
          <cell r="J692">
            <v>172425</v>
          </cell>
          <cell r="K692">
            <v>49801.55</v>
          </cell>
          <cell r="L692">
            <v>10011</v>
          </cell>
          <cell r="M692">
            <v>414390</v>
          </cell>
          <cell r="N692">
            <v>7398</v>
          </cell>
          <cell r="O692">
            <v>3785</v>
          </cell>
          <cell r="P692">
            <v>99.630431999999999</v>
          </cell>
          <cell r="Q692">
            <v>0</v>
          </cell>
          <cell r="R692">
            <v>132670.1216944</v>
          </cell>
          <cell r="S692">
            <v>15.571136099131522</v>
          </cell>
          <cell r="T692">
            <v>0.24918399999999999</v>
          </cell>
          <cell r="U692">
            <v>3.4079575927305102E-3</v>
          </cell>
          <cell r="V692">
            <v>2.3E-2</v>
          </cell>
          <cell r="W692">
            <v>0.29966000000000004</v>
          </cell>
          <cell r="X692">
            <v>12.37857</v>
          </cell>
          <cell r="Y692">
            <v>11.37</v>
          </cell>
          <cell r="Z692">
            <v>0</v>
          </cell>
          <cell r="AA692">
            <v>0</v>
          </cell>
          <cell r="AB692">
            <v>0</v>
          </cell>
          <cell r="AC692">
            <v>0.21917218608681371</v>
          </cell>
          <cell r="AD692">
            <v>7.77013538271598E-2</v>
          </cell>
          <cell r="AE692">
            <v>0.36990003000000005</v>
          </cell>
          <cell r="AF692">
            <v>15.887236759762931</v>
          </cell>
          <cell r="AG692">
            <v>9.1906697258746206</v>
          </cell>
          <cell r="AH692">
            <v>202502</v>
          </cell>
          <cell r="AJ692" t="str">
            <v>GPOC:Prod'n deferred due to biorem limitations, downhole complications.
BC-10:ALM-2 offline, will restart on 14 feb after train-B cleaning.
CPO-5:Prod'n deferred due to community blockade at Indico pad.
ACG:Azeri Central East K01,K02 &amp; K03 wells shutdown due to fire event.
PCB:Prod'n deferred due to the low efficiency of PCPs in 23 wells.</v>
          </cell>
        </row>
        <row r="693">
          <cell r="C693">
            <v>45701</v>
          </cell>
          <cell r="D693">
            <v>327082</v>
          </cell>
          <cell r="E693">
            <v>22937</v>
          </cell>
          <cell r="F693">
            <v>2392</v>
          </cell>
          <cell r="G693">
            <v>3973</v>
          </cell>
          <cell r="H693">
            <v>2320</v>
          </cell>
          <cell r="I693">
            <v>160770</v>
          </cell>
          <cell r="J693">
            <v>174814</v>
          </cell>
          <cell r="K693">
            <v>50559.31</v>
          </cell>
          <cell r="L693">
            <v>7814</v>
          </cell>
          <cell r="M693">
            <v>417982</v>
          </cell>
          <cell r="N693">
            <v>7096</v>
          </cell>
          <cell r="O693">
            <v>4491</v>
          </cell>
          <cell r="P693">
            <v>122.52530399999999</v>
          </cell>
          <cell r="Q693">
            <v>0</v>
          </cell>
          <cell r="R693">
            <v>133223.00988680002</v>
          </cell>
          <cell r="S693">
            <v>14.151613917150648</v>
          </cell>
          <cell r="T693">
            <v>0.25526599999999999</v>
          </cell>
          <cell r="U693">
            <v>3.4079575927305102E-3</v>
          </cell>
          <cell r="V693">
            <v>2.4E-2</v>
          </cell>
          <cell r="W693">
            <v>0.29788999999999999</v>
          </cell>
          <cell r="X693">
            <v>12.37857</v>
          </cell>
          <cell r="Y693">
            <v>11.39</v>
          </cell>
          <cell r="Z693">
            <v>0</v>
          </cell>
          <cell r="AA693">
            <v>0</v>
          </cell>
          <cell r="AB693">
            <v>0</v>
          </cell>
          <cell r="AC693">
            <v>0.21350882210524227</v>
          </cell>
          <cell r="AD693">
            <v>8.274174777075835E-2</v>
          </cell>
          <cell r="AE693">
            <v>0.36380003000000005</v>
          </cell>
          <cell r="AF693">
            <v>15.880837158463756</v>
          </cell>
          <cell r="AG693">
            <v>9.1522810973702882</v>
          </cell>
          <cell r="AH693">
            <v>202502</v>
          </cell>
          <cell r="AJ693" t="str">
            <v xml:space="preserve">
GPOC:Prod'n deferred due to biorem limitations, downhole complications.
BC-10:ALM-2 offline, will restart on 14 feb after train-B cleaning.
CPO-5:Prod'n deferred due to community blockade at Indico pad.
ACG:Azeri Central East K01,K02 &amp; K03 wells shutdown due to fire event.
SPOC:TJH-16,TJH-20 &amp; TJH-23 wells shutdown due to free water knockout high level.
PCB:Prod'n deferred due to the low efficiency of PCPs in 23 wells.</v>
          </cell>
        </row>
        <row r="694">
          <cell r="C694">
            <v>45702</v>
          </cell>
          <cell r="D694">
            <v>337725</v>
          </cell>
          <cell r="E694">
            <v>24252</v>
          </cell>
          <cell r="F694">
            <v>15126</v>
          </cell>
          <cell r="G694">
            <v>4084</v>
          </cell>
          <cell r="H694">
            <v>2296</v>
          </cell>
          <cell r="I694">
            <v>149050</v>
          </cell>
          <cell r="J694">
            <v>175595</v>
          </cell>
          <cell r="K694">
            <v>49311.65</v>
          </cell>
          <cell r="L694">
            <v>11500</v>
          </cell>
          <cell r="M694">
            <v>420060</v>
          </cell>
          <cell r="N694">
            <v>7254</v>
          </cell>
          <cell r="O694">
            <v>4046.9999999999995</v>
          </cell>
          <cell r="P694">
            <v>81.830297999999999</v>
          </cell>
          <cell r="Q694">
            <v>0</v>
          </cell>
          <cell r="R694">
            <v>141175.64738410001</v>
          </cell>
          <cell r="S694">
            <v>14.064681280033525</v>
          </cell>
          <cell r="T694">
            <v>0.252079</v>
          </cell>
          <cell r="U694">
            <v>3.4079575927305102E-3</v>
          </cell>
          <cell r="V694">
            <v>2.4E-2</v>
          </cell>
          <cell r="W694">
            <v>0.29468</v>
          </cell>
          <cell r="X694">
            <v>12.37857</v>
          </cell>
          <cell r="Y694">
            <v>11.36</v>
          </cell>
          <cell r="Z694">
            <v>0</v>
          </cell>
          <cell r="AA694">
            <v>0</v>
          </cell>
          <cell r="AB694">
            <v>0</v>
          </cell>
          <cell r="AC694">
            <v>0.21945535428589227</v>
          </cell>
          <cell r="AD694">
            <v>8.3308084168915497E-2</v>
          </cell>
          <cell r="AE694">
            <v>0.37080003</v>
          </cell>
          <cell r="AF694">
            <v>15.880469039804952</v>
          </cell>
          <cell r="AG694">
            <v>9.1418359006617482</v>
          </cell>
          <cell r="AH694">
            <v>202502</v>
          </cell>
          <cell r="AJ694" t="str">
            <v>GPOC:Prod'n deferred due to biorem limitations, downhole complications.
BC-10:Prod'n is being ramped up as ALM-2 is online.
CPO-5:Prod'n from Indico pad wells are being ramped-up after lifting of blockade.
ACG:Azeri Central East K01,K02 &amp; K03 wells shutdown due to fire event.
PCB:Prod'n deferred due to the low efficiency of PCPs in 23 wells.</v>
          </cell>
        </row>
        <row r="695">
          <cell r="C695">
            <v>45703</v>
          </cell>
          <cell r="D695">
            <v>317169</v>
          </cell>
          <cell r="E695">
            <v>26660</v>
          </cell>
          <cell r="F695">
            <v>24377</v>
          </cell>
          <cell r="G695">
            <v>4094</v>
          </cell>
          <cell r="H695">
            <v>2274</v>
          </cell>
          <cell r="I695">
            <v>149050</v>
          </cell>
          <cell r="J695">
            <v>173136</v>
          </cell>
          <cell r="K695">
            <v>48830.39</v>
          </cell>
          <cell r="L695">
            <v>6615</v>
          </cell>
          <cell r="M695">
            <v>406184</v>
          </cell>
          <cell r="N695">
            <v>7437</v>
          </cell>
          <cell r="O695">
            <v>5093</v>
          </cell>
          <cell r="P695">
            <v>106.17182399999999</v>
          </cell>
          <cell r="Q695">
            <v>0</v>
          </cell>
          <cell r="R695">
            <v>145639.52682080003</v>
          </cell>
          <cell r="S695">
            <v>14.430251425043959</v>
          </cell>
          <cell r="T695">
            <v>0.24813499999999999</v>
          </cell>
          <cell r="U695">
            <v>3.4079575927305102E-3</v>
          </cell>
          <cell r="V695">
            <v>2.4E-2</v>
          </cell>
          <cell r="W695">
            <v>0.28394999999999998</v>
          </cell>
          <cell r="X695">
            <v>12.37857</v>
          </cell>
          <cell r="Y695">
            <v>11.31</v>
          </cell>
          <cell r="Z695">
            <v>0</v>
          </cell>
          <cell r="AA695">
            <v>0</v>
          </cell>
          <cell r="AB695">
            <v>0</v>
          </cell>
          <cell r="AC695">
            <v>0.22087119528128513</v>
          </cell>
          <cell r="AD695">
            <v>8.3081549609652638E-2</v>
          </cell>
          <cell r="AE695">
            <v>0.36050003000000003</v>
          </cell>
          <cell r="AF695">
            <v>15.893976162901001</v>
          </cell>
          <cell r="AG695">
            <v>9.1254602870154198</v>
          </cell>
          <cell r="AH695">
            <v>202502</v>
          </cell>
          <cell r="AJ695" t="str">
            <v>GPOC:Prod'n deferred due to biorem limitations, downhole complications.
BC-10:Prod'n is being ramped up as ALM-2 is online.
ACG:Azeri Central East K01,K02 &amp; K03 wells shutdown due to fire event.
SPOC:All TJH wells is tripped due to power loss. Continue draining oily water from central oil storage tanks tank bottom for reprocessing.
PCB:Prod'n deferred due to the low efficiency of PCPs in 23 wells.</v>
          </cell>
        </row>
        <row r="696">
          <cell r="C696">
            <v>45704</v>
          </cell>
          <cell r="D696">
            <v>355836</v>
          </cell>
          <cell r="E696">
            <v>30648</v>
          </cell>
          <cell r="F696">
            <v>24221</v>
          </cell>
          <cell r="G696">
            <v>4164</v>
          </cell>
          <cell r="H696">
            <v>2249</v>
          </cell>
          <cell r="I696">
            <v>149050</v>
          </cell>
          <cell r="J696">
            <v>172477</v>
          </cell>
          <cell r="K696">
            <v>50710.1</v>
          </cell>
          <cell r="L696">
            <v>10934</v>
          </cell>
          <cell r="M696">
            <v>412549</v>
          </cell>
          <cell r="N696">
            <v>7316</v>
          </cell>
          <cell r="O696">
            <v>3797</v>
          </cell>
          <cell r="P696">
            <v>78.999887999999999</v>
          </cell>
          <cell r="Q696">
            <v>0</v>
          </cell>
          <cell r="R696">
            <v>148799.30544960001</v>
          </cell>
          <cell r="S696">
            <v>14.257801991805115</v>
          </cell>
          <cell r="T696">
            <v>0.23774799999999999</v>
          </cell>
          <cell r="U696">
            <v>3.4079575927305102E-3</v>
          </cell>
          <cell r="V696">
            <v>2.4E-2</v>
          </cell>
          <cell r="W696">
            <v>0.28099000000000002</v>
          </cell>
          <cell r="X696">
            <v>12.37857</v>
          </cell>
          <cell r="Y696">
            <v>11.28</v>
          </cell>
          <cell r="Z696">
            <v>0</v>
          </cell>
          <cell r="AA696">
            <v>0</v>
          </cell>
          <cell r="AB696">
            <v>0</v>
          </cell>
          <cell r="AC696">
            <v>0.21860584968865654</v>
          </cell>
          <cell r="AD696">
            <v>8.8263527652790483E-2</v>
          </cell>
          <cell r="AE696">
            <v>0.34880003000000004</v>
          </cell>
          <cell r="AF696">
            <v>15.886528839265235</v>
          </cell>
          <cell r="AG696">
            <v>9.1021442092771689</v>
          </cell>
          <cell r="AH696">
            <v>202502</v>
          </cell>
          <cell r="AJ696" t="str">
            <v>GPOC:Prod'n deferred due to biorem limitations, downhole complications.
BC-10:Prod'n is being ramped up as ALM-2 is online.
ACG:Azeri Central East K01,K02 &amp; K03 wells shutdown due to fire event.
PCB:Prod'n deferred due to the low efficiency of PCPs in 23 wells.
Sakhalin-1:New prod'n data received from the operator.</v>
          </cell>
        </row>
        <row r="697">
          <cell r="C697">
            <v>45705</v>
          </cell>
          <cell r="D697">
            <v>342238</v>
          </cell>
          <cell r="E697">
            <v>30006</v>
          </cell>
          <cell r="F697">
            <v>24414.9</v>
          </cell>
          <cell r="G697">
            <v>4192</v>
          </cell>
          <cell r="H697">
            <v>2263</v>
          </cell>
          <cell r="I697">
            <v>149050</v>
          </cell>
          <cell r="J697">
            <v>171339</v>
          </cell>
          <cell r="K697">
            <v>50319.68</v>
          </cell>
          <cell r="L697">
            <v>6366</v>
          </cell>
          <cell r="M697">
            <v>404543</v>
          </cell>
          <cell r="N697">
            <v>7424</v>
          </cell>
          <cell r="O697">
            <v>121</v>
          </cell>
          <cell r="P697">
            <v>125.16701999999998</v>
          </cell>
          <cell r="Q697">
            <v>0</v>
          </cell>
          <cell r="R697">
            <v>145138.45415899999</v>
          </cell>
          <cell r="S697">
            <v>14.085635726765339</v>
          </cell>
          <cell r="T697">
            <v>0.28083599999999997</v>
          </cell>
          <cell r="U697">
            <v>3.4079575927305102E-3</v>
          </cell>
          <cell r="V697">
            <v>2.4E-2</v>
          </cell>
          <cell r="W697">
            <v>0.28072000000000003</v>
          </cell>
          <cell r="X697">
            <v>12.37857</v>
          </cell>
          <cell r="Y697">
            <v>11.41</v>
          </cell>
          <cell r="Z697">
            <v>0</v>
          </cell>
          <cell r="AA697">
            <v>0</v>
          </cell>
          <cell r="AB697">
            <v>0</v>
          </cell>
          <cell r="AC697">
            <v>0.21973852248497083</v>
          </cell>
          <cell r="AD697">
            <v>7.8918977083197644E-2</v>
          </cell>
          <cell r="AE697">
            <v>0.34320003000000004</v>
          </cell>
          <cell r="AF697">
            <v>15.962644451177555</v>
          </cell>
          <cell r="AG697">
            <v>9.1490785338296075</v>
          </cell>
          <cell r="AH697">
            <v>202502</v>
          </cell>
          <cell r="AJ697" t="str">
            <v>GPOC:Prod'n deferred due to biorem limitations, downhole complications.
Vankor:Prod'n deferred due to repair of defects in oil-gathering pipeline.
SPOC:All TJH wells experienced total power lost due to central power plant blackout.
BC-10:ALM-2 restart on 14th Feb after train B cleaning.
ACG:Central Azeri Chirag gas compressor offline for maintenance.
PCB:Prod'n deferred due to the low efficiency of PCPs in 23 wells.</v>
          </cell>
        </row>
        <row r="698">
          <cell r="C698">
            <v>45706</v>
          </cell>
          <cell r="D698">
            <v>346938</v>
          </cell>
          <cell r="E698">
            <v>28811</v>
          </cell>
          <cell r="F698">
            <v>24187</v>
          </cell>
          <cell r="G698">
            <v>4341</v>
          </cell>
          <cell r="H698">
            <v>2239</v>
          </cell>
          <cell r="I698">
            <v>149050</v>
          </cell>
          <cell r="J698">
            <v>172126</v>
          </cell>
          <cell r="K698">
            <v>50158.45</v>
          </cell>
          <cell r="L698">
            <v>9722</v>
          </cell>
          <cell r="M698">
            <v>413897</v>
          </cell>
          <cell r="N698">
            <v>7422</v>
          </cell>
          <cell r="O698">
            <v>7319</v>
          </cell>
          <cell r="P698">
            <v>115.16623799999998</v>
          </cell>
          <cell r="Q698">
            <v>0</v>
          </cell>
          <cell r="R698">
            <v>149066.83630710002</v>
          </cell>
          <cell r="S698">
            <v>14.120465415252006</v>
          </cell>
          <cell r="T698">
            <v>0.240728</v>
          </cell>
          <cell r="U698">
            <v>3.4079575927305102E-3</v>
          </cell>
          <cell r="V698">
            <v>2.4E-2</v>
          </cell>
          <cell r="W698">
            <v>0.28017999999999998</v>
          </cell>
          <cell r="X698">
            <v>12.37857</v>
          </cell>
          <cell r="Y698">
            <v>11.48</v>
          </cell>
          <cell r="Z698">
            <v>0</v>
          </cell>
          <cell r="AA698">
            <v>0</v>
          </cell>
          <cell r="AB698">
            <v>0</v>
          </cell>
          <cell r="AC698">
            <v>0.22228703627667795</v>
          </cell>
          <cell r="AD698">
            <v>8.4922142903663345E-2</v>
          </cell>
          <cell r="AE698">
            <v>0.36160003000000002</v>
          </cell>
          <cell r="AF698">
            <v>15.964938113590092</v>
          </cell>
          <cell r="AG698">
            <v>9.1682796676732501</v>
          </cell>
          <cell r="AH698">
            <v>202502</v>
          </cell>
          <cell r="AJ698" t="str">
            <v>GPOC:Prod'n deferred due to biorem limitations, downhole complications.
Vankor:Prod'n deferred due to repair of defects in oil-gathering pipeline.
PCB:Prod'n deferred due to the low efficiency of PCPs in 23 wells.</v>
          </cell>
        </row>
        <row r="699">
          <cell r="C699">
            <v>45707</v>
          </cell>
          <cell r="D699">
            <v>339749</v>
          </cell>
          <cell r="E699">
            <v>25352</v>
          </cell>
          <cell r="F699">
            <v>23879</v>
          </cell>
          <cell r="G699">
            <v>4415</v>
          </cell>
          <cell r="H699">
            <v>2253</v>
          </cell>
          <cell r="I699">
            <v>149050</v>
          </cell>
          <cell r="J699">
            <v>170275</v>
          </cell>
          <cell r="K699">
            <v>49504.38</v>
          </cell>
          <cell r="L699">
            <v>11734</v>
          </cell>
          <cell r="M699">
            <v>407814</v>
          </cell>
          <cell r="N699">
            <v>7407</v>
          </cell>
          <cell r="O699">
            <v>5882</v>
          </cell>
          <cell r="P699">
            <v>101.45447399999999</v>
          </cell>
          <cell r="Q699">
            <v>0</v>
          </cell>
          <cell r="R699">
            <v>146772.70526329998</v>
          </cell>
          <cell r="S699">
            <v>13.553562680696709</v>
          </cell>
          <cell r="T699">
            <v>0.21110200000000001</v>
          </cell>
          <cell r="U699">
            <v>3.4079575927305102E-3</v>
          </cell>
          <cell r="V699">
            <v>2.4E-2</v>
          </cell>
          <cell r="W699">
            <v>0.27977999999999997</v>
          </cell>
          <cell r="X699">
            <v>12.37857</v>
          </cell>
          <cell r="Y699">
            <v>11.3</v>
          </cell>
          <cell r="Z699">
            <v>0</v>
          </cell>
          <cell r="AA699">
            <v>0</v>
          </cell>
          <cell r="AB699">
            <v>0</v>
          </cell>
          <cell r="AC699">
            <v>0.22087119528128513</v>
          </cell>
          <cell r="AD699">
            <v>8.3308084168915497E-2</v>
          </cell>
          <cell r="AE699">
            <v>0.37010003000000002</v>
          </cell>
          <cell r="AF699">
            <v>15.963862074433592</v>
          </cell>
          <cell r="AG699">
            <v>9.0993394500275091</v>
          </cell>
          <cell r="AH699">
            <v>202502</v>
          </cell>
          <cell r="AJ699" t="str">
            <v>_x000D_GPOC:Prod'n deferred due to biorem limitations, downhole complications.
Vankor:Prod'n deferred due to repair of defects in oil-gathering pipeline.
PCB:Prod'n deferred due to the low efficiency of PCPs in 23 wells.
CPO-5:Indico-5 well is under well service operations.
BC-10:ALM-1 planned shutdown from 18th to 24th February for subsea hydraulic line troubleshooting &amp; MOBO-2 VFD swap.</v>
          </cell>
        </row>
        <row r="700">
          <cell r="C700">
            <v>45708</v>
          </cell>
          <cell r="D700">
            <v>341036</v>
          </cell>
          <cell r="E700">
            <v>20849</v>
          </cell>
          <cell r="F700">
            <v>23800.32</v>
          </cell>
          <cell r="G700">
            <v>4279</v>
          </cell>
          <cell r="H700">
            <v>2285</v>
          </cell>
          <cell r="I700">
            <v>149050</v>
          </cell>
          <cell r="J700">
            <v>167631</v>
          </cell>
          <cell r="K700">
            <v>50009.2</v>
          </cell>
          <cell r="L700">
            <v>11499</v>
          </cell>
          <cell r="M700">
            <v>392452</v>
          </cell>
          <cell r="N700">
            <v>7427</v>
          </cell>
          <cell r="O700">
            <v>4466</v>
          </cell>
          <cell r="P700">
            <v>89.126465999999994</v>
          </cell>
          <cell r="Q700">
            <v>0</v>
          </cell>
          <cell r="R700">
            <v>143701.30765969999</v>
          </cell>
          <cell r="S700">
            <v>13.749515074459076</v>
          </cell>
          <cell r="T700">
            <v>0.21215200000000001</v>
          </cell>
          <cell r="U700">
            <v>3.4079575927305102E-3</v>
          </cell>
          <cell r="V700">
            <v>2.4E-2</v>
          </cell>
          <cell r="W700">
            <v>0.27903</v>
          </cell>
          <cell r="X700">
            <v>12.37857</v>
          </cell>
          <cell r="Y700">
            <v>11.28</v>
          </cell>
          <cell r="Z700">
            <v>0</v>
          </cell>
          <cell r="AA700">
            <v>0</v>
          </cell>
          <cell r="AB700">
            <v>0</v>
          </cell>
          <cell r="AC700">
            <v>0.22285337267483513</v>
          </cell>
          <cell r="AD700">
            <v>7.3821949499783379E-2</v>
          </cell>
          <cell r="AE700">
            <v>0.36690003000000004</v>
          </cell>
          <cell r="AF700">
            <v>15.963380688495157</v>
          </cell>
          <cell r="AG700">
            <v>9.0943063075811619</v>
          </cell>
          <cell r="AH700">
            <v>202502</v>
          </cell>
          <cell r="AJ700" t="str">
            <v xml:space="preserve">LZC:Lower Prod'n due to Barge Movement.
CPO-5:Indico-5 well is under well service operations.
BC-10:ALM-1 planned shutdown from 18th to 24th February for subsea hydraulic line troubleshooting &amp; MOBO-2 VFD swap.
_x000D_GPOC:Prod'n deferred due to biorem limitations, downhole complications.
Vankor:Prod'n deferred due to repair of defects in oil-gathering pipeline.
PCB:Prod'n deferred due to the low efficiency of PCPs in 23 wells.
</v>
          </cell>
        </row>
        <row r="701">
          <cell r="C701">
            <v>45709</v>
          </cell>
          <cell r="D701">
            <v>355614</v>
          </cell>
          <cell r="E701">
            <v>14239</v>
          </cell>
          <cell r="F701">
            <v>23743</v>
          </cell>
          <cell r="G701">
            <v>4201</v>
          </cell>
          <cell r="H701">
            <v>2227</v>
          </cell>
          <cell r="I701">
            <v>158020</v>
          </cell>
          <cell r="J701">
            <v>170773</v>
          </cell>
          <cell r="K701">
            <v>50200.32</v>
          </cell>
          <cell r="L701">
            <v>12146</v>
          </cell>
          <cell r="M701">
            <v>382337</v>
          </cell>
          <cell r="N701">
            <v>7402</v>
          </cell>
          <cell r="O701">
            <v>0</v>
          </cell>
          <cell r="P701">
            <v>130.51335</v>
          </cell>
          <cell r="Q701">
            <v>0</v>
          </cell>
          <cell r="R701">
            <v>142845.55300750001</v>
          </cell>
          <cell r="S701">
            <v>14.180780241655743</v>
          </cell>
          <cell r="T701">
            <v>0.146673</v>
          </cell>
          <cell r="U701">
            <v>3.4079575927305102E-3</v>
          </cell>
          <cell r="V701">
            <v>2.4E-2</v>
          </cell>
          <cell r="W701">
            <v>0.27929999999999999</v>
          </cell>
          <cell r="X701">
            <v>12.37857</v>
          </cell>
          <cell r="Y701">
            <v>11.47</v>
          </cell>
          <cell r="Z701">
            <v>0</v>
          </cell>
          <cell r="AA701">
            <v>0</v>
          </cell>
          <cell r="AB701">
            <v>0</v>
          </cell>
          <cell r="AC701">
            <v>0.21492466310063513</v>
          </cell>
          <cell r="AD701">
            <v>8.4355806505506198E-2</v>
          </cell>
          <cell r="AE701">
            <v>0.36710003000000002</v>
          </cell>
          <cell r="AF701">
            <v>15.963154153935896</v>
          </cell>
          <cell r="AG701">
            <v>9.1423043575957177</v>
          </cell>
          <cell r="AH701">
            <v>202502</v>
          </cell>
          <cell r="AJ701" t="str">
            <v>LZC:Lower Prod'n due to Barge Movement.
CPO-5:Indico-5 well is under well service operations.
BC-10:ALM-1 planned shutdown from 18th to 24th February for subsea hydraulic line troubleshooting &amp; MOBO-2 VFD swap.
SCB:Due to high water level in storage tank, can't fiscalize volume.
GPOC:Prod'n deferred due to biorem limitations, downhole complications.
Vankor:Prod'n deferred due to repair of defects in oil-gathering pipeline.
PCB:Prod'n deferred due to the low efficiency of PCPs in flowing wells.</v>
          </cell>
        </row>
        <row r="702">
          <cell r="C702">
            <v>45710</v>
          </cell>
          <cell r="D702">
            <v>345732</v>
          </cell>
          <cell r="E702">
            <v>13063</v>
          </cell>
          <cell r="F702">
            <v>23497</v>
          </cell>
          <cell r="G702">
            <v>4211</v>
          </cell>
          <cell r="H702">
            <v>2234</v>
          </cell>
          <cell r="I702">
            <v>158020</v>
          </cell>
          <cell r="J702">
            <v>167424</v>
          </cell>
          <cell r="K702">
            <v>48818.33</v>
          </cell>
          <cell r="L702">
            <v>10390</v>
          </cell>
          <cell r="M702">
            <v>363226</v>
          </cell>
          <cell r="N702">
            <v>7201</v>
          </cell>
          <cell r="O702">
            <v>6574</v>
          </cell>
          <cell r="P702">
            <v>102.83823</v>
          </cell>
          <cell r="Q702">
            <v>0</v>
          </cell>
          <cell r="R702">
            <v>142269.50820349998</v>
          </cell>
          <cell r="S702">
            <v>14.471593982109431</v>
          </cell>
          <cell r="T702">
            <v>0.14287</v>
          </cell>
          <cell r="U702">
            <v>3.4079575927305102E-3</v>
          </cell>
          <cell r="V702">
            <v>2.4E-2</v>
          </cell>
          <cell r="W702">
            <v>0.27750000000000002</v>
          </cell>
          <cell r="X702">
            <v>12.37857</v>
          </cell>
          <cell r="Y702">
            <v>11.25</v>
          </cell>
          <cell r="Z702">
            <v>0</v>
          </cell>
          <cell r="AA702">
            <v>0</v>
          </cell>
          <cell r="AB702">
            <v>0</v>
          </cell>
          <cell r="AC702">
            <v>0.21888901788773513</v>
          </cell>
          <cell r="AD702">
            <v>8.3308084168915497E-2</v>
          </cell>
          <cell r="AE702">
            <v>0.36680003000000005</v>
          </cell>
          <cell r="AF702">
            <v>15.977963850747702</v>
          </cell>
          <cell r="AG702">
            <v>9.0931834880539384</v>
          </cell>
          <cell r="AH702">
            <v>202502</v>
          </cell>
          <cell r="AJ702" t="str">
            <v>LZC:Lower Prod'n due to Barge Movement.
CPO-5:Indico-5 well is under well service operations.
BC-10:ALM-1 planned shutdown from 18th to 24th February for subsea hydraulic line troubleshooting &amp; MOBO-2 VFD swap.
GPOC:Prod'n deferred due to biorem limitations, downhole complications.
Vankor:Prod'n deferred due to repair of defects in oil-gathering pipeline.
PCB:Prod'n deferred due to the low efficiency of PCPs in flowing wells.</v>
          </cell>
        </row>
        <row r="703">
          <cell r="C703">
            <v>45711</v>
          </cell>
          <cell r="D703">
            <v>338536</v>
          </cell>
          <cell r="E703">
            <v>15925</v>
          </cell>
          <cell r="F703">
            <v>24854</v>
          </cell>
          <cell r="G703">
            <v>4256</v>
          </cell>
          <cell r="H703">
            <v>2249</v>
          </cell>
          <cell r="I703">
            <v>158020</v>
          </cell>
          <cell r="J703">
            <v>175706</v>
          </cell>
          <cell r="K703">
            <v>42265.17</v>
          </cell>
          <cell r="L703">
            <v>12278</v>
          </cell>
          <cell r="M703">
            <v>371959</v>
          </cell>
          <cell r="N703">
            <v>6024</v>
          </cell>
          <cell r="O703">
            <v>6432</v>
          </cell>
          <cell r="P703">
            <v>117.30476999999999</v>
          </cell>
          <cell r="Q703">
            <v>0</v>
          </cell>
          <cell r="R703">
            <v>144959.2351465</v>
          </cell>
          <cell r="S703">
            <v>14.624787977810939</v>
          </cell>
          <cell r="T703">
            <v>0.16759399999999999</v>
          </cell>
          <cell r="U703">
            <v>3.4079575927305102E-3</v>
          </cell>
          <cell r="V703">
            <v>2.5000000000000001E-2</v>
          </cell>
          <cell r="W703">
            <v>0.27687</v>
          </cell>
          <cell r="X703">
            <v>12.37857</v>
          </cell>
          <cell r="Y703">
            <v>11.42</v>
          </cell>
          <cell r="Z703">
            <v>0</v>
          </cell>
          <cell r="AA703">
            <v>0</v>
          </cell>
          <cell r="AB703">
            <v>0</v>
          </cell>
          <cell r="AC703">
            <v>0.19991674854947089</v>
          </cell>
          <cell r="AD703">
            <v>8.2430262751771927E-2</v>
          </cell>
          <cell r="AE703">
            <v>0.36400003000000003</v>
          </cell>
          <cell r="AF703">
            <v>15.966070786386405</v>
          </cell>
          <cell r="AG703">
            <v>9.1426899932927199</v>
          </cell>
          <cell r="AH703">
            <v>202502</v>
          </cell>
          <cell r="AJ703" t="str">
            <v>LZC:Lower Prod'n due to Barge Movement.
BC-10:ALM-1 planned shutdown from 18th to 24th February for subsea hydraulic line troubleshooting &amp; MOBO-2 VFD swap.
GPOC:Prod'n deferred due to biorem limitations, downhole complications.
PCB:Prod'n deferred due to the low efficiency of PCPs in flowing wells.</v>
          </cell>
        </row>
        <row r="704">
          <cell r="C704">
            <v>45712</v>
          </cell>
          <cell r="D704">
            <v>328386</v>
          </cell>
          <cell r="E704">
            <v>17126</v>
          </cell>
          <cell r="F704">
            <v>25517</v>
          </cell>
          <cell r="G704">
            <v>4269</v>
          </cell>
          <cell r="H704">
            <v>2239</v>
          </cell>
          <cell r="I704">
            <v>158020</v>
          </cell>
          <cell r="J704">
            <v>172731</v>
          </cell>
          <cell r="K704">
            <v>37900.769999999997</v>
          </cell>
          <cell r="L704">
            <v>10728</v>
          </cell>
          <cell r="M704">
            <v>374799</v>
          </cell>
          <cell r="N704">
            <v>7112</v>
          </cell>
          <cell r="O704">
            <v>4864</v>
          </cell>
          <cell r="P704">
            <v>101.391576</v>
          </cell>
          <cell r="R704">
            <v>142807.59920920004</v>
          </cell>
          <cell r="S704">
            <v>14.288384157305595</v>
          </cell>
          <cell r="T704">
            <v>0.206563</v>
          </cell>
          <cell r="U704">
            <v>3.4079575927305102E-3</v>
          </cell>
          <cell r="V704">
            <v>2.5000000000000001E-2</v>
          </cell>
          <cell r="W704">
            <v>0.27732000000000001</v>
          </cell>
          <cell r="X704">
            <v>12.37857</v>
          </cell>
          <cell r="Y704">
            <v>11.55</v>
          </cell>
          <cell r="Z704">
            <v>0</v>
          </cell>
          <cell r="AA704">
            <v>0</v>
          </cell>
          <cell r="AB704">
            <v>0</v>
          </cell>
          <cell r="AC704">
            <v>0.21294248570708513</v>
          </cell>
          <cell r="AD704">
            <v>8.3562935548086206E-2</v>
          </cell>
          <cell r="AE704">
            <v>0.36380003000000005</v>
          </cell>
          <cell r="AF704">
            <v>15.906860315959076</v>
          </cell>
          <cell r="AG704">
            <v>9.1693519317761574</v>
          </cell>
          <cell r="AH704">
            <v>202502</v>
          </cell>
          <cell r="AJ704" t="str">
            <v>LZC:Lower Prod'n due to Barge Movement.
BC-10:ALM-1 planned shutdown from 18th to 24th February for subsea hydraulic line troubleshooting &amp; MOBO-2 VFD swap.
GPOC:Prod'n deferred due to biorem limitations, downhole complications.
PCB:Prod'n deferred due to the low efficiency of PCPs in flowing wells.</v>
          </cell>
        </row>
        <row r="705">
          <cell r="C705">
            <v>45713</v>
          </cell>
          <cell r="D705">
            <v>326504</v>
          </cell>
          <cell r="E705">
            <v>21956</v>
          </cell>
          <cell r="F705">
            <v>26411</v>
          </cell>
          <cell r="G705">
            <v>4292</v>
          </cell>
          <cell r="H705">
            <v>2210</v>
          </cell>
          <cell r="I705">
            <v>158020</v>
          </cell>
          <cell r="J705">
            <v>172782</v>
          </cell>
          <cell r="K705">
            <v>50244.38</v>
          </cell>
          <cell r="L705">
            <v>13449</v>
          </cell>
          <cell r="M705">
            <v>329697</v>
          </cell>
          <cell r="N705">
            <v>7416</v>
          </cell>
          <cell r="O705">
            <v>3734</v>
          </cell>
          <cell r="P705">
            <v>115.669422</v>
          </cell>
          <cell r="Q705">
            <v>0</v>
          </cell>
          <cell r="R705">
            <v>146204.33948990001</v>
          </cell>
          <cell r="S705">
            <v>14.231750517489887</v>
          </cell>
          <cell r="T705">
            <v>0.26593299999999997</v>
          </cell>
          <cell r="U705">
            <v>3.4079575927305102E-3</v>
          </cell>
          <cell r="V705">
            <v>2.3E-2</v>
          </cell>
          <cell r="W705">
            <v>0.27779999999999999</v>
          </cell>
          <cell r="X705">
            <v>12.37857</v>
          </cell>
          <cell r="Y705">
            <v>11.52</v>
          </cell>
          <cell r="Z705">
            <v>0</v>
          </cell>
          <cell r="AA705">
            <v>0</v>
          </cell>
          <cell r="AB705">
            <v>0</v>
          </cell>
          <cell r="AC705">
            <v>0.22370287727207083</v>
          </cell>
          <cell r="AD705">
            <v>8.3789470107349065E-2</v>
          </cell>
          <cell r="AE705">
            <v>0.36360003000000002</v>
          </cell>
          <cell r="AF705">
            <v>15.917932192543047</v>
          </cell>
          <cell r="AG705">
            <v>9.1784717737266774</v>
          </cell>
          <cell r="AH705">
            <v>202502</v>
          </cell>
          <cell r="AJ705" t="str">
            <v>_x000D_Sakhalin-1:New prod'n data received from the operator.
LZC:Lower Prod'n due to Hydrogen Induced Cracking issue.
BC-Prod'n deferred due to ALM-2 offline.
GPOC:Prod'n deferred due to biorem limitations, downhole complications.
PCB:Prod'n deferred due to the low efficiency of PCPs in flowing wells.</v>
          </cell>
        </row>
        <row r="706">
          <cell r="C706">
            <v>45714</v>
          </cell>
          <cell r="D706">
            <v>344954</v>
          </cell>
          <cell r="E706">
            <v>29585</v>
          </cell>
          <cell r="F706">
            <v>26311</v>
          </cell>
          <cell r="G706">
            <v>4273</v>
          </cell>
          <cell r="H706">
            <v>2223</v>
          </cell>
          <cell r="I706">
            <v>158020</v>
          </cell>
          <cell r="J706">
            <v>172948</v>
          </cell>
          <cell r="K706">
            <v>51513.7</v>
          </cell>
          <cell r="L706">
            <v>4510</v>
          </cell>
          <cell r="M706">
            <v>403680</v>
          </cell>
          <cell r="N706">
            <v>7515</v>
          </cell>
          <cell r="O706">
            <v>3751</v>
          </cell>
          <cell r="P706">
            <v>85.226789999999994</v>
          </cell>
          <cell r="Q706">
            <v>0</v>
          </cell>
          <cell r="R706">
            <v>149904.5990555</v>
          </cell>
          <cell r="S706">
            <v>14.126978283830809</v>
          </cell>
          <cell r="T706">
            <v>0.27512599999999998</v>
          </cell>
          <cell r="U706">
            <v>3.4079575927305102E-3</v>
          </cell>
          <cell r="V706">
            <v>2.1999999999999999E-2</v>
          </cell>
          <cell r="W706">
            <v>0.27832999999999997</v>
          </cell>
          <cell r="X706">
            <v>12.37857</v>
          </cell>
          <cell r="Y706">
            <v>11.44</v>
          </cell>
          <cell r="Z706">
            <v>0</v>
          </cell>
          <cell r="AA706">
            <v>0</v>
          </cell>
          <cell r="AB706">
            <v>0</v>
          </cell>
          <cell r="AC706">
            <v>0.22370287727207083</v>
          </cell>
          <cell r="AD706">
            <v>8.3194816889284068E-2</v>
          </cell>
          <cell r="AE706">
            <v>0.24900003000000001</v>
          </cell>
          <cell r="AF706">
            <v>15.918668429860652</v>
          </cell>
          <cell r="AG706">
            <v>9.105436594948916</v>
          </cell>
          <cell r="AH706">
            <v>202502</v>
          </cell>
          <cell r="AJ706" t="str">
            <v xml:space="preserve">GPOC:Prod'n deferred due to biorem limitations, downhole complications.
PCB:Prod'n deferred due to the low efficiency of PCPs in flowing wells.
SPOC:All TJH wells experienced total power loss due to central power plant blackout.
</v>
          </cell>
        </row>
        <row r="707">
          <cell r="C707">
            <v>45715</v>
          </cell>
          <cell r="D707">
            <v>339815</v>
          </cell>
          <cell r="E707">
            <v>28698</v>
          </cell>
          <cell r="F707">
            <v>26446</v>
          </cell>
          <cell r="G707">
            <v>4362</v>
          </cell>
          <cell r="H707">
            <v>2234</v>
          </cell>
          <cell r="I707">
            <v>158020</v>
          </cell>
          <cell r="J707">
            <v>172274</v>
          </cell>
          <cell r="K707">
            <v>52360.85</v>
          </cell>
          <cell r="L707">
            <v>9643</v>
          </cell>
          <cell r="M707">
            <v>409921</v>
          </cell>
          <cell r="N707">
            <v>7296</v>
          </cell>
          <cell r="O707">
            <v>4335</v>
          </cell>
          <cell r="P707">
            <v>0</v>
          </cell>
          <cell r="Q707">
            <v>0</v>
          </cell>
          <cell r="R707">
            <v>151360.47499999998</v>
          </cell>
          <cell r="S707">
            <v>14.045709010695258</v>
          </cell>
          <cell r="T707">
            <v>0.32660699999999998</v>
          </cell>
          <cell r="U707">
            <v>3.4079575927305102E-3</v>
          </cell>
          <cell r="V707">
            <v>2.4E-2</v>
          </cell>
          <cell r="W707">
            <v>0.2767</v>
          </cell>
          <cell r="X707">
            <v>12.37857</v>
          </cell>
          <cell r="Y707">
            <v>11.52</v>
          </cell>
          <cell r="Z707">
            <v>0</v>
          </cell>
          <cell r="AA707">
            <v>0</v>
          </cell>
          <cell r="AB707">
            <v>0</v>
          </cell>
          <cell r="AC707">
            <v>0.22030485888312798</v>
          </cell>
          <cell r="AD707">
            <v>7.2292841224759083E-2</v>
          </cell>
          <cell r="AE707">
            <v>4.24E-2</v>
          </cell>
          <cell r="AF707">
            <v>15.906209029101193</v>
          </cell>
          <cell r="AG707">
            <v>9.0373066547919976</v>
          </cell>
          <cell r="AH707">
            <v>202502</v>
          </cell>
          <cell r="AJ707" t="str">
            <v>GPOC:Prod'n deferred due to biorem limitations, downhole complications.
PCB:Prod'n deferred due to the low efficiency of PCPs in flowing wells.</v>
          </cell>
        </row>
        <row r="708">
          <cell r="C708">
            <v>45716</v>
          </cell>
          <cell r="D708">
            <v>351205</v>
          </cell>
          <cell r="E708">
            <v>29786</v>
          </cell>
          <cell r="F708">
            <v>26244</v>
          </cell>
          <cell r="G708">
            <v>4378</v>
          </cell>
          <cell r="H708">
            <v>2215</v>
          </cell>
          <cell r="I708">
            <v>141660</v>
          </cell>
          <cell r="J708">
            <v>172531</v>
          </cell>
          <cell r="K708">
            <v>53806.94</v>
          </cell>
          <cell r="L708">
            <v>5872</v>
          </cell>
          <cell r="M708">
            <v>450043</v>
          </cell>
          <cell r="N708">
            <v>6965</v>
          </cell>
          <cell r="O708">
            <v>4019.9999999999995</v>
          </cell>
          <cell r="P708">
            <v>0</v>
          </cell>
          <cell r="Q708">
            <v>0</v>
          </cell>
          <cell r="R708">
            <v>149524.05124999999</v>
          </cell>
          <cell r="S708">
            <v>14.387776195182177</v>
          </cell>
          <cell r="T708">
            <v>0.32750899999999999</v>
          </cell>
          <cell r="U708">
            <v>3.4079575927305102E-3</v>
          </cell>
          <cell r="V708">
            <v>2.1999999999999999E-2</v>
          </cell>
          <cell r="W708">
            <v>0.27672000000000002</v>
          </cell>
          <cell r="X708">
            <v>12.37857</v>
          </cell>
          <cell r="Y708">
            <v>11.47</v>
          </cell>
          <cell r="Z708">
            <v>0</v>
          </cell>
          <cell r="AA708">
            <v>0</v>
          </cell>
          <cell r="AB708">
            <v>0</v>
          </cell>
          <cell r="AC708">
            <v>0.2095444673181423</v>
          </cell>
          <cell r="AD708">
            <v>8.5176994282834054E-2</v>
          </cell>
          <cell r="AE708">
            <v>2.7099999999999999E-2</v>
          </cell>
          <cell r="AF708">
            <v>15.909153978371611</v>
          </cell>
          <cell r="AG708">
            <v>9.0311613194652942</v>
          </cell>
          <cell r="AH708">
            <v>202502</v>
          </cell>
          <cell r="AJ708" t="str">
            <v xml:space="preserve">GPOC:Prod'n deferred due to biorem limitations, downhole complications.
PCB:Prod'n deferred due to the low efficiency of PCPs in flowing wells.
SPOC:Prod'n deferred for rectify mechanical seal oil leak in export pump.
B-06.1:Lan do wells 1P and 2P are shutdown &amp; Lan Tay wells P1 and P2 are unloading. </v>
          </cell>
        </row>
        <row r="709">
          <cell r="C709">
            <v>45717</v>
          </cell>
          <cell r="D709">
            <v>342984</v>
          </cell>
          <cell r="E709">
            <v>30472</v>
          </cell>
          <cell r="F709">
            <v>26068</v>
          </cell>
          <cell r="G709">
            <v>4355</v>
          </cell>
          <cell r="H709">
            <v>2232</v>
          </cell>
          <cell r="I709">
            <v>141660</v>
          </cell>
          <cell r="J709">
            <v>172664</v>
          </cell>
          <cell r="K709">
            <v>52773.71</v>
          </cell>
          <cell r="L709">
            <v>159</v>
          </cell>
          <cell r="M709">
            <v>389082</v>
          </cell>
          <cell r="N709">
            <v>7510</v>
          </cell>
          <cell r="O709">
            <v>4518</v>
          </cell>
          <cell r="P709">
            <v>0</v>
          </cell>
          <cell r="Q709">
            <v>0</v>
          </cell>
          <cell r="R709">
            <v>145569.82825000002</v>
          </cell>
          <cell r="S709">
            <v>14.407031632719518</v>
          </cell>
          <cell r="T709">
            <v>0.32665499999999997</v>
          </cell>
          <cell r="U709">
            <v>3.4079575927305102E-3</v>
          </cell>
          <cell r="V709">
            <v>2.3E-2</v>
          </cell>
          <cell r="W709">
            <v>0.27777999999999997</v>
          </cell>
          <cell r="X709">
            <v>12.37857</v>
          </cell>
          <cell r="Y709">
            <v>11.48</v>
          </cell>
          <cell r="Z709">
            <v>0</v>
          </cell>
          <cell r="AA709">
            <v>0</v>
          </cell>
          <cell r="AB709">
            <v>0</v>
          </cell>
          <cell r="AC709">
            <v>0.20812862632274942</v>
          </cell>
          <cell r="AD709">
            <v>8.5545112941636192E-2</v>
          </cell>
          <cell r="AE709">
            <v>6.4999999999999997E-3</v>
          </cell>
          <cell r="AF709">
            <v>15.907964671935481</v>
          </cell>
          <cell r="AG709">
            <v>9.0261732838731472</v>
          </cell>
          <cell r="AH709">
            <v>202503</v>
          </cell>
          <cell r="AJ709" t="str">
            <v xml:space="preserve">GPOC:Prod'n deferred due to biorem limitations, downhole complications.
PCB:Prod'n deferred due to the low efficiency of PCPs in flowing wells.
SPOC:Prod'n deferred for rectify mechanical seal oil leak in export pump.
B-06.1:Lan do wells 1P and 2P are shutdown &amp; Lan Tay wells P1 and P2 are unloading. </v>
          </cell>
        </row>
        <row r="710">
          <cell r="C710">
            <v>45718</v>
          </cell>
          <cell r="D710">
            <v>334617</v>
          </cell>
          <cell r="E710">
            <v>31107</v>
          </cell>
          <cell r="F710">
            <v>26159</v>
          </cell>
          <cell r="G710">
            <v>4405</v>
          </cell>
          <cell r="H710">
            <v>2207</v>
          </cell>
          <cell r="I710">
            <v>141660</v>
          </cell>
          <cell r="J710">
            <v>171454</v>
          </cell>
          <cell r="K710">
            <v>51421.75</v>
          </cell>
          <cell r="L710">
            <v>150</v>
          </cell>
          <cell r="M710">
            <v>380248</v>
          </cell>
          <cell r="N710">
            <v>7312</v>
          </cell>
          <cell r="O710">
            <v>3920</v>
          </cell>
          <cell r="P710">
            <v>0</v>
          </cell>
          <cell r="Q710">
            <v>0</v>
          </cell>
          <cell r="R710">
            <v>144291.14225000003</v>
          </cell>
          <cell r="S710">
            <v>14.255819814411559</v>
          </cell>
          <cell r="T710">
            <v>0.32935999999999999</v>
          </cell>
          <cell r="U710">
            <v>3.4079575927305102E-3</v>
          </cell>
          <cell r="V710">
            <v>2.3E-2</v>
          </cell>
          <cell r="W710">
            <v>0.2762</v>
          </cell>
          <cell r="X710">
            <v>12.37857</v>
          </cell>
          <cell r="Y710">
            <v>11.46</v>
          </cell>
          <cell r="Z710">
            <v>0</v>
          </cell>
          <cell r="AA710">
            <v>0</v>
          </cell>
          <cell r="AB710">
            <v>0</v>
          </cell>
          <cell r="AC710">
            <v>0.21492466310063513</v>
          </cell>
          <cell r="AD710">
            <v>8.3081549609652638E-2</v>
          </cell>
          <cell r="AE710">
            <v>0</v>
          </cell>
          <cell r="AF710">
            <v>15.91051318572719</v>
          </cell>
          <cell r="AG710">
            <v>9.0129710742450033</v>
          </cell>
          <cell r="AH710">
            <v>202503</v>
          </cell>
          <cell r="AJ710" t="str">
            <v>GPOC:Prod'n deferred due to biorem limitations, downhole complications.
PCB:Prod'n deferred due to the low efficiency of PCPs in flowing wells.
SPOC:Prod'n deferred for rectifying the mechanical seal oil leak in the export pump.
B-06.1:Lan do wells 1P and 2P are shutdown &amp; Lan Tay P1 well is shutdown and P2 well is unloading. _x000D_
LZC:Lower Prod'n due to Hydrogen Induced Cracking issue.</v>
          </cell>
        </row>
        <row r="711">
          <cell r="C711">
            <v>45719</v>
          </cell>
          <cell r="D711">
            <v>344588</v>
          </cell>
          <cell r="E711">
            <v>27711</v>
          </cell>
          <cell r="F711">
            <v>26130</v>
          </cell>
          <cell r="G711">
            <v>4358</v>
          </cell>
          <cell r="H711">
            <v>2248</v>
          </cell>
          <cell r="I711">
            <v>141660</v>
          </cell>
          <cell r="J711">
            <v>172890</v>
          </cell>
          <cell r="K711">
            <v>52348.23</v>
          </cell>
          <cell r="L711">
            <v>208</v>
          </cell>
          <cell r="M711">
            <v>376144</v>
          </cell>
          <cell r="N711">
            <v>7317</v>
          </cell>
          <cell r="O711">
            <v>4341</v>
          </cell>
          <cell r="P711">
            <v>0</v>
          </cell>
          <cell r="Q711">
            <v>0</v>
          </cell>
          <cell r="R711">
            <v>144286.83649999998</v>
          </cell>
          <cell r="S711">
            <v>14.332275228162775</v>
          </cell>
          <cell r="T711">
            <v>0.29289599999999999</v>
          </cell>
          <cell r="U711">
            <v>3.4079575927305102E-3</v>
          </cell>
          <cell r="V711">
            <v>2.3E-2</v>
          </cell>
          <cell r="W711">
            <v>0.30395999999999995</v>
          </cell>
          <cell r="X711">
            <v>12.37857</v>
          </cell>
          <cell r="Y711">
            <v>11.4</v>
          </cell>
          <cell r="Z711">
            <v>0</v>
          </cell>
          <cell r="AA711">
            <v>0</v>
          </cell>
          <cell r="AB711">
            <v>0</v>
          </cell>
          <cell r="AC711">
            <v>0.21549099949879227</v>
          </cell>
          <cell r="AD711">
            <v>8.5545112941636192E-2</v>
          </cell>
          <cell r="AE711">
            <v>0</v>
          </cell>
          <cell r="AF711">
            <v>15.907370018717417</v>
          </cell>
          <cell r="AG711">
            <v>9.0180354990421563</v>
          </cell>
          <cell r="AH711">
            <v>202503</v>
          </cell>
          <cell r="AJ711" t="str">
            <v>GPOC:Prod'n deferred due to biorem limitations, downhole complications.
PCB:Prod'n deferred due to the low efficiency of PCPs in flowing wells.
SPOC:Prod'n deferred for rectifying the mechanical seal oil leak in the export pump.
B-06.1:Lan do wells P1 and P2 are shutdown &amp; Lan Tay 1P well is shutdown and 2P well is unloading. 
LZC:Prod'n deferred due to Hydrogen Induced Cracking issue.
BC-10:Prod'n deferred due to MOBO-6 tripped.</v>
          </cell>
        </row>
        <row r="712">
          <cell r="C712">
            <v>45720</v>
          </cell>
          <cell r="D712">
            <v>339352</v>
          </cell>
          <cell r="E712">
            <v>29138</v>
          </cell>
          <cell r="F712">
            <v>26099.97</v>
          </cell>
          <cell r="G712">
            <v>4420</v>
          </cell>
          <cell r="H712">
            <v>2279</v>
          </cell>
          <cell r="I712">
            <v>141660</v>
          </cell>
          <cell r="J712">
            <v>172203</v>
          </cell>
          <cell r="K712">
            <v>52218.14</v>
          </cell>
          <cell r="L712">
            <v>1530</v>
          </cell>
          <cell r="M712">
            <v>354220</v>
          </cell>
          <cell r="N712">
            <v>7105</v>
          </cell>
          <cell r="O712">
            <v>4088</v>
          </cell>
          <cell r="P712">
            <v>0</v>
          </cell>
          <cell r="Q712">
            <v>0</v>
          </cell>
          <cell r="R712">
            <v>143666.26250000001</v>
          </cell>
          <cell r="S712">
            <v>14.204566370378339</v>
          </cell>
          <cell r="T712">
            <v>0.32956600000000003</v>
          </cell>
          <cell r="U712">
            <v>3.4079575927305102E-3</v>
          </cell>
          <cell r="V712">
            <v>2.4E-2</v>
          </cell>
          <cell r="W712">
            <v>0.30274000000000001</v>
          </cell>
          <cell r="X712">
            <v>12.37857</v>
          </cell>
          <cell r="Y712">
            <v>11.41</v>
          </cell>
          <cell r="Z712">
            <v>0</v>
          </cell>
          <cell r="AA712">
            <v>0</v>
          </cell>
          <cell r="AB712">
            <v>0</v>
          </cell>
          <cell r="AC712">
            <v>0.2106771401144566</v>
          </cell>
          <cell r="AD712">
            <v>7.2944128082639809E-2</v>
          </cell>
          <cell r="AE712">
            <v>0</v>
          </cell>
          <cell r="AF712">
            <v>15.908191206494745</v>
          </cell>
          <cell r="AG712">
            <v>9.0206505983982304</v>
          </cell>
          <cell r="AH712">
            <v>202503</v>
          </cell>
          <cell r="AJ712" t="str">
            <v>Sakhalin-1:New prod'n data received from the operator.
GPOC:Prod'n deferred due to biorem limitations, downhole complications.
LZC:Prod'n deferred due to Hydrogen Induced Cracking issue and rig movement.
PCB:Prod'n deferred due to the low efficiency of PCPs in flowing wells.
SPOC:Prod'n deferred for rectifying the mechanical seal oil leak in the export pump.
B-06.1:Lan do wells P1 and P2 are shutdown &amp; Lan Tay 2P well is shutdown and 1P well is unloading.</v>
          </cell>
        </row>
        <row r="713">
          <cell r="C713">
            <v>45721</v>
          </cell>
          <cell r="D713">
            <v>337316</v>
          </cell>
          <cell r="E713">
            <v>26151</v>
          </cell>
          <cell r="F713">
            <v>26095</v>
          </cell>
          <cell r="G713">
            <v>4457</v>
          </cell>
          <cell r="H713">
            <v>2259</v>
          </cell>
          <cell r="I713">
            <v>141660</v>
          </cell>
          <cell r="J713">
            <v>171824</v>
          </cell>
          <cell r="K713">
            <v>52260.02</v>
          </cell>
          <cell r="L713">
            <v>2501</v>
          </cell>
          <cell r="M713">
            <v>351907</v>
          </cell>
          <cell r="N713">
            <v>7012</v>
          </cell>
          <cell r="O713">
            <v>4701</v>
          </cell>
          <cell r="P713">
            <v>61.765836</v>
          </cell>
          <cell r="Q713">
            <v>0</v>
          </cell>
          <cell r="R713">
            <v>143111.66887620001</v>
          </cell>
          <cell r="S713">
            <v>14.225237648911076</v>
          </cell>
          <cell r="T713">
            <v>0.32967200000000002</v>
          </cell>
          <cell r="U713">
            <v>3.4079575927305102E-3</v>
          </cell>
          <cell r="V713">
            <v>2.4E-2</v>
          </cell>
          <cell r="W713">
            <v>0.29672999999999999</v>
          </cell>
          <cell r="X713">
            <v>12.37857</v>
          </cell>
          <cell r="Y713">
            <v>11.41</v>
          </cell>
          <cell r="Z713">
            <v>0</v>
          </cell>
          <cell r="AA713">
            <v>0</v>
          </cell>
          <cell r="AB713">
            <v>0</v>
          </cell>
          <cell r="AC713">
            <v>0.21124347651261371</v>
          </cell>
          <cell r="AD713">
            <v>7.4161751338677667E-2</v>
          </cell>
          <cell r="AE713">
            <v>0.30100003000000003</v>
          </cell>
          <cell r="AF713">
            <v>15.909069027911887</v>
          </cell>
          <cell r="AG713">
            <v>9.1514224427424402</v>
          </cell>
          <cell r="AH713">
            <v>202503</v>
          </cell>
          <cell r="AJ713" t="str">
            <v>GPOC:Prod'n deferred due to biorem limitations, downhole complications.
LZC:Prod'n deferred due to Hydrogen Induced Cracking issue and rig movement.
PCB:Prod'n deferred due to the low efficiency of PCPs in flowing wells.
SPOC:Prod'n deferred for rectifying the mechanical seal oil leak in the export pump.
BC-10:Prod'n deferred due to crude oil pump mech seal replacement.</v>
          </cell>
        </row>
        <row r="714">
          <cell r="C714">
            <v>45722</v>
          </cell>
          <cell r="D714">
            <v>331850</v>
          </cell>
          <cell r="E714">
            <v>29069</v>
          </cell>
          <cell r="F714">
            <v>26117.21</v>
          </cell>
          <cell r="G714">
            <v>4527</v>
          </cell>
          <cell r="H714">
            <v>2290</v>
          </cell>
          <cell r="I714">
            <v>141660</v>
          </cell>
          <cell r="J714">
            <v>160566</v>
          </cell>
          <cell r="K714">
            <v>51058.14</v>
          </cell>
          <cell r="L714">
            <v>9715</v>
          </cell>
          <cell r="M714">
            <v>366260</v>
          </cell>
          <cell r="N714">
            <v>7026</v>
          </cell>
          <cell r="O714">
            <v>3867</v>
          </cell>
          <cell r="P714">
            <v>107.55558000000001</v>
          </cell>
          <cell r="Q714">
            <v>0</v>
          </cell>
          <cell r="R714">
            <v>142596.68826099997</v>
          </cell>
          <cell r="S714">
            <v>13.907522929544923</v>
          </cell>
          <cell r="T714">
            <v>0.32780799999999999</v>
          </cell>
          <cell r="U714">
            <v>3.4079575927305102E-3</v>
          </cell>
          <cell r="V714">
            <v>2.4E-2</v>
          </cell>
          <cell r="W714">
            <v>0.29372000000000004</v>
          </cell>
          <cell r="X714">
            <v>12.37857</v>
          </cell>
          <cell r="Y714">
            <v>11.2</v>
          </cell>
          <cell r="Z714">
            <v>0</v>
          </cell>
          <cell r="AA714">
            <v>0</v>
          </cell>
          <cell r="AB714">
            <v>0</v>
          </cell>
          <cell r="AC714">
            <v>0.2106771401144566</v>
          </cell>
          <cell r="AD714">
            <v>7.7191651068818368E-2</v>
          </cell>
          <cell r="AE714">
            <v>0.33210003000000005</v>
          </cell>
          <cell r="AF714">
            <v>15.906378930020644</v>
          </cell>
          <cell r="AG714">
            <v>9.0987033534477266</v>
          </cell>
          <cell r="AH714">
            <v>202503</v>
          </cell>
          <cell r="AJ714" t="str">
            <v>GPOC:Prod'n deferred due to biorem limitations, downhole complications.
LZC:Prod'n deferred due to Hydrogen Induced Cracking issue and rig movement.
PCB:Prod'n deferred due to the low efficiency of PCPs in flowing wells.
Vankor:Repair of defective sections of the oil gathering pipeline.</v>
          </cell>
        </row>
        <row r="715">
          <cell r="C715">
            <v>45723</v>
          </cell>
          <cell r="D715">
            <v>322758</v>
          </cell>
          <cell r="E715">
            <v>31774</v>
          </cell>
          <cell r="F715">
            <v>25874.29</v>
          </cell>
          <cell r="G715">
            <v>4369</v>
          </cell>
          <cell r="H715">
            <v>1913</v>
          </cell>
          <cell r="I715">
            <v>140380</v>
          </cell>
          <cell r="J715">
            <v>169395</v>
          </cell>
          <cell r="K715">
            <v>49350.01</v>
          </cell>
          <cell r="L715">
            <v>10631</v>
          </cell>
          <cell r="M715">
            <v>368686</v>
          </cell>
          <cell r="N715">
            <v>7054</v>
          </cell>
          <cell r="O715">
            <v>4118</v>
          </cell>
          <cell r="P715">
            <v>61.388447999999997</v>
          </cell>
          <cell r="Q715">
            <v>0</v>
          </cell>
          <cell r="R715">
            <v>144448.29055160002</v>
          </cell>
          <cell r="S715">
            <v>13.702792321611115</v>
          </cell>
          <cell r="T715">
            <v>0.31981300000000001</v>
          </cell>
          <cell r="U715">
            <v>3.4079575927305102E-3</v>
          </cell>
          <cell r="V715">
            <v>2.1000000000000001E-2</v>
          </cell>
          <cell r="W715">
            <v>0.14965999999999999</v>
          </cell>
          <cell r="X715">
            <v>12.37857</v>
          </cell>
          <cell r="Y715">
            <v>11.43</v>
          </cell>
          <cell r="Z715">
            <v>0</v>
          </cell>
          <cell r="AA715">
            <v>0</v>
          </cell>
          <cell r="AB715">
            <v>0</v>
          </cell>
          <cell r="AC715">
            <v>0.20926129911906372</v>
          </cell>
          <cell r="AD715">
            <v>8.5573429761544043E-2</v>
          </cell>
          <cell r="AE715">
            <v>0.33860003000000005</v>
          </cell>
          <cell r="AF715">
            <v>15.906095761821565</v>
          </cell>
          <cell r="AG715">
            <v>9.0108701635394173</v>
          </cell>
          <cell r="AH715">
            <v>202503</v>
          </cell>
          <cell r="AJ715" t="str">
            <v>GPOC:Prod'n deferred due to biorem limitations, downhole complications.
LZC:Prod'n deferred due to Hydrogen Induced Cracking issue and rig movement.
PCB:Prod'n deferred due to the low efficiency of PCPs in flowing wells.
ACG:Prod'n deferred due to high water cut in Central Azeri, West Azeri  &amp; East Azeri.</v>
          </cell>
        </row>
        <row r="716">
          <cell r="C716">
            <v>45724</v>
          </cell>
          <cell r="D716">
            <v>320652</v>
          </cell>
          <cell r="E716">
            <v>17440</v>
          </cell>
          <cell r="F716">
            <v>25626.34</v>
          </cell>
          <cell r="G716">
            <v>4292</v>
          </cell>
          <cell r="H716">
            <v>1996</v>
          </cell>
          <cell r="I716">
            <v>140380</v>
          </cell>
          <cell r="J716">
            <v>168434</v>
          </cell>
          <cell r="K716">
            <v>50735.02</v>
          </cell>
          <cell r="L716">
            <v>9651</v>
          </cell>
          <cell r="M716">
            <v>389080</v>
          </cell>
          <cell r="N716">
            <v>7076</v>
          </cell>
          <cell r="O716">
            <v>4181</v>
          </cell>
          <cell r="P716">
            <v>134.66461799999999</v>
          </cell>
          <cell r="Q716">
            <v>0</v>
          </cell>
          <cell r="R716">
            <v>141123.76682809999</v>
          </cell>
          <cell r="S716">
            <v>13.581313164206403</v>
          </cell>
          <cell r="T716">
            <v>0.182865</v>
          </cell>
          <cell r="U716">
            <v>3.4079575927305102E-3</v>
          </cell>
          <cell r="V716">
            <v>2.1000000000000001E-2</v>
          </cell>
          <cell r="W716">
            <v>0.17502000000000001</v>
          </cell>
          <cell r="X716">
            <v>12.37857</v>
          </cell>
          <cell r="Y716">
            <v>11.28</v>
          </cell>
          <cell r="Z716">
            <v>0</v>
          </cell>
          <cell r="AA716">
            <v>0</v>
          </cell>
          <cell r="AB716">
            <v>0</v>
          </cell>
          <cell r="AC716">
            <v>0.2095444673181423</v>
          </cell>
          <cell r="AD716">
            <v>8.17223422540755E-2</v>
          </cell>
          <cell r="AE716">
            <v>0.34350003000000001</v>
          </cell>
          <cell r="AF716">
            <v>15.91277853131982</v>
          </cell>
          <cell r="AG716">
            <v>8.9585327224989442</v>
          </cell>
          <cell r="AH716">
            <v>202503</v>
          </cell>
          <cell r="AJ716" t="str">
            <v>GPOC:Prod'n deferred due to biorem limitations, downhole complications.
LZC:Prod'n deferred due to Hydrogen Induced Cracking issue and rig movement.
PCB:Prod'n deferred due to the low efficiency of PCPs in flowing wells.
BC-10:Prod'n deferred due to ALM 1,2 &amp; 3 are offline.
ACG:Prod'n deferred due to high water cut in Central Azeri, West Azeri  &amp; East Azeri.</v>
          </cell>
        </row>
        <row r="717">
          <cell r="C717">
            <v>45725</v>
          </cell>
          <cell r="D717">
            <v>306856</v>
          </cell>
          <cell r="E717">
            <v>5484</v>
          </cell>
          <cell r="F717">
            <v>25013</v>
          </cell>
          <cell r="G717">
            <v>4320</v>
          </cell>
          <cell r="H717">
            <v>1905</v>
          </cell>
          <cell r="I717">
            <v>140380</v>
          </cell>
          <cell r="J717">
            <v>169654</v>
          </cell>
          <cell r="K717">
            <v>48057.69</v>
          </cell>
          <cell r="L717">
            <v>11790</v>
          </cell>
          <cell r="M717">
            <v>388894</v>
          </cell>
          <cell r="N717">
            <v>7098</v>
          </cell>
          <cell r="O717">
            <v>3572</v>
          </cell>
          <cell r="P717">
            <v>200.83331399999997</v>
          </cell>
          <cell r="Q717">
            <v>0</v>
          </cell>
          <cell r="R717">
            <v>136930.83299129998</v>
          </cell>
          <cell r="S717">
            <v>13.51958249680728</v>
          </cell>
          <cell r="T717">
            <v>5.0242000000000002E-2</v>
          </cell>
          <cell r="U717">
            <v>3.4079575927305102E-3</v>
          </cell>
          <cell r="V717">
            <v>2.1000000000000001E-2</v>
          </cell>
          <cell r="W717">
            <v>0.11487</v>
          </cell>
          <cell r="X717">
            <v>12.37857</v>
          </cell>
          <cell r="Y717">
            <v>11.2</v>
          </cell>
          <cell r="Z717">
            <v>0</v>
          </cell>
          <cell r="AA717">
            <v>0</v>
          </cell>
          <cell r="AB717">
            <v>0</v>
          </cell>
          <cell r="AC717">
            <v>0.21039397191537801</v>
          </cell>
          <cell r="AD717">
            <v>8.200551045315406E-2</v>
          </cell>
          <cell r="AE717">
            <v>0.32000003000000005</v>
          </cell>
          <cell r="AF717">
            <v>15.90165002109603</v>
          </cell>
          <cell r="AG717">
            <v>8.8277087565248031</v>
          </cell>
          <cell r="AH717">
            <v>202503</v>
          </cell>
          <cell r="AJ717" t="str">
            <v>GPOC:Prod'n deferred due to biorem limitations, downhole complications.
LZC:Prod'n deferred due to Hydrogen Induced Cracking issue and rig movement.
PCB:Prod'n deferred due to the low efficiency of PCPs in flowing wells.
BC-10:Prod'n deferred due to ALM 1,2 &amp; 3 are offline.
ACG:Prod'n deferred due to high water cut in Central Azeri, West Azeri  &amp; East Azeri.
IEC:Prod'n deferred due to the shutdown of the associated petroleum gas treatment plant because of hydrate formation in the pipeline.</v>
          </cell>
        </row>
        <row r="718">
          <cell r="C718">
            <v>45726</v>
          </cell>
          <cell r="D718">
            <v>331213</v>
          </cell>
          <cell r="E718">
            <v>12881</v>
          </cell>
          <cell r="F718">
            <v>25333</v>
          </cell>
          <cell r="G718">
            <v>4288</v>
          </cell>
          <cell r="H718">
            <v>2237</v>
          </cell>
          <cell r="I718">
            <v>140380</v>
          </cell>
          <cell r="J718">
            <v>167908</v>
          </cell>
          <cell r="K718">
            <v>51476.79</v>
          </cell>
          <cell r="L718">
            <v>11615</v>
          </cell>
          <cell r="M718">
            <v>394633</v>
          </cell>
          <cell r="N718">
            <v>7069</v>
          </cell>
          <cell r="O718">
            <v>4543</v>
          </cell>
          <cell r="P718">
            <v>152.08736399999998</v>
          </cell>
          <cell r="Q718">
            <v>0</v>
          </cell>
          <cell r="R718">
            <v>141131.89581379999</v>
          </cell>
          <cell r="S718">
            <v>14.097245622927559</v>
          </cell>
          <cell r="T718">
            <v>6.6507999999999998E-2</v>
          </cell>
          <cell r="U718">
            <v>3.4079575927305102E-3</v>
          </cell>
          <cell r="V718">
            <v>2.1000000000000001E-2</v>
          </cell>
          <cell r="W718">
            <v>0.27383999999999997</v>
          </cell>
          <cell r="X718">
            <v>12.37857</v>
          </cell>
          <cell r="Y718">
            <v>11.1</v>
          </cell>
          <cell r="Z718">
            <v>0</v>
          </cell>
          <cell r="AA718">
            <v>0</v>
          </cell>
          <cell r="AB718">
            <v>0</v>
          </cell>
          <cell r="AC718">
            <v>0.2086949627209066</v>
          </cell>
          <cell r="AD718">
            <v>8.1920559993430481E-2</v>
          </cell>
          <cell r="AE718">
            <v>0.30460003000000002</v>
          </cell>
          <cell r="AF718">
            <v>15.897204280370495</v>
          </cell>
          <cell r="AG718">
            <v>8.9740605758451988</v>
          </cell>
          <cell r="AH718">
            <v>202503</v>
          </cell>
          <cell r="AJ718" t="str">
            <v>Sakhalin-1:New prod'n data received from the operator.
GPOC:Prod'n deferred due to biorem limitations, downhole complications.
LZC:Prod'n deferred due to Hydrogen Induced Cracking issue and rig movement.
PCB:Prod'n deferred due to the low efficiency of PCPs in flowing wells.
BC-10:Prod'n deferred due to ALM 1 &amp; ALM 2 are offline.
ACG:Prod'n deferred due to high water cut in Central Azeri, West Azeri  &amp; East Azeri.
Vankor:Reason awaited from the operator.</v>
          </cell>
        </row>
        <row r="719">
          <cell r="C719">
            <v>45727</v>
          </cell>
          <cell r="D719">
            <v>329249</v>
          </cell>
          <cell r="E719">
            <v>14730</v>
          </cell>
          <cell r="F719">
            <v>25559</v>
          </cell>
          <cell r="G719">
            <v>4249</v>
          </cell>
          <cell r="H719">
            <v>2113</v>
          </cell>
          <cell r="I719">
            <v>140380</v>
          </cell>
          <cell r="J719">
            <v>165938</v>
          </cell>
          <cell r="K719">
            <v>51737.43</v>
          </cell>
          <cell r="L719">
            <v>12405</v>
          </cell>
          <cell r="M719">
            <v>396987</v>
          </cell>
          <cell r="N719">
            <v>7069</v>
          </cell>
          <cell r="O719">
            <v>4002</v>
          </cell>
          <cell r="P719">
            <v>184.35403799999997</v>
          </cell>
          <cell r="Q719">
            <v>0</v>
          </cell>
          <cell r="R719">
            <v>141224.2063171</v>
          </cell>
          <cell r="S719">
            <v>13.574800295627595</v>
          </cell>
          <cell r="T719">
            <v>0.166155</v>
          </cell>
          <cell r="U719">
            <v>3.4079575927305102E-3</v>
          </cell>
          <cell r="V719">
            <v>2.1000000000000001E-2</v>
          </cell>
          <cell r="W719">
            <v>0.20805999999999999</v>
          </cell>
          <cell r="X719">
            <v>12.37857</v>
          </cell>
          <cell r="Y719">
            <v>11.05</v>
          </cell>
          <cell r="Z719">
            <v>0</v>
          </cell>
          <cell r="AA719">
            <v>0</v>
          </cell>
          <cell r="AB719">
            <v>0</v>
          </cell>
          <cell r="AC719">
            <v>0.2086949627209066</v>
          </cell>
          <cell r="AD719">
            <v>8.2147094552693339E-2</v>
          </cell>
          <cell r="AE719">
            <v>0.31320003000000002</v>
          </cell>
          <cell r="AF719">
            <v>15.897770616768652</v>
          </cell>
          <cell r="AG719">
            <v>8.9109606310330669</v>
          </cell>
          <cell r="AH719">
            <v>202503</v>
          </cell>
          <cell r="AJ719" t="str">
            <v>GPOC:Prod'n deferred due to biorem limitations, downhole complications.
LZC:Prod'n deferred due to Hydrogen Induced Cracking issue and rig movement.
PCB:Prod'n deferred due to the low efficiency of PCPs in flowing wells.
BC-10:Prod'n deferred due to ALM 2 is offline.
ACG:Prod'n deferred due to high water cut in Central Azeri, West Azeri  &amp; East Azeri.
Vankor:Reason awaited from the operator.</v>
          </cell>
        </row>
        <row r="720">
          <cell r="C720">
            <v>45728</v>
          </cell>
          <cell r="D720">
            <v>330046</v>
          </cell>
          <cell r="E720">
            <v>19245</v>
          </cell>
          <cell r="F720">
            <v>25601</v>
          </cell>
          <cell r="G720">
            <v>4191</v>
          </cell>
          <cell r="H720">
            <v>2184</v>
          </cell>
          <cell r="I720">
            <v>140380</v>
          </cell>
          <cell r="J720">
            <v>165715</v>
          </cell>
          <cell r="K720">
            <v>51428.58</v>
          </cell>
          <cell r="L720">
            <v>8324</v>
          </cell>
          <cell r="M720">
            <v>407652</v>
          </cell>
          <cell r="N720">
            <v>7081</v>
          </cell>
          <cell r="O720">
            <v>3416</v>
          </cell>
          <cell r="P720">
            <v>124.28644800000001</v>
          </cell>
          <cell r="Q720">
            <v>0</v>
          </cell>
          <cell r="R720">
            <v>141584.72440159999</v>
          </cell>
          <cell r="S720">
            <v>13.727994291329107</v>
          </cell>
          <cell r="T720">
            <v>0.22777600000000001</v>
          </cell>
          <cell r="U720">
            <v>3.4079575927305102E-3</v>
          </cell>
          <cell r="V720">
            <v>2.1999999999999999E-2</v>
          </cell>
          <cell r="W720">
            <v>0.23283999999999999</v>
          </cell>
          <cell r="X720">
            <v>12.37857</v>
          </cell>
          <cell r="Y720">
            <v>11.35</v>
          </cell>
          <cell r="Z720">
            <v>0</v>
          </cell>
          <cell r="AA720">
            <v>0</v>
          </cell>
          <cell r="AB720">
            <v>0</v>
          </cell>
          <cell r="AC720">
            <v>0.20586328073012086</v>
          </cell>
          <cell r="AD720">
            <v>8.3308084168915497E-2</v>
          </cell>
          <cell r="AE720">
            <v>0.43290005999999998</v>
          </cell>
          <cell r="AF720">
            <v>15.900687249219164</v>
          </cell>
          <cell r="AG720">
            <v>9.0898729772514262</v>
          </cell>
          <cell r="AH720">
            <v>202503</v>
          </cell>
          <cell r="AJ720" t="str">
            <v>GPOC:Prod'n deferred due to biorem limitations, downhole complications.
PCB:Prod'n deferred due to the low efficiency of PCPs in flowing wells.
BC-10:Prod'n deferred due to ALM 2 is offline.
ACG:Prod'n deferred due to high water cut in Central Azeri, West Azeri  &amp; East Azeri.
SPOC:Prod'n deferred due to the shutdown of two wells.
Vankor:Reason awaited from the operator.</v>
          </cell>
        </row>
        <row r="721">
          <cell r="C721">
            <v>45729</v>
          </cell>
          <cell r="D721">
            <v>336441</v>
          </cell>
          <cell r="E721">
            <v>26635</v>
          </cell>
          <cell r="F721">
            <v>25544</v>
          </cell>
          <cell r="G721">
            <v>4190</v>
          </cell>
          <cell r="H721">
            <v>2159</v>
          </cell>
          <cell r="I721">
            <v>140380</v>
          </cell>
          <cell r="J721">
            <v>168268</v>
          </cell>
          <cell r="K721">
            <v>51895.31</v>
          </cell>
          <cell r="L721">
            <v>12658</v>
          </cell>
          <cell r="M721">
            <v>392092</v>
          </cell>
          <cell r="N721">
            <v>7079</v>
          </cell>
          <cell r="O721">
            <v>5678</v>
          </cell>
          <cell r="P721">
            <v>126.17338799999999</v>
          </cell>
          <cell r="Q721">
            <v>0</v>
          </cell>
          <cell r="R721">
            <v>145810.74727460003</v>
          </cell>
          <cell r="S721">
            <v>13.556960699085648</v>
          </cell>
          <cell r="T721">
            <v>0.27011099999999999</v>
          </cell>
          <cell r="U721">
            <v>3.4079575927305102E-3</v>
          </cell>
          <cell r="V721">
            <v>2.1999999999999999E-2</v>
          </cell>
          <cell r="W721">
            <v>0.24033000000000002</v>
          </cell>
          <cell r="X721">
            <v>12.37857</v>
          </cell>
          <cell r="Y721">
            <v>11.23</v>
          </cell>
          <cell r="Z721">
            <v>0</v>
          </cell>
          <cell r="AA721">
            <v>0</v>
          </cell>
          <cell r="AB721">
            <v>0</v>
          </cell>
          <cell r="AC721">
            <v>0.20671278532735657</v>
          </cell>
          <cell r="AD721">
            <v>8.274174777075835E-2</v>
          </cell>
          <cell r="AE721">
            <v>0.36850003000000003</v>
          </cell>
          <cell r="AF721">
            <v>15.897912200868191</v>
          </cell>
          <cell r="AG721">
            <v>9.0430058339050738</v>
          </cell>
          <cell r="AH721">
            <v>202503</v>
          </cell>
          <cell r="AJ721" t="str">
            <v>GPOC:Prod'n deferred due to biorem limitations, downhole complications.
PCB:Prod'n deferred due to the low efficiency of PCPs in flowing wells.
ACG:Prod'n deferred due to high water cut in Central Azeri, West Azeri  &amp; East Azeri.
BC-10:ALM-2 restarted. rampup in progress.
LZC:Prod'n deferred due to Hydrogen Induced Cracking issue and planned preventive maintenance shutdown at Zakum West drain line for leak rectification.</v>
          </cell>
        </row>
        <row r="722">
          <cell r="C722">
            <v>45730</v>
          </cell>
          <cell r="D722">
            <v>342865</v>
          </cell>
          <cell r="E722">
            <v>29755</v>
          </cell>
          <cell r="F722">
            <v>25522</v>
          </cell>
          <cell r="G722">
            <v>4278</v>
          </cell>
          <cell r="H722">
            <v>2094</v>
          </cell>
          <cell r="I722">
            <v>156210</v>
          </cell>
          <cell r="J722">
            <v>169057</v>
          </cell>
          <cell r="K722">
            <v>50989.599999999999</v>
          </cell>
          <cell r="L722">
            <v>11280</v>
          </cell>
          <cell r="M722">
            <v>391029</v>
          </cell>
          <cell r="N722">
            <v>7139</v>
          </cell>
          <cell r="O722">
            <v>3169</v>
          </cell>
          <cell r="P722">
            <v>141.89788799999999</v>
          </cell>
          <cell r="Q722">
            <v>0</v>
          </cell>
          <cell r="R722">
            <v>148584.47529959999</v>
          </cell>
          <cell r="S722">
            <v>13.738188346495933</v>
          </cell>
          <cell r="T722">
            <v>0.32350400000000001</v>
          </cell>
          <cell r="U722">
            <v>3.4079575927305102E-3</v>
          </cell>
          <cell r="V722">
            <v>2.1999999999999999E-2</v>
          </cell>
          <cell r="W722">
            <v>0.23347000000000001</v>
          </cell>
          <cell r="X722">
            <v>12.37857</v>
          </cell>
          <cell r="Y722">
            <v>11.4</v>
          </cell>
          <cell r="Z722">
            <v>0</v>
          </cell>
          <cell r="AA722">
            <v>0</v>
          </cell>
          <cell r="AB722">
            <v>0</v>
          </cell>
          <cell r="AC722">
            <v>0.20529694433196374</v>
          </cell>
          <cell r="AD722">
            <v>8.4610657884676921E-2</v>
          </cell>
          <cell r="AE722">
            <v>0.34670003000000005</v>
          </cell>
          <cell r="AF722">
            <v>15.898252002707087</v>
          </cell>
          <cell r="AG722">
            <v>9.0909024404405088</v>
          </cell>
          <cell r="AH722">
            <v>202503</v>
          </cell>
          <cell r="AJ722" t="str">
            <v>GPOC:Prod'n deferred due to biorem limitations, downhole complications.
PCB:Prod'n deferred due to the low efficiency of PCPs in flowing wells.
LZC:Prod'n deferred due to Hydrogen Induced Cracking issue and plant preventive maintenance shutdown at Zakum West drain line for leak rectification.
Vankor:Reason awaited from the operator.</v>
          </cell>
        </row>
        <row r="723">
          <cell r="C723">
            <v>45731</v>
          </cell>
          <cell r="D723">
            <v>331504</v>
          </cell>
          <cell r="E723">
            <v>26623</v>
          </cell>
          <cell r="F723">
            <v>25420</v>
          </cell>
          <cell r="G723">
            <v>4328</v>
          </cell>
          <cell r="H723">
            <v>2091</v>
          </cell>
          <cell r="I723">
            <v>156210</v>
          </cell>
          <cell r="J723">
            <v>166521</v>
          </cell>
          <cell r="K723">
            <v>51966.86</v>
          </cell>
          <cell r="L723">
            <v>9860</v>
          </cell>
          <cell r="M723">
            <v>382019</v>
          </cell>
          <cell r="N723">
            <v>7159</v>
          </cell>
          <cell r="O723">
            <v>4372</v>
          </cell>
          <cell r="P723">
            <v>141.39470399999999</v>
          </cell>
          <cell r="Q723">
            <v>0</v>
          </cell>
          <cell r="R723">
            <v>146722.27961679999</v>
          </cell>
          <cell r="S723">
            <v>12.946166893673174</v>
          </cell>
          <cell r="T723">
            <v>0.32290600000000003</v>
          </cell>
          <cell r="U723">
            <v>3.4079575927305102E-3</v>
          </cell>
          <cell r="V723">
            <v>2.3E-2</v>
          </cell>
          <cell r="W723">
            <v>0.23555000000000001</v>
          </cell>
          <cell r="X723">
            <v>12.37857</v>
          </cell>
          <cell r="Y723">
            <v>11.19</v>
          </cell>
          <cell r="Z723">
            <v>0</v>
          </cell>
          <cell r="AA723">
            <v>0</v>
          </cell>
          <cell r="AB723">
            <v>0</v>
          </cell>
          <cell r="AC723">
            <v>0.20104942134578516</v>
          </cell>
          <cell r="AD723">
            <v>7.5889077353056944E-2</v>
          </cell>
          <cell r="AE723">
            <v>0.33130003000000002</v>
          </cell>
          <cell r="AF723">
            <v>15.898336953166812</v>
          </cell>
          <cell r="AG723">
            <v>9.0046829347824691</v>
          </cell>
          <cell r="AH723">
            <v>202503</v>
          </cell>
          <cell r="AJ723" t="str">
            <v>GPOC:Prod'n deferred due to biorem limitations, downhole complications.
PCB:Prod'n deferred due to the low efficiency of PCPs in flowing wells.
ACG:Prod'n deferred due to high water cut in Central Azeri, West Azeri  &amp; East Azeri.
BC-10:ALM-2 restarted. rampup in progress.
LZC:Prod'n deferred due to Hydrogen Induced Cracking issue and planned preventive maintenance shutdown at Zakum West drain line for leak rectification.
Vankor:Reason awaited from the operator.</v>
          </cell>
        </row>
        <row r="724">
          <cell r="C724">
            <v>45732</v>
          </cell>
          <cell r="D724">
            <v>336867</v>
          </cell>
          <cell r="E724">
            <v>23321</v>
          </cell>
          <cell r="F724">
            <v>25007.96</v>
          </cell>
          <cell r="G724">
            <v>4341</v>
          </cell>
          <cell r="H724">
            <v>2132</v>
          </cell>
          <cell r="I724">
            <v>156210</v>
          </cell>
          <cell r="J724">
            <v>169139</v>
          </cell>
          <cell r="K724">
            <v>51092.13</v>
          </cell>
          <cell r="L724">
            <v>7854</v>
          </cell>
          <cell r="M724">
            <v>392223</v>
          </cell>
          <cell r="N724">
            <v>7160</v>
          </cell>
          <cell r="O724">
            <v>4392</v>
          </cell>
          <cell r="P724">
            <v>153.97430399999999</v>
          </cell>
          <cell r="Q724">
            <v>0</v>
          </cell>
          <cell r="R724">
            <v>146146.6601868</v>
          </cell>
          <cell r="S724">
            <v>9.9417523014495384</v>
          </cell>
          <cell r="T724">
            <v>0.31168299999999999</v>
          </cell>
          <cell r="U724">
            <v>3.4079575927305102E-3</v>
          </cell>
          <cell r="V724">
            <v>2.1999999999999999E-2</v>
          </cell>
          <cell r="W724">
            <v>0.23691000000000001</v>
          </cell>
          <cell r="X724">
            <v>12.37857</v>
          </cell>
          <cell r="Y724">
            <v>11.21</v>
          </cell>
          <cell r="Z724">
            <v>0</v>
          </cell>
          <cell r="AA724">
            <v>0</v>
          </cell>
          <cell r="AB724">
            <v>0</v>
          </cell>
          <cell r="AC724">
            <v>0.20019991674854948</v>
          </cell>
          <cell r="AD724">
            <v>8.7074221216660488E-2</v>
          </cell>
          <cell r="AE724">
            <v>0.31650003000000004</v>
          </cell>
          <cell r="AF724">
            <v>12.6334359346108</v>
          </cell>
          <cell r="AG724">
            <v>8.3625210368451519</v>
          </cell>
          <cell r="AH724">
            <v>202503</v>
          </cell>
          <cell r="AJ724" t="str">
            <v xml:space="preserve">A1-A3:Prod'n deferred due to reduced nomination from operator.
SPOC:Prod'n deferred as MALA North-1 well is shut down for crude oil recirculation and further processing.
LZC:Prod'n deferred due to Hydrogen Induced Cracking issue and a planned preventive maintenance shutdown at the Zakum West drain line for leak rectification.
BC-10:ALM-2 has restarted. Production is being ramped up.
Vankor:Reason awaited from the operator.
GPOC:Prod'n deferred due to biorem limitations, downhole complications.
PCB:Prod'n deferred due to the low efficiency of PCPs in flowing wells._x000D_
</v>
          </cell>
        </row>
        <row r="725">
          <cell r="C725">
            <v>45733</v>
          </cell>
          <cell r="D725">
            <v>331795</v>
          </cell>
          <cell r="E725">
            <v>25088</v>
          </cell>
          <cell r="F725">
            <v>25410.46</v>
          </cell>
          <cell r="G725">
            <v>4355</v>
          </cell>
          <cell r="H725">
            <v>2071</v>
          </cell>
          <cell r="I725">
            <v>156210</v>
          </cell>
          <cell r="J725">
            <v>170089</v>
          </cell>
          <cell r="K725">
            <v>45414.98</v>
          </cell>
          <cell r="L725">
            <v>8449</v>
          </cell>
          <cell r="M725">
            <v>372490</v>
          </cell>
          <cell r="N725">
            <v>7167</v>
          </cell>
          <cell r="O725">
            <v>3831</v>
          </cell>
          <cell r="P725">
            <v>151.01809800000001</v>
          </cell>
          <cell r="Q725">
            <v>0</v>
          </cell>
          <cell r="R725">
            <v>144660.12014409999</v>
          </cell>
          <cell r="S725">
            <v>9.7347563479231045</v>
          </cell>
          <cell r="T725">
            <v>0.315527</v>
          </cell>
          <cell r="U725">
            <v>3.4079575927305102E-3</v>
          </cell>
          <cell r="V725">
            <v>2.1999999999999999E-2</v>
          </cell>
          <cell r="W725">
            <v>0.23843999999999999</v>
          </cell>
          <cell r="X725">
            <v>12.37857</v>
          </cell>
          <cell r="Y725">
            <v>11.41</v>
          </cell>
          <cell r="Z725">
            <v>0</v>
          </cell>
          <cell r="AA725">
            <v>0</v>
          </cell>
          <cell r="AB725">
            <v>0</v>
          </cell>
          <cell r="AC725">
            <v>0.19680189835960663</v>
          </cell>
          <cell r="AD725">
            <v>7.9230462102184068E-2</v>
          </cell>
          <cell r="AE725">
            <v>0.30090003000000004</v>
          </cell>
          <cell r="AF725">
            <v>12.513004499542681</v>
          </cell>
          <cell r="AG725">
            <v>8.380029655574349</v>
          </cell>
          <cell r="AH725">
            <v>202503</v>
          </cell>
          <cell r="AJ725" t="str">
            <v>A1-A3:Prod'n deferred due to reduced nomination from operator.
SPOC:Prod'n deferred as MALA North-1 well is shut down for crude oil recirculation and further processing.
LZC:Prod'n deferred due to Hydrogen Induced Cracking issue and a planned preventive maintenance shutdown at the Zakum West drain line for leak rectification.
IEC:Prod'n deferred due to the shutdown of the associated petroleum gas treatment plant because of hydrate formation in the pipeline.
BC-10:ALM-2 has restarted. Production is being ramped up.
Vankor:Reason awaited from the operator.
GPOC:Prod'n deferred due to biorem limitations, downhole complications.
PCB:Prod'n deferred due to the low efficiency of PCPs in flowing wells.</v>
          </cell>
        </row>
        <row r="726">
          <cell r="C726">
            <v>45734</v>
          </cell>
          <cell r="D726">
            <v>340351</v>
          </cell>
          <cell r="E726">
            <v>29786</v>
          </cell>
          <cell r="F726">
            <v>25391</v>
          </cell>
          <cell r="G726">
            <v>4462</v>
          </cell>
          <cell r="H726">
            <v>2047</v>
          </cell>
          <cell r="I726">
            <v>156210</v>
          </cell>
          <cell r="J726">
            <v>170963</v>
          </cell>
          <cell r="K726">
            <v>50182.76</v>
          </cell>
          <cell r="L726">
            <v>14500</v>
          </cell>
          <cell r="M726">
            <v>382403</v>
          </cell>
          <cell r="N726">
            <v>7153</v>
          </cell>
          <cell r="O726">
            <v>3486</v>
          </cell>
          <cell r="P726">
            <v>189.07138799999998</v>
          </cell>
          <cell r="Q726">
            <v>0</v>
          </cell>
          <cell r="R726">
            <v>149347.81387459999</v>
          </cell>
          <cell r="S726">
            <v>9.4674455679929359</v>
          </cell>
          <cell r="T726">
            <v>0.31157000000000001</v>
          </cell>
          <cell r="U726">
            <v>3.4079575927305102E-3</v>
          </cell>
          <cell r="V726">
            <v>2.3E-2</v>
          </cell>
          <cell r="W726">
            <v>0.24018</v>
          </cell>
          <cell r="X726">
            <v>12.37857</v>
          </cell>
          <cell r="Y726">
            <v>11.25</v>
          </cell>
          <cell r="Z726">
            <v>0</v>
          </cell>
          <cell r="AA726">
            <v>0</v>
          </cell>
          <cell r="AB726">
            <v>0</v>
          </cell>
          <cell r="AC726">
            <v>0.20019991674854948</v>
          </cell>
          <cell r="AD726">
            <v>8.0363134898498362E-2</v>
          </cell>
          <cell r="AE726">
            <v>0.30490003000000004</v>
          </cell>
          <cell r="AF726">
            <v>12.516430834751533</v>
          </cell>
          <cell r="AG726">
            <v>8.3349917533882056</v>
          </cell>
          <cell r="AH726">
            <v>202503</v>
          </cell>
          <cell r="AJ726" t="str">
            <v>Sakhalin-1:New prod'n data received from the operator.
A1-A3:Prod'n deferred due to reduced nomination from operator.
LZC:Lower prod'n due to barge movement and planned preventive maintenance activity.
IEC:Prod'n deferred due to the shutdown of the associated petroleum gas treatment plant because of hydrate formation in the pipeline.
GPOC:Prod'n deferred due to biorem limitations, downhole complications.
PCB:Prod'n deferred due to the low efficiency of PCPs in flowing wells.</v>
          </cell>
        </row>
        <row r="727">
          <cell r="C727">
            <v>45735</v>
          </cell>
          <cell r="D727">
            <v>363288</v>
          </cell>
          <cell r="E727">
            <v>29893</v>
          </cell>
          <cell r="F727">
            <v>25193</v>
          </cell>
          <cell r="G727">
            <v>4498</v>
          </cell>
          <cell r="H727">
            <v>2018</v>
          </cell>
          <cell r="I727">
            <v>156210</v>
          </cell>
          <cell r="J727">
            <v>167725</v>
          </cell>
          <cell r="K727">
            <v>51049.74</v>
          </cell>
          <cell r="L727">
            <v>14273</v>
          </cell>
          <cell r="M727">
            <v>401575</v>
          </cell>
          <cell r="N727">
            <v>7212</v>
          </cell>
          <cell r="O727">
            <v>5077</v>
          </cell>
          <cell r="P727">
            <v>130.82784000000001</v>
          </cell>
          <cell r="Q727">
            <v>0</v>
          </cell>
          <cell r="R727">
            <v>150601.67277799998</v>
          </cell>
          <cell r="S727">
            <v>9.7540117854604436</v>
          </cell>
          <cell r="T727">
            <v>0.30889899999999998</v>
          </cell>
          <cell r="U727">
            <v>3.4079575927305102E-3</v>
          </cell>
          <cell r="V727">
            <v>2.8000000000000001E-2</v>
          </cell>
          <cell r="W727">
            <v>0.24203</v>
          </cell>
          <cell r="X727">
            <v>12.37857</v>
          </cell>
          <cell r="Y727">
            <v>11.06</v>
          </cell>
          <cell r="Z727">
            <v>0</v>
          </cell>
          <cell r="AA727">
            <v>0</v>
          </cell>
          <cell r="AB727">
            <v>0</v>
          </cell>
          <cell r="AC727">
            <v>0.20048308494762804</v>
          </cell>
          <cell r="AD727">
            <v>8.6281350259240483E-2</v>
          </cell>
          <cell r="AE727">
            <v>0.34050003000000001</v>
          </cell>
          <cell r="AF727">
            <v>12.513061133182498</v>
          </cell>
          <cell r="AG727">
            <v>8.31544823062859</v>
          </cell>
          <cell r="AH727">
            <v>202503</v>
          </cell>
          <cell r="AJ727" t="str">
            <v>A1-A3:Prod'n deferred due to reduced nomination from operator.
IEC:Prod'n deferred due to the shutdown of the associated petroleum gas treatment plant because of hydrate formation in the pipeline.
GPOC:Prod'n deferred due to biorem limitations, downhole complications.
PCB:Prod'n deferred due to the low efficiency of PCPs in flowing wells.</v>
          </cell>
        </row>
        <row r="728">
          <cell r="C728">
            <v>45736</v>
          </cell>
          <cell r="D728">
            <v>338958</v>
          </cell>
          <cell r="E728">
            <v>29774</v>
          </cell>
          <cell r="F728">
            <v>25361</v>
          </cell>
          <cell r="G728">
            <v>4550</v>
          </cell>
          <cell r="H728">
            <v>2101</v>
          </cell>
          <cell r="I728">
            <v>156210</v>
          </cell>
          <cell r="J728">
            <v>170044</v>
          </cell>
          <cell r="K728">
            <v>49766.21</v>
          </cell>
          <cell r="L728">
            <v>10145</v>
          </cell>
          <cell r="M728">
            <v>392998</v>
          </cell>
          <cell r="N728">
            <v>7224</v>
          </cell>
          <cell r="O728">
            <v>3504</v>
          </cell>
          <cell r="P728">
            <v>142.08658199999999</v>
          </cell>
          <cell r="Q728">
            <v>0</v>
          </cell>
          <cell r="R728">
            <v>148404.77421190005</v>
          </cell>
          <cell r="S728">
            <v>10.094379960752887</v>
          </cell>
          <cell r="T728">
            <v>0.31173499999999998</v>
          </cell>
          <cell r="U728">
            <v>3.4079575927305102E-3</v>
          </cell>
          <cell r="V728">
            <v>2.8000000000000001E-2</v>
          </cell>
          <cell r="W728">
            <v>0.25436999999999999</v>
          </cell>
          <cell r="X728">
            <v>12.37857</v>
          </cell>
          <cell r="Y728">
            <v>11.1</v>
          </cell>
          <cell r="Z728">
            <v>0</v>
          </cell>
          <cell r="AA728">
            <v>0</v>
          </cell>
          <cell r="AB728">
            <v>0</v>
          </cell>
          <cell r="AC728">
            <v>0.20982763551722086</v>
          </cell>
          <cell r="AD728">
            <v>8.2260361832324769E-2</v>
          </cell>
          <cell r="AE728">
            <v>0.34270003000000004</v>
          </cell>
          <cell r="AF728">
            <v>9.1163453179554104</v>
          </cell>
          <cell r="AG728">
            <v>7.7718775363591774</v>
          </cell>
          <cell r="AH728">
            <v>202503</v>
          </cell>
          <cell r="AJ728" t="str">
            <v>A1-A3:Prod'n deferred due to reduced nomination of CNUOC from 333 to 200 MMscf for 4 days (20th-24th March).
IEC:Prod'n deferred due to the shutdown of the associated petroleum gas treatment plant because of hydrate formation in the pipeline.
GPOC:Prod'n deferred due to biorem limitations, downhole complications.
PCB:Prod'n deferred due to the low efficiency of PCPs in flowing wells.</v>
          </cell>
        </row>
        <row r="729">
          <cell r="C729">
            <v>45737</v>
          </cell>
          <cell r="D729">
            <v>319405</v>
          </cell>
          <cell r="E729">
            <v>29208</v>
          </cell>
          <cell r="F729">
            <v>25202.63</v>
          </cell>
          <cell r="G729">
            <v>4584</v>
          </cell>
          <cell r="H729">
            <v>2176</v>
          </cell>
          <cell r="I729">
            <v>158680</v>
          </cell>
          <cell r="J729">
            <v>165815</v>
          </cell>
          <cell r="K729">
            <v>49400.02</v>
          </cell>
          <cell r="L729">
            <v>9772</v>
          </cell>
          <cell r="M729">
            <v>384012</v>
          </cell>
          <cell r="N729">
            <v>7222</v>
          </cell>
          <cell r="O729">
            <v>4518</v>
          </cell>
          <cell r="P729">
            <v>146.86682999999999</v>
          </cell>
          <cell r="Q729">
            <v>0</v>
          </cell>
          <cell r="R729">
            <v>146922.18732350002</v>
          </cell>
          <cell r="S729">
            <v>12.798069925555078</v>
          </cell>
          <cell r="T729">
            <v>0.30541000000000001</v>
          </cell>
          <cell r="U729">
            <v>3.4079575927305102E-3</v>
          </cell>
          <cell r="V729">
            <v>2.5999999999999999E-2</v>
          </cell>
          <cell r="W729">
            <v>0.27938000000000002</v>
          </cell>
          <cell r="X729">
            <v>12.37857</v>
          </cell>
          <cell r="Y729">
            <v>11.01</v>
          </cell>
          <cell r="Z729">
            <v>0</v>
          </cell>
          <cell r="AA729">
            <v>0</v>
          </cell>
          <cell r="AB729">
            <v>0</v>
          </cell>
          <cell r="AC729">
            <v>0.21322565390616371</v>
          </cell>
          <cell r="AD729">
            <v>8.1665708614259772E-2</v>
          </cell>
          <cell r="AE729">
            <v>0.32140003</v>
          </cell>
          <cell r="AF729">
            <v>8.7449702248638665</v>
          </cell>
          <cell r="AG729">
            <v>7.7772798727396371</v>
          </cell>
          <cell r="AH729">
            <v>202503</v>
          </cell>
          <cell r="AJ729" t="str">
            <v>A1-A3:Prod'n deferred due to reduced nomination of CNUOC from 333 to 200 MMscf for 4 days (20th-24th March).
GPOC:Prod'n deferred due to biorem limitations, downhole complications.
PCB:Prod'n deferred due to the low efficiency of PCPs in flowing wells.</v>
          </cell>
        </row>
        <row r="730">
          <cell r="C730">
            <v>45738</v>
          </cell>
          <cell r="D730">
            <v>326261</v>
          </cell>
          <cell r="E730">
            <v>29226</v>
          </cell>
          <cell r="F730">
            <v>25239.31</v>
          </cell>
          <cell r="G730">
            <v>4589</v>
          </cell>
          <cell r="H730">
            <v>2107</v>
          </cell>
          <cell r="I730">
            <v>158680</v>
          </cell>
          <cell r="J730">
            <v>168203</v>
          </cell>
          <cell r="K730">
            <v>49432.89</v>
          </cell>
          <cell r="L730">
            <v>10030</v>
          </cell>
          <cell r="M730">
            <v>378338</v>
          </cell>
          <cell r="N730">
            <v>7198</v>
          </cell>
          <cell r="O730">
            <v>4170</v>
          </cell>
          <cell r="P730">
            <v>158.25136799999999</v>
          </cell>
          <cell r="Q730">
            <v>0</v>
          </cell>
          <cell r="R730">
            <v>147414.42436559999</v>
          </cell>
          <cell r="S730">
            <v>12.724163025595573</v>
          </cell>
          <cell r="T730">
            <v>0.30016999999999999</v>
          </cell>
          <cell r="U730">
            <v>3.4079575927305102E-3</v>
          </cell>
          <cell r="V730">
            <v>2.5999999999999999E-2</v>
          </cell>
          <cell r="W730">
            <v>0.27676999999999996</v>
          </cell>
          <cell r="X730">
            <v>12.37857</v>
          </cell>
          <cell r="Y730">
            <v>11.04</v>
          </cell>
          <cell r="Z730">
            <v>0</v>
          </cell>
          <cell r="AA730">
            <v>0</v>
          </cell>
          <cell r="AB730">
            <v>0</v>
          </cell>
          <cell r="AC730">
            <v>0.21124347651261371</v>
          </cell>
          <cell r="AD730">
            <v>8.084452083693193E-2</v>
          </cell>
          <cell r="AE730">
            <v>0.31700003000000004</v>
          </cell>
          <cell r="AF730">
            <v>13.109016924963257</v>
          </cell>
          <cell r="AG730">
            <v>8.5182547203084944</v>
          </cell>
          <cell r="AH730">
            <v>202503</v>
          </cell>
          <cell r="AJ730" t="str">
            <v>A1-A3:Prod'n deferred due to reduced nomination of CNUOC from 333 to 200 MMscf for 4 days (20th-24th March).
GPOC:Prod'n deferred due to biorem limitations, downhole complications.
PCB:Prod'n deferred due to the low efficiency of PCPs in flowing wells.</v>
          </cell>
        </row>
        <row r="731">
          <cell r="C731">
            <v>45739</v>
          </cell>
          <cell r="D731">
            <v>323988</v>
          </cell>
          <cell r="E731">
            <v>28296</v>
          </cell>
          <cell r="F731">
            <v>25185</v>
          </cell>
          <cell r="G731">
            <v>4616</v>
          </cell>
          <cell r="H731">
            <v>2157</v>
          </cell>
          <cell r="I731">
            <v>158680</v>
          </cell>
          <cell r="J731">
            <v>169463</v>
          </cell>
          <cell r="K731">
            <v>49272.94</v>
          </cell>
          <cell r="L731">
            <v>7073</v>
          </cell>
          <cell r="M731">
            <v>388253</v>
          </cell>
          <cell r="N731">
            <v>7210</v>
          </cell>
          <cell r="O731">
            <v>3755</v>
          </cell>
          <cell r="P731">
            <v>132.651882</v>
          </cell>
          <cell r="Q731">
            <v>0</v>
          </cell>
          <cell r="R731">
            <v>146916.95859690002</v>
          </cell>
          <cell r="S731">
            <v>12.683669973127333</v>
          </cell>
          <cell r="T731">
            <v>0.29997099999999999</v>
          </cell>
          <cell r="U731">
            <v>3.4079575927305102E-3</v>
          </cell>
          <cell r="V731">
            <v>2.5000000000000001E-2</v>
          </cell>
          <cell r="W731">
            <v>0.27676000000000001</v>
          </cell>
          <cell r="X731">
            <v>12.37857</v>
          </cell>
          <cell r="Y731">
            <v>11.11</v>
          </cell>
          <cell r="Z731">
            <v>0</v>
          </cell>
          <cell r="AA731">
            <v>0</v>
          </cell>
          <cell r="AB731">
            <v>0</v>
          </cell>
          <cell r="AC731">
            <v>0.21407515850339942</v>
          </cell>
          <cell r="AD731">
            <v>8.084452083693193E-2</v>
          </cell>
          <cell r="AE731">
            <v>0.31910003000000003</v>
          </cell>
          <cell r="AF731">
            <v>13.104429600138186</v>
          </cell>
          <cell r="AG731">
            <v>8.5351832083225236</v>
          </cell>
          <cell r="AH731">
            <v>202503</v>
          </cell>
          <cell r="AJ731" t="str">
            <v>A1-A3:Prod'n deferred due to reduced nomination of CNUOC from 333 to 200 MMscf for 4 days (20th-24th March).
GPOC:Prod'n deferred due to biorem limitations, downhole complications.
PCB:Prod'n deferred due to the low efficiency of PCPs in flowing wells.
SPOC:Prod'n deferred due to TJ CPF power blackout which affected all TJ wells.
ACG:Prod'n deferred due to shutdown of 3 wells in CA PDQ &amp; 1 well in EA PDQ.</v>
          </cell>
        </row>
        <row r="732">
          <cell r="C732">
            <v>45740</v>
          </cell>
          <cell r="D732">
            <v>332823</v>
          </cell>
          <cell r="E732">
            <v>29717</v>
          </cell>
          <cell r="F732">
            <v>25212</v>
          </cell>
          <cell r="G732">
            <v>4520</v>
          </cell>
          <cell r="H732">
            <v>2174</v>
          </cell>
          <cell r="I732">
            <v>158680</v>
          </cell>
          <cell r="J732">
            <v>170945</v>
          </cell>
          <cell r="K732">
            <v>50661.45</v>
          </cell>
          <cell r="L732">
            <v>7510</v>
          </cell>
          <cell r="M732">
            <v>390720</v>
          </cell>
          <cell r="N732">
            <v>7195</v>
          </cell>
          <cell r="O732">
            <v>4660</v>
          </cell>
          <cell r="P732">
            <v>156.86761200000001</v>
          </cell>
          <cell r="R732">
            <v>148854.75317540002</v>
          </cell>
          <cell r="S732">
            <v>12.900576813621523</v>
          </cell>
          <cell r="T732">
            <v>0.31256299999999998</v>
          </cell>
          <cell r="U732">
            <v>3.4079575927305102E-3</v>
          </cell>
          <cell r="V732">
            <v>2.4E-2</v>
          </cell>
          <cell r="W732">
            <v>0.27629000000000004</v>
          </cell>
          <cell r="X732">
            <v>12.37857</v>
          </cell>
          <cell r="Y732">
            <v>11.12</v>
          </cell>
          <cell r="Z732">
            <v>0</v>
          </cell>
          <cell r="AA732">
            <v>0</v>
          </cell>
          <cell r="AB732">
            <v>0</v>
          </cell>
          <cell r="AC732">
            <v>0.20982763551722086</v>
          </cell>
          <cell r="AD732">
            <v>8.1637391794351921E-2</v>
          </cell>
          <cell r="AE732">
            <v>0.31770003000000002</v>
          </cell>
          <cell r="AF732">
            <v>13.093017921715319</v>
          </cell>
          <cell r="AG732">
            <v>8.5438375089295793</v>
          </cell>
          <cell r="AH732">
            <v>202503</v>
          </cell>
          <cell r="AJ732" t="str">
            <v>Sakhalin-1:New prod'n data received from the operator.
A1-A3:Prod'n deferred due to reduced nomination of CNUOC from 333 to 200 MMscf for 4 days (20th-24th March).
GPOC:Prod'n deferred due to biorem limitations, downhole complications.
PCB:Prod'n deferred due to the low efficiency of PCPs in flowing wells.
SPOC:Prod'n deferred due to TJ CPF power blackout which affected all TJ wells.
ACG:Prod'n deferred due to shutdown of 3 wells in CA PDQ &amp; 1 well in EA PDQ.</v>
          </cell>
        </row>
        <row r="733">
          <cell r="C733">
            <v>45741</v>
          </cell>
          <cell r="D733">
            <v>323329</v>
          </cell>
          <cell r="E733">
            <v>27686</v>
          </cell>
          <cell r="F733">
            <v>8883.4</v>
          </cell>
          <cell r="G733">
            <v>4364</v>
          </cell>
          <cell r="H733">
            <v>2173</v>
          </cell>
          <cell r="I733">
            <v>158680</v>
          </cell>
          <cell r="J733">
            <v>172771</v>
          </cell>
          <cell r="K733">
            <v>49010.39</v>
          </cell>
          <cell r="L733">
            <v>8797</v>
          </cell>
          <cell r="M733">
            <v>401278</v>
          </cell>
          <cell r="N733">
            <v>7226</v>
          </cell>
          <cell r="O733">
            <v>4611</v>
          </cell>
          <cell r="P733">
            <v>139.88515199999998</v>
          </cell>
          <cell r="Q733">
            <v>0</v>
          </cell>
          <cell r="R733">
            <v>137290.63531839999</v>
          </cell>
          <cell r="S733">
            <v>13.850322953331045</v>
          </cell>
          <cell r="T733">
            <v>0.30243300000000001</v>
          </cell>
          <cell r="U733">
            <v>3.4079575927305102E-3</v>
          </cell>
          <cell r="V733">
            <v>2.3E-2</v>
          </cell>
          <cell r="W733">
            <v>0.27423999999999998</v>
          </cell>
          <cell r="X733">
            <v>12.37857</v>
          </cell>
          <cell r="Y733">
            <v>11</v>
          </cell>
          <cell r="Z733">
            <v>0</v>
          </cell>
          <cell r="AA733">
            <v>0</v>
          </cell>
          <cell r="AB733">
            <v>0</v>
          </cell>
          <cell r="AC733">
            <v>0.20642961712827801</v>
          </cell>
          <cell r="AD733">
            <v>8.5601746581451921E-2</v>
          </cell>
          <cell r="AE733">
            <v>0.32210003000000004</v>
          </cell>
          <cell r="AF733">
            <v>13.089619903326374</v>
          </cell>
          <cell r="AG733">
            <v>8.5377467802820206</v>
          </cell>
          <cell r="AH733">
            <v>202503</v>
          </cell>
          <cell r="AJ733" t="str">
            <v xml:space="preserve">A1-A3:Prod'n deferred due to reduced nomination of CNUOC from 353 to 200 MMscf.
GPOC:Prod'n deferred due to biorem limitations, downhole complications.
PCB:Prod'n deferred due to the low efficiency of PCPs in flowing wells.
SPOC:Prod'n deferred due to TJ CPF power blackout which affected all TJ wells.
CPO-5:Production down due to community blockade.
ACG:Prod'n deferred due to A14 well shautdown in chirag &amp; E06 well shutdown in Deepwater Gunashli due to sand issue, sangachal train 3 or 4 offline. </v>
          </cell>
        </row>
        <row r="734">
          <cell r="C734">
            <v>45742</v>
          </cell>
          <cell r="D734">
            <v>332265</v>
          </cell>
          <cell r="E734">
            <v>30440</v>
          </cell>
          <cell r="F734">
            <v>2111.56</v>
          </cell>
          <cell r="G734">
            <v>4316</v>
          </cell>
          <cell r="H734">
            <v>2163</v>
          </cell>
          <cell r="I734">
            <v>158680</v>
          </cell>
          <cell r="J734">
            <v>169145</v>
          </cell>
          <cell r="K734">
            <v>50537.59</v>
          </cell>
          <cell r="L734">
            <v>8629</v>
          </cell>
          <cell r="M734">
            <v>398296</v>
          </cell>
          <cell r="N734">
            <v>7230</v>
          </cell>
          <cell r="O734">
            <v>3890</v>
          </cell>
          <cell r="P734">
            <v>159.949614</v>
          </cell>
          <cell r="Q734">
            <v>0</v>
          </cell>
          <cell r="R734">
            <v>132521.60432629997</v>
          </cell>
          <cell r="S734">
            <v>13.76877051199642</v>
          </cell>
          <cell r="T734">
            <v>0.24956900000000001</v>
          </cell>
          <cell r="U734">
            <v>3.4079575927305102E-3</v>
          </cell>
          <cell r="V734">
            <v>2.1999999999999999E-2</v>
          </cell>
          <cell r="W734">
            <v>0.27300999999999997</v>
          </cell>
          <cell r="X734">
            <v>12.37857</v>
          </cell>
          <cell r="Y734">
            <v>11.11</v>
          </cell>
          <cell r="Z734">
            <v>0</v>
          </cell>
          <cell r="AA734">
            <v>0</v>
          </cell>
          <cell r="AB734">
            <v>0</v>
          </cell>
          <cell r="AC734">
            <v>0.20642961712827801</v>
          </cell>
          <cell r="AD734">
            <v>8.3902737386980494E-2</v>
          </cell>
          <cell r="AE734">
            <v>0.32390003000000001</v>
          </cell>
          <cell r="AF734">
            <v>13.090752576122689</v>
          </cell>
          <cell r="AG734">
            <v>8.5482810420705668</v>
          </cell>
          <cell r="AH734">
            <v>202503</v>
          </cell>
          <cell r="AJ734" t="str">
            <v xml:space="preserve">A1-A3:Prod'n deferred due to reduced nomination of CNUOC from 353 to 200 MMscf.
GPOC:Prod'n deferred due to biorem limitations, downhole complications.
PCB:Prod'n deferred due to the low efficiency of PCPs in flowing wells.
SPOC:Prod'n deferred due to TJ CPF power blackout which affected all TJ wells.
CPO-5:Production down due to community blockade.
ACG:Prod'n deferred due to A14 well shutdown in chirag &amp; E06 well shutdown in Deepwater Gunashli due to sand issue, sangachal train 3 or 4 offline. </v>
          </cell>
        </row>
        <row r="735">
          <cell r="C735">
            <v>45743</v>
          </cell>
          <cell r="D735">
            <v>355923</v>
          </cell>
          <cell r="E735">
            <v>27478</v>
          </cell>
          <cell r="F735">
            <v>1510.54</v>
          </cell>
          <cell r="G735">
            <v>4388</v>
          </cell>
          <cell r="H735">
            <v>2139</v>
          </cell>
          <cell r="I735">
            <v>158680</v>
          </cell>
          <cell r="J735">
            <v>169917</v>
          </cell>
          <cell r="K735">
            <v>50576.81</v>
          </cell>
          <cell r="L735">
            <v>8493</v>
          </cell>
          <cell r="M735">
            <v>396212</v>
          </cell>
          <cell r="N735">
            <v>7308</v>
          </cell>
          <cell r="O735">
            <v>3960</v>
          </cell>
          <cell r="P735">
            <v>160.57859400000001</v>
          </cell>
          <cell r="Q735">
            <v>0</v>
          </cell>
          <cell r="R735">
            <v>132136.36486730003</v>
          </cell>
          <cell r="S735">
            <v>13.790291295126391</v>
          </cell>
          <cell r="T735">
            <v>0.29577199999999998</v>
          </cell>
          <cell r="U735">
            <v>3.4079575927305102E-3</v>
          </cell>
          <cell r="V735">
            <v>2.1000000000000001E-2</v>
          </cell>
          <cell r="W735">
            <v>0.27412999999999998</v>
          </cell>
          <cell r="X735">
            <v>12.37857</v>
          </cell>
          <cell r="Y735">
            <v>11.05</v>
          </cell>
          <cell r="Z735">
            <v>0</v>
          </cell>
          <cell r="AA735">
            <v>0</v>
          </cell>
          <cell r="AB735">
            <v>0</v>
          </cell>
          <cell r="AC735">
            <v>0.20388110333657089</v>
          </cell>
          <cell r="AD735">
            <v>8.1325906775365497E-2</v>
          </cell>
          <cell r="AE735">
            <v>0.32010003000000004</v>
          </cell>
          <cell r="AF735">
            <v>13.09273475351624</v>
          </cell>
          <cell r="AG735">
            <v>8.5437212363722885</v>
          </cell>
          <cell r="AH735">
            <v>202503</v>
          </cell>
          <cell r="AJ735" t="str">
            <v>A1-A3:Prod'n deferred due to reduced nomination of CNUOC.
GPOC:Prod'n deferred due to biorem limitations, downhole complications.
PCB:Prod'n deferred due to the low efficiency of PCPs in flowing wells.
SPOC:Prod'n deferred due to TJ CPF power blackout which affected all TJ wells.
CPO-5:Production down due to community blockade.</v>
          </cell>
        </row>
        <row r="736">
          <cell r="C736">
            <v>45744</v>
          </cell>
          <cell r="D736">
            <v>339059</v>
          </cell>
          <cell r="E736">
            <v>25956</v>
          </cell>
          <cell r="F736">
            <v>1436</v>
          </cell>
          <cell r="G736">
            <v>4390</v>
          </cell>
          <cell r="H736">
            <v>2130</v>
          </cell>
          <cell r="I736">
            <v>156900</v>
          </cell>
          <cell r="J736">
            <v>172031</v>
          </cell>
          <cell r="K736">
            <v>50482</v>
          </cell>
          <cell r="L736">
            <v>7422</v>
          </cell>
          <cell r="M736">
            <v>416769</v>
          </cell>
          <cell r="N736">
            <v>7243</v>
          </cell>
          <cell r="O736">
            <v>5094</v>
          </cell>
          <cell r="P736">
            <v>148.87956600000001</v>
          </cell>
          <cell r="Q736">
            <v>0</v>
          </cell>
          <cell r="R736">
            <v>132346.99905470002</v>
          </cell>
          <cell r="S736">
            <v>13.728843795926339</v>
          </cell>
          <cell r="T736">
            <v>0.32626899999999998</v>
          </cell>
          <cell r="U736">
            <v>3.4079575927305102E-3</v>
          </cell>
          <cell r="V736">
            <v>2.1999999999999999E-2</v>
          </cell>
          <cell r="W736">
            <v>0.27124000000000004</v>
          </cell>
          <cell r="X736">
            <v>12.37857</v>
          </cell>
          <cell r="Y736">
            <v>11.12</v>
          </cell>
          <cell r="AA736">
            <v>0</v>
          </cell>
          <cell r="AB736">
            <v>0</v>
          </cell>
          <cell r="AC736">
            <v>0.20218209414209945</v>
          </cell>
          <cell r="AD736">
            <v>8.3336400988823348E-2</v>
          </cell>
          <cell r="AE736">
            <v>0.31930003000000001</v>
          </cell>
          <cell r="AF736">
            <v>9.3951244099482647</v>
          </cell>
          <cell r="AG736">
            <v>7.9376316352881222</v>
          </cell>
          <cell r="AH736">
            <v>202503</v>
          </cell>
          <cell r="AJ736" t="str">
            <v>A1-A3:Prod'n deferred due to reduced nomination of CNUOC.
GPOC:Prod'n deferred due to biorem limitations, downhole complications.
PCB:Prod'n deferred due to the low efficiency of PCPs in flowing wells.
SPOC:Prod'n deferred due to TJ CPF power blackout which affected all TJ wells.
CPO-5:Production down due to community blockade.</v>
          </cell>
        </row>
        <row r="737">
          <cell r="C737">
            <v>45745</v>
          </cell>
          <cell r="D737">
            <v>310720</v>
          </cell>
          <cell r="E737">
            <v>24170</v>
          </cell>
          <cell r="F737">
            <v>1438</v>
          </cell>
          <cell r="G737">
            <v>4423</v>
          </cell>
          <cell r="H737">
            <v>2117</v>
          </cell>
          <cell r="I737">
            <v>156900</v>
          </cell>
          <cell r="J737">
            <v>171687</v>
          </cell>
          <cell r="K737">
            <v>48541.120000000003</v>
          </cell>
          <cell r="L737">
            <v>7842</v>
          </cell>
          <cell r="M737">
            <v>415084</v>
          </cell>
          <cell r="N737">
            <v>7266</v>
          </cell>
          <cell r="O737">
            <v>4768</v>
          </cell>
          <cell r="P737">
            <v>134.60171999999997</v>
          </cell>
          <cell r="Q737">
            <v>0</v>
          </cell>
          <cell r="R737">
            <v>130365.733274</v>
          </cell>
          <cell r="S737">
            <v>13.684952725069163</v>
          </cell>
          <cell r="T737">
            <v>0.39920600000000001</v>
          </cell>
          <cell r="U737">
            <v>3.4079575927305102E-3</v>
          </cell>
          <cell r="V737">
            <v>2.1000000000000001E-2</v>
          </cell>
          <cell r="W737">
            <v>0.27147000000000004</v>
          </cell>
          <cell r="X737">
            <v>12.37857</v>
          </cell>
          <cell r="Y737">
            <v>11.18</v>
          </cell>
          <cell r="AA737">
            <v>0</v>
          </cell>
          <cell r="AB737">
            <v>0</v>
          </cell>
          <cell r="AC737">
            <v>0.2007662531467066</v>
          </cell>
          <cell r="AD737">
            <v>8.3562935548086206E-2</v>
          </cell>
          <cell r="AE737">
            <v>0.30900003000000004</v>
          </cell>
          <cell r="AF737">
            <v>5.4469385270156616</v>
          </cell>
          <cell r="AG737">
            <v>7.2954790826812195</v>
          </cell>
          <cell r="AH737">
            <v>202503</v>
          </cell>
          <cell r="AJ737" t="str">
            <v>A1-A3:Prod'n deferred due to reduced nomination of CNUOC.
GPOC:Prod'n deferred due to biorem limitations, downhole complications.
PCB:Prod'n deferred due to the low efficiency of PCPs in flowing wells.
SPOC:Prod'n deferred due to TJ CPF power blackout which affected all TJ wells.
BC-10: Reasons awaited from operator.
CPO-5:Production down due to community blockade.</v>
          </cell>
        </row>
        <row r="738">
          <cell r="C738">
            <v>45746</v>
          </cell>
          <cell r="D738">
            <v>323281</v>
          </cell>
          <cell r="E738">
            <v>26541</v>
          </cell>
          <cell r="F738">
            <v>1972</v>
          </cell>
          <cell r="G738">
            <v>4454</v>
          </cell>
          <cell r="H738">
            <v>2116</v>
          </cell>
          <cell r="I738">
            <v>156900</v>
          </cell>
          <cell r="J738">
            <v>171764</v>
          </cell>
          <cell r="K738">
            <v>49711.53</v>
          </cell>
          <cell r="L738">
            <v>7215</v>
          </cell>
          <cell r="M738">
            <v>414078</v>
          </cell>
          <cell r="N738">
            <v>7217</v>
          </cell>
          <cell r="O738">
            <v>3189</v>
          </cell>
          <cell r="P738">
            <v>158.25136799999999</v>
          </cell>
          <cell r="Q738">
            <v>0</v>
          </cell>
          <cell r="R738">
            <v>131256.3836156</v>
          </cell>
          <cell r="S738">
            <v>13.4558696520146</v>
          </cell>
          <cell r="T738">
            <v>0.41522199999999998</v>
          </cell>
          <cell r="U738">
            <v>3.4079575927305102E-3</v>
          </cell>
          <cell r="V738">
            <v>2.1000000000000001E-2</v>
          </cell>
          <cell r="W738">
            <v>0.27112999999999998</v>
          </cell>
          <cell r="X738">
            <v>12.37857</v>
          </cell>
          <cell r="Y738">
            <v>11.07</v>
          </cell>
          <cell r="Z738">
            <v>0</v>
          </cell>
          <cell r="AA738">
            <v>0</v>
          </cell>
          <cell r="AB738">
            <v>0</v>
          </cell>
          <cell r="AC738">
            <v>0.1987840757531566</v>
          </cell>
          <cell r="AD738">
            <v>8.3562935548086206E-2</v>
          </cell>
          <cell r="AE738">
            <v>0.29900003000000003</v>
          </cell>
          <cell r="AF738">
            <v>1.4870294806412061</v>
          </cell>
          <cell r="AG738">
            <v>6.586260145397425</v>
          </cell>
          <cell r="AH738">
            <v>202503</v>
          </cell>
          <cell r="AJ738" t="str">
            <v>A1-A3:Prod'n deferred due to reduced nomination of CNUOC.
GPOC:Prod'n deferred due to biorem limitations, downhole complications.
PCB:Prod'n deferred due to the low efficiency of PCPs in flowing wells.
SPOC:Prod'n deferred due to TJ CPF power blackout which affected all TJ wells.
BC-10: Reasons awaited from operator.
CPO-5:Production down due to community blockade.</v>
          </cell>
        </row>
        <row r="739">
          <cell r="C739">
            <v>45747</v>
          </cell>
          <cell r="D739">
            <v>326256</v>
          </cell>
          <cell r="E739">
            <v>24019</v>
          </cell>
          <cell r="F739">
            <v>10396</v>
          </cell>
          <cell r="G739">
            <v>4537</v>
          </cell>
          <cell r="H739">
            <v>2117</v>
          </cell>
          <cell r="I739">
            <v>156900</v>
          </cell>
          <cell r="J739">
            <v>171428</v>
          </cell>
          <cell r="K739">
            <v>49846.25</v>
          </cell>
          <cell r="L739">
            <v>8111</v>
          </cell>
          <cell r="M739">
            <v>406252</v>
          </cell>
          <cell r="N739">
            <v>7069</v>
          </cell>
          <cell r="O739">
            <v>4104</v>
          </cell>
          <cell r="P739">
            <v>130.32465599999998</v>
          </cell>
          <cell r="Q739">
            <v>0</v>
          </cell>
          <cell r="R739">
            <v>136788.35534519999</v>
          </cell>
          <cell r="S739">
            <v>13.540820111738169</v>
          </cell>
          <cell r="T739">
            <v>0.42936099999999999</v>
          </cell>
          <cell r="U739">
            <v>3.4079575927305102E-3</v>
          </cell>
          <cell r="V739">
            <v>2.1999999999999999E-2</v>
          </cell>
          <cell r="W739">
            <v>0.26974999999999999</v>
          </cell>
          <cell r="X739">
            <v>12.37857</v>
          </cell>
          <cell r="Y739">
            <v>10.85</v>
          </cell>
          <cell r="Z739">
            <v>0</v>
          </cell>
          <cell r="AA739">
            <v>0</v>
          </cell>
          <cell r="AB739">
            <v>0</v>
          </cell>
          <cell r="AC739">
            <v>0.2007662531467066</v>
          </cell>
          <cell r="AD739">
            <v>7.9655214400801935E-2</v>
          </cell>
          <cell r="AE739">
            <v>0.28440003000000003</v>
          </cell>
          <cell r="AF739">
            <v>12.929771454946522</v>
          </cell>
          <cell r="AG739">
            <v>8.4718335630306214</v>
          </cell>
          <cell r="AH739">
            <v>202503</v>
          </cell>
          <cell r="AJ739" t="str">
            <v>A1-A3:Prod'n deferred due to reduced nomination of CNUOC.
GPOC:Prod'n deferred due to biorem limitations, downhole complications.
PCB:Prod'n deferred due to the low efficiency of PCPs in flowing wells.
CPO-5:Production down due to community blockade.
ACG:Prod'n deferred due to sand issue.</v>
          </cell>
        </row>
        <row r="740">
          <cell r="C740">
            <v>45748</v>
          </cell>
          <cell r="D740">
            <v>328152</v>
          </cell>
          <cell r="E740">
            <v>29509</v>
          </cell>
          <cell r="F740">
            <v>26226</v>
          </cell>
          <cell r="G740">
            <v>4591</v>
          </cell>
          <cell r="H740">
            <v>2120</v>
          </cell>
          <cell r="I740">
            <v>156900</v>
          </cell>
          <cell r="J740">
            <v>170250</v>
          </cell>
          <cell r="K740">
            <v>49457.2</v>
          </cell>
          <cell r="L740">
            <v>9435</v>
          </cell>
          <cell r="M740">
            <v>412868</v>
          </cell>
          <cell r="N740">
            <v>7352</v>
          </cell>
          <cell r="O740">
            <v>4376</v>
          </cell>
          <cell r="P740">
            <v>141.20600999999999</v>
          </cell>
          <cell r="Q740">
            <v>0</v>
          </cell>
          <cell r="R740">
            <v>149762.45245449999</v>
          </cell>
          <cell r="S740">
            <v>13.788025949533761</v>
          </cell>
          <cell r="T740">
            <v>0.46978500000000001</v>
          </cell>
          <cell r="U740">
            <v>3.4079575927305102E-3</v>
          </cell>
          <cell r="V740">
            <v>2.3E-2</v>
          </cell>
          <cell r="W740">
            <v>0.26856999999999998</v>
          </cell>
          <cell r="X740">
            <v>12.37857</v>
          </cell>
          <cell r="Y740">
            <v>3.33</v>
          </cell>
          <cell r="Z740">
            <v>0</v>
          </cell>
          <cell r="AA740">
            <v>0</v>
          </cell>
          <cell r="AB740">
            <v>0</v>
          </cell>
          <cell r="AC740">
            <v>0.22058802708220654</v>
          </cell>
          <cell r="AD740">
            <v>8.4412440145321913E-2</v>
          </cell>
          <cell r="AE740">
            <v>0.32580003000000002</v>
          </cell>
          <cell r="AF740">
            <v>12.508247273798164</v>
          </cell>
          <cell r="AG740">
            <v>6.4851529884216337</v>
          </cell>
          <cell r="AH740">
            <v>202504</v>
          </cell>
          <cell r="AJ740" t="str">
            <v>A1-A3:Prod'n deferred due to reduced nomination of CNUOC.
GPOC:Prod'n deferred due to biorem limitations, downhole complications.
PCB:Prod'n deferred due to the low efficiency of PCPs in flowing wells.
ACG:Prod'n deferred due to sand issue.</v>
          </cell>
        </row>
        <row r="741">
          <cell r="C741">
            <v>45749</v>
          </cell>
          <cell r="D741">
            <v>320656</v>
          </cell>
          <cell r="E741">
            <v>28950</v>
          </cell>
          <cell r="F741">
            <v>25854</v>
          </cell>
          <cell r="G741">
            <v>4669</v>
          </cell>
          <cell r="H741">
            <v>2117</v>
          </cell>
          <cell r="I741">
            <v>156900</v>
          </cell>
          <cell r="J741">
            <v>171046</v>
          </cell>
          <cell r="K741">
            <v>48851.67</v>
          </cell>
          <cell r="L741">
            <v>8831</v>
          </cell>
          <cell r="M741">
            <v>421976</v>
          </cell>
          <cell r="N741">
            <v>7248</v>
          </cell>
          <cell r="O741">
            <v>4965</v>
          </cell>
          <cell r="P741">
            <v>118.940118</v>
          </cell>
          <cell r="Q741">
            <v>0</v>
          </cell>
          <cell r="R741">
            <v>149656.18730310001</v>
          </cell>
          <cell r="S741">
            <v>13.754612102042495</v>
          </cell>
          <cell r="T741">
            <v>0.451291</v>
          </cell>
          <cell r="U741">
            <v>3.4079575927305102E-3</v>
          </cell>
          <cell r="V741">
            <v>2.8000000000000001E-2</v>
          </cell>
          <cell r="W741">
            <v>0.26885000000000003</v>
          </cell>
          <cell r="X741">
            <v>12.37857</v>
          </cell>
          <cell r="Y741">
            <v>2.4900000000000002</v>
          </cell>
          <cell r="Z741">
            <v>0</v>
          </cell>
          <cell r="AA741">
            <v>0</v>
          </cell>
          <cell r="AB741">
            <v>0</v>
          </cell>
          <cell r="AC741">
            <v>0.19510288916513518</v>
          </cell>
          <cell r="AD741">
            <v>8.2600163671219057E-2</v>
          </cell>
          <cell r="AE741">
            <v>0.41340006000000001</v>
          </cell>
          <cell r="AF741">
            <v>11.275474519109606</v>
          </cell>
          <cell r="AG741">
            <v>6.0898826228249403</v>
          </cell>
          <cell r="AH741">
            <v>202504</v>
          </cell>
          <cell r="AJ741" t="str">
            <v>Sakhalin-1:New prod'n data received from the operator.
A1-A3:Prod'n deferred due to reduced nomination of CNUOC.
GPOC:Prod'n deferred due to biorem limitations, downhole complications.
PCB:Prod'n deferred due to the low efficiency of PCPs in flowing wells.
ACG:Prod'n deferred due to sand issue.</v>
          </cell>
        </row>
        <row r="742">
          <cell r="C742">
            <v>45750</v>
          </cell>
          <cell r="D742">
            <v>320992</v>
          </cell>
          <cell r="E742">
            <v>27780</v>
          </cell>
          <cell r="F742">
            <v>25730</v>
          </cell>
          <cell r="G742">
            <v>4813</v>
          </cell>
          <cell r="H742">
            <v>2132</v>
          </cell>
          <cell r="I742">
            <v>156900</v>
          </cell>
          <cell r="J742">
            <v>169299</v>
          </cell>
          <cell r="K742">
            <v>48555.29</v>
          </cell>
          <cell r="L742">
            <v>10107</v>
          </cell>
          <cell r="M742">
            <v>410103</v>
          </cell>
          <cell r="N742">
            <v>7251</v>
          </cell>
          <cell r="O742">
            <v>4027.9999999999995</v>
          </cell>
          <cell r="P742">
            <v>156.30152999999999</v>
          </cell>
          <cell r="Q742">
            <v>0</v>
          </cell>
          <cell r="R742">
            <v>148297.2579385</v>
          </cell>
          <cell r="S742">
            <v>14.315001968018979</v>
          </cell>
          <cell r="T742">
            <v>0.44600800000000002</v>
          </cell>
          <cell r="U742">
            <v>3.4079575927305102E-3</v>
          </cell>
          <cell r="V742">
            <v>0.03</v>
          </cell>
          <cell r="W742">
            <v>0.27023000000000003</v>
          </cell>
          <cell r="X742">
            <v>12.37857</v>
          </cell>
          <cell r="Y742">
            <v>3.77</v>
          </cell>
          <cell r="Z742">
            <v>0</v>
          </cell>
          <cell r="AA742">
            <v>0</v>
          </cell>
          <cell r="AB742">
            <v>0</v>
          </cell>
          <cell r="AC742">
            <v>0.19227120717434948</v>
          </cell>
          <cell r="AD742">
            <v>8.1665708614259772E-2</v>
          </cell>
          <cell r="AE742">
            <v>0.38700003000000005</v>
          </cell>
          <cell r="AF742">
            <v>13.92536252608687</v>
          </cell>
          <cell r="AG742">
            <v>6.8779432970491179</v>
          </cell>
          <cell r="AH742">
            <v>202504</v>
          </cell>
          <cell r="AJ742" t="str">
            <v>A1-A3:Prod'n deferred due to reduced nomination of CNUOC.
GPOC:Prod'n deferred due to biorem limitations, downhole complications.
PCB:Prod'n deferred due to the low efficiency of PCPs in flowing wells.
ACG:Prod'n deferred due to sand issue.</v>
          </cell>
        </row>
        <row r="743">
          <cell r="C743">
            <v>45751</v>
          </cell>
          <cell r="D743">
            <v>324411</v>
          </cell>
          <cell r="E743">
            <v>28516</v>
          </cell>
          <cell r="F743">
            <v>25568.82</v>
          </cell>
          <cell r="G743">
            <v>4834</v>
          </cell>
          <cell r="H743">
            <v>2146</v>
          </cell>
          <cell r="I743">
            <v>148888</v>
          </cell>
          <cell r="J743">
            <v>164620</v>
          </cell>
          <cell r="K743">
            <v>39694.1</v>
          </cell>
          <cell r="L743">
            <v>10470</v>
          </cell>
          <cell r="M743">
            <v>409730</v>
          </cell>
          <cell r="N743">
            <v>7263</v>
          </cell>
          <cell r="O743">
            <v>5075</v>
          </cell>
          <cell r="P743">
            <v>149.06825999999998</v>
          </cell>
          <cell r="Q743">
            <v>0</v>
          </cell>
          <cell r="R743">
            <v>143962.93896699999</v>
          </cell>
          <cell r="S743">
            <v>15.135906577147759</v>
          </cell>
          <cell r="T743">
            <v>0.441027</v>
          </cell>
          <cell r="U743">
            <v>3.4079575927305102E-3</v>
          </cell>
          <cell r="V743">
            <v>2.8000000000000001E-2</v>
          </cell>
          <cell r="W743">
            <v>0.27522000000000002</v>
          </cell>
          <cell r="X743">
            <v>12.37857</v>
          </cell>
          <cell r="Y743">
            <v>10.66</v>
          </cell>
          <cell r="Z743">
            <v>0</v>
          </cell>
          <cell r="AA743">
            <v>0</v>
          </cell>
          <cell r="AB743">
            <v>0</v>
          </cell>
          <cell r="AC743">
            <v>0.19510288916513518</v>
          </cell>
          <cell r="AD743">
            <v>8.2260361832324769E-2</v>
          </cell>
          <cell r="AE743">
            <v>0.37010003000000002</v>
          </cell>
          <cell r="AF743">
            <v>14.292603363471867</v>
          </cell>
          <cell r="AG743">
            <v>8.7513751755277962</v>
          </cell>
          <cell r="AH743">
            <v>202504</v>
          </cell>
          <cell r="AJ743" t="str">
            <v>A1-A3:Prod'n deferred due to reduced nomination of CNUOC.
GPOC:Prod'n deferred due to biorem limitations, downhole complications.
PCB:Prod'n deferred due to the low efficiency of PCPs in flowing wells.
ACG:Prod'n deferred due to sand issue.</v>
          </cell>
        </row>
        <row r="744">
          <cell r="C744">
            <v>45752</v>
          </cell>
          <cell r="D744">
            <v>332512</v>
          </cell>
          <cell r="E744">
            <v>28440</v>
          </cell>
          <cell r="F744">
            <v>18337.04</v>
          </cell>
          <cell r="G744">
            <v>4875</v>
          </cell>
          <cell r="H744">
            <v>2156</v>
          </cell>
          <cell r="I744">
            <v>148888</v>
          </cell>
          <cell r="J744">
            <v>169598</v>
          </cell>
          <cell r="K744">
            <v>50245.73</v>
          </cell>
          <cell r="L744">
            <v>9923</v>
          </cell>
          <cell r="M744">
            <v>399160</v>
          </cell>
          <cell r="N744">
            <v>7270</v>
          </cell>
          <cell r="O744">
            <v>4202</v>
          </cell>
          <cell r="P744">
            <v>110.82627599999999</v>
          </cell>
          <cell r="Q744">
            <v>0</v>
          </cell>
          <cell r="R744">
            <v>142159.41207420002</v>
          </cell>
          <cell r="S744">
            <v>12.529060136430438</v>
          </cell>
          <cell r="T744">
            <v>0.435697</v>
          </cell>
          <cell r="U744">
            <v>3.4079575927305102E-3</v>
          </cell>
          <cell r="V744">
            <v>2.8000000000000001E-2</v>
          </cell>
          <cell r="W744">
            <v>0.29041</v>
          </cell>
          <cell r="X744">
            <v>12.37857</v>
          </cell>
          <cell r="Y744">
            <v>10.67</v>
          </cell>
          <cell r="Z744">
            <v>0</v>
          </cell>
          <cell r="AA744">
            <v>0</v>
          </cell>
          <cell r="AB744">
            <v>0</v>
          </cell>
          <cell r="AC744">
            <v>0.19085536617895663</v>
          </cell>
          <cell r="AD744">
            <v>8.4497390605045491E-2</v>
          </cell>
          <cell r="AE744">
            <v>0.35180003000000004</v>
          </cell>
          <cell r="AF744">
            <v>14.290791086997766</v>
          </cell>
          <cell r="AG744">
            <v>8.6833603141168254</v>
          </cell>
          <cell r="AH744">
            <v>202504</v>
          </cell>
          <cell r="AJ744" t="str">
            <v>A1-A3:Prod'n deferred due to reduced nomination of CNUOC.
GPOC:Prod'n deferred due to biorem limitations, downhole complications.
PCB:Prod'n deferred due to the low efficiency of PCPs in flowing wells.
ACG:Prod'n deferred due to sand issue.
CPO-5:Production down due to community blockade.</v>
          </cell>
        </row>
        <row r="745">
          <cell r="C745">
            <v>45753</v>
          </cell>
          <cell r="D745">
            <v>335512</v>
          </cell>
          <cell r="E745">
            <v>28528</v>
          </cell>
          <cell r="F745">
            <v>25359</v>
          </cell>
          <cell r="G745">
            <v>4822</v>
          </cell>
          <cell r="H745">
            <v>2157</v>
          </cell>
          <cell r="I745">
            <v>148888</v>
          </cell>
          <cell r="J745">
            <v>168934</v>
          </cell>
          <cell r="K745">
            <v>49366.16</v>
          </cell>
          <cell r="L745">
            <v>9633</v>
          </cell>
          <cell r="M745">
            <v>404752</v>
          </cell>
          <cell r="N745">
            <v>7224</v>
          </cell>
          <cell r="O745">
            <v>3086</v>
          </cell>
          <cell r="P745">
            <v>130.38755399999999</v>
          </cell>
          <cell r="Q745">
            <v>0</v>
          </cell>
          <cell r="R745">
            <v>146479.32164930002</v>
          </cell>
          <cell r="S745">
            <v>12.446658190498573</v>
          </cell>
          <cell r="T745">
            <v>0.43611</v>
          </cell>
          <cell r="U745">
            <v>3.4079575927305102E-3</v>
          </cell>
          <cell r="V745">
            <v>2.7E-2</v>
          </cell>
          <cell r="W745">
            <v>0.28874</v>
          </cell>
          <cell r="X745">
            <v>12.37857</v>
          </cell>
          <cell r="Y745">
            <v>10.61</v>
          </cell>
          <cell r="Z745">
            <v>0</v>
          </cell>
          <cell r="AA745">
            <v>0</v>
          </cell>
          <cell r="AB745">
            <v>0</v>
          </cell>
          <cell r="AC745">
            <v>0.19227120717434948</v>
          </cell>
          <cell r="AD745">
            <v>8.084452083693193E-2</v>
          </cell>
          <cell r="AE745">
            <v>0.34260003000000006</v>
          </cell>
          <cell r="AF745">
            <v>14.04191455682761</v>
          </cell>
          <cell r="AG745">
            <v>8.6155371516716386</v>
          </cell>
          <cell r="AH745">
            <v>202504</v>
          </cell>
          <cell r="AJ745" t="str">
            <v>A1-A3:Prod'n deferred due to reduced nomination of CNUOC.
GPOC:Prod'n deferred due to biorem limitations, downhole complications.
PCB:Prod'n deferred due to the low efficiency of PCPs in flowing wells.</v>
          </cell>
        </row>
        <row r="746">
          <cell r="C746">
            <v>45754</v>
          </cell>
          <cell r="D746">
            <v>323480</v>
          </cell>
          <cell r="E746">
            <v>28151</v>
          </cell>
          <cell r="F746">
            <v>25303</v>
          </cell>
          <cell r="G746">
            <v>4773</v>
          </cell>
          <cell r="H746">
            <v>2092</v>
          </cell>
          <cell r="I746">
            <v>148888</v>
          </cell>
          <cell r="J746">
            <v>168975</v>
          </cell>
          <cell r="K746">
            <v>40443.360000000001</v>
          </cell>
          <cell r="L746">
            <v>9250</v>
          </cell>
          <cell r="M746">
            <v>397158</v>
          </cell>
          <cell r="N746">
            <v>7209</v>
          </cell>
          <cell r="O746">
            <v>5191</v>
          </cell>
          <cell r="P746">
            <v>145.98625799999999</v>
          </cell>
          <cell r="R746">
            <v>144128.06631609998</v>
          </cell>
          <cell r="S746">
            <v>11.707872359102584</v>
          </cell>
          <cell r="T746">
            <v>0.425537</v>
          </cell>
          <cell r="U746">
            <v>3.4079575927305102E-3</v>
          </cell>
          <cell r="V746">
            <v>2.7E-2</v>
          </cell>
          <cell r="W746">
            <v>0.27994000000000002</v>
          </cell>
          <cell r="X746">
            <v>12.37857</v>
          </cell>
          <cell r="Y746">
            <v>10.69</v>
          </cell>
          <cell r="Z746">
            <v>0</v>
          </cell>
          <cell r="AA746">
            <v>0</v>
          </cell>
          <cell r="AB746">
            <v>0</v>
          </cell>
          <cell r="AC746">
            <v>0.19028902978079948</v>
          </cell>
          <cell r="AD746">
            <v>8.0617986277669099E-2</v>
          </cell>
          <cell r="AE746">
            <v>0.33800003000000001</v>
          </cell>
          <cell r="AF746">
            <v>13.708115883753791</v>
          </cell>
          <cell r="AG746">
            <v>8.543948528343762</v>
          </cell>
          <cell r="AH746">
            <v>202504</v>
          </cell>
          <cell r="AJ746" t="str">
            <v>A1-A3:Prod'n deferred due to reduced nomination of CNUOC.
GPOC:Prod'n deferred due to biorem limitations &amp; downhole complications.
PCB:Prod'n deferred due to the low efficiency of PCPs in flowing wells.</v>
          </cell>
        </row>
        <row r="747">
          <cell r="C747">
            <v>45755</v>
          </cell>
          <cell r="D747">
            <v>327994</v>
          </cell>
          <cell r="E747">
            <v>28962</v>
          </cell>
          <cell r="F747">
            <v>25253</v>
          </cell>
          <cell r="G747">
            <v>4805</v>
          </cell>
          <cell r="H747">
            <v>2108</v>
          </cell>
          <cell r="I747">
            <v>148888</v>
          </cell>
          <cell r="J747">
            <v>170346</v>
          </cell>
          <cell r="K747">
            <v>51436.15</v>
          </cell>
          <cell r="L747">
            <v>8057</v>
          </cell>
          <cell r="M747">
            <v>405496</v>
          </cell>
          <cell r="N747">
            <v>7217</v>
          </cell>
          <cell r="O747">
            <v>3531</v>
          </cell>
          <cell r="P747">
            <v>105.98313</v>
          </cell>
          <cell r="Q747">
            <v>0</v>
          </cell>
          <cell r="R747">
            <v>146945.31565850001</v>
          </cell>
          <cell r="S747">
            <v>10.371601627650808</v>
          </cell>
          <cell r="T747">
            <v>0.42355199999999998</v>
          </cell>
          <cell r="U747">
            <v>3.4079575927305102E-3</v>
          </cell>
          <cell r="V747">
            <v>0.03</v>
          </cell>
          <cell r="W747">
            <v>0.27477999999999997</v>
          </cell>
          <cell r="X747">
            <v>12.37857</v>
          </cell>
          <cell r="Y747">
            <v>10.64</v>
          </cell>
          <cell r="Z747">
            <v>0</v>
          </cell>
          <cell r="AA747">
            <v>0</v>
          </cell>
          <cell r="AB747">
            <v>0</v>
          </cell>
          <cell r="AC747">
            <v>0.19142170257711377</v>
          </cell>
          <cell r="AD747">
            <v>7.3142345821994803E-2</v>
          </cell>
          <cell r="AE747">
            <v>0.33590003000000002</v>
          </cell>
          <cell r="AF747">
            <v>13.572591583674786</v>
          </cell>
          <cell r="AG747">
            <v>8.4608168662606928</v>
          </cell>
          <cell r="AH747">
            <v>202504</v>
          </cell>
          <cell r="AJ747" t="str">
            <v>A1-A3:Prod'n deferred due to reduced nomination of CNUOC.
GPOC:Prod'n deferred due to biorem limitations &amp; downhole complications.
PCB:Prod'n deferred due to the low efficiency of PCPs in flowing wells.</v>
          </cell>
        </row>
        <row r="748">
          <cell r="C748">
            <v>45756</v>
          </cell>
          <cell r="D748">
            <v>333185</v>
          </cell>
          <cell r="E748">
            <v>29258</v>
          </cell>
          <cell r="F748">
            <v>25205</v>
          </cell>
          <cell r="G748">
            <v>4815</v>
          </cell>
          <cell r="H748">
            <v>2144</v>
          </cell>
          <cell r="I748">
            <v>148888</v>
          </cell>
          <cell r="J748">
            <v>171928</v>
          </cell>
          <cell r="K748">
            <v>50672.41</v>
          </cell>
          <cell r="L748">
            <v>7405</v>
          </cell>
          <cell r="M748">
            <v>383008</v>
          </cell>
          <cell r="N748">
            <v>7224</v>
          </cell>
          <cell r="O748">
            <v>4210</v>
          </cell>
          <cell r="P748">
            <v>111.26656200000001</v>
          </cell>
          <cell r="Q748">
            <v>0</v>
          </cell>
          <cell r="R748">
            <v>146622.7899529</v>
          </cell>
          <cell r="S748">
            <v>9.3918396588389559</v>
          </cell>
          <cell r="T748">
            <v>0.43039899999999998</v>
          </cell>
          <cell r="U748">
            <v>3.4079575927305102E-3</v>
          </cell>
          <cell r="V748">
            <v>2.9000000000000001E-2</v>
          </cell>
          <cell r="W748">
            <v>0.29719000000000001</v>
          </cell>
          <cell r="X748">
            <v>12.37857</v>
          </cell>
          <cell r="Y748">
            <v>10.74</v>
          </cell>
          <cell r="Z748">
            <v>0</v>
          </cell>
          <cell r="AA748">
            <v>0</v>
          </cell>
          <cell r="AB748">
            <v>0</v>
          </cell>
          <cell r="AC748">
            <v>0.19113853437803519</v>
          </cell>
          <cell r="AD748">
            <v>7.5379374594715512E-2</v>
          </cell>
          <cell r="AE748">
            <v>0.33050003000000006</v>
          </cell>
          <cell r="AF748">
            <v>13.573412771452114</v>
          </cell>
          <cell r="AG748">
            <v>8.4804907836022796</v>
          </cell>
          <cell r="AH748">
            <v>202504</v>
          </cell>
          <cell r="AJ748" t="str">
            <v>Sakhalin-1:New prod'n data received from the operator.
A1-A3:Prod'n deferred due to reduced nomination of CNUOC.
GPOC:Prod'n deferred due to biorem limitations &amp; downhole complications.
PCB:Prod'n deferred due to the low efficiency of PCPs in flowing wells.
SPOC:Prod'n deferred due to water draining.
LZC:Lower Prod'n due to Barge Movement &amp; Hydrogen Induced Cracking issue.</v>
          </cell>
        </row>
        <row r="749">
          <cell r="C749">
            <v>45757</v>
          </cell>
          <cell r="D749">
            <v>319489</v>
          </cell>
          <cell r="E749">
            <v>29132</v>
          </cell>
          <cell r="F749">
            <v>25192</v>
          </cell>
          <cell r="G749">
            <v>4854</v>
          </cell>
          <cell r="H749">
            <v>2129</v>
          </cell>
          <cell r="I749">
            <v>148888</v>
          </cell>
          <cell r="J749">
            <v>165728</v>
          </cell>
          <cell r="K749">
            <v>49819.57</v>
          </cell>
          <cell r="L749">
            <v>10326</v>
          </cell>
          <cell r="M749">
            <v>300884</v>
          </cell>
          <cell r="N749">
            <v>7290</v>
          </cell>
          <cell r="O749">
            <v>4074</v>
          </cell>
          <cell r="P749">
            <v>141.64629599999998</v>
          </cell>
          <cell r="Q749">
            <v>0</v>
          </cell>
          <cell r="R749">
            <v>141744.61408319999</v>
          </cell>
          <cell r="S749">
            <v>9.3932554998343445</v>
          </cell>
          <cell r="T749">
            <v>0.42766100000000001</v>
          </cell>
          <cell r="U749">
            <v>3.4079575927305102E-3</v>
          </cell>
          <cell r="V749">
            <v>2.8000000000000001E-2</v>
          </cell>
          <cell r="W749">
            <v>0.28699000000000002</v>
          </cell>
          <cell r="X749">
            <v>12.37857</v>
          </cell>
          <cell r="Y749">
            <v>10.79</v>
          </cell>
          <cell r="Z749">
            <v>0</v>
          </cell>
          <cell r="AA749">
            <v>0</v>
          </cell>
          <cell r="AB749">
            <v>0</v>
          </cell>
          <cell r="AC749">
            <v>0.18972269338264236</v>
          </cell>
          <cell r="AD749">
            <v>7.8607492064211207E-2</v>
          </cell>
          <cell r="AE749">
            <v>0.32780003000000002</v>
          </cell>
          <cell r="AF749">
            <v>13.572166831376169</v>
          </cell>
          <cell r="AG749">
            <v>8.4818016316167899</v>
          </cell>
          <cell r="AH749">
            <v>202504</v>
          </cell>
          <cell r="AJ749" t="str">
            <v>A1-A3:Prod'n deferred due to reduced nomination of CNUOC.
GPOC:Prod'n deferred due to biorem limitations &amp; downhole complications.
PCB:Prod'n deferred due to the low efficiency of PCPs in flowing wells.
SPOC:Prod'n deferred due to water draining.
LZC:Prod'n deferred due to Gas handling limitations during LZ GGII planned shut down.</v>
          </cell>
        </row>
        <row r="750">
          <cell r="C750">
            <v>45758</v>
          </cell>
          <cell r="D750">
            <v>320946</v>
          </cell>
          <cell r="E750">
            <v>29547</v>
          </cell>
          <cell r="F750">
            <v>25157.77</v>
          </cell>
          <cell r="G750">
            <v>4823</v>
          </cell>
          <cell r="H750">
            <v>2110</v>
          </cell>
          <cell r="I750">
            <v>151969</v>
          </cell>
          <cell r="J750">
            <v>170966</v>
          </cell>
          <cell r="K750">
            <v>51180.35</v>
          </cell>
          <cell r="L750">
            <v>14724</v>
          </cell>
          <cell r="M750">
            <v>321106</v>
          </cell>
          <cell r="N750">
            <v>7298</v>
          </cell>
          <cell r="O750">
            <v>4823</v>
          </cell>
          <cell r="P750">
            <v>137.11763999999999</v>
          </cell>
          <cell r="Q750">
            <v>0</v>
          </cell>
          <cell r="R750">
            <v>146327.43493800002</v>
          </cell>
          <cell r="S750">
            <v>10.409546166327337</v>
          </cell>
          <cell r="T750">
            <v>0.42605100000000001</v>
          </cell>
          <cell r="U750">
            <v>3.4079575927305102E-3</v>
          </cell>
          <cell r="V750">
            <v>2.7E-2</v>
          </cell>
          <cell r="W750">
            <v>0.28025</v>
          </cell>
          <cell r="X750">
            <v>12.37857</v>
          </cell>
          <cell r="Y750">
            <v>10.71</v>
          </cell>
          <cell r="Z750">
            <v>0</v>
          </cell>
          <cell r="AA750">
            <v>0</v>
          </cell>
          <cell r="AB750">
            <v>0</v>
          </cell>
          <cell r="AC750">
            <v>0.19057219797987807</v>
          </cell>
          <cell r="AD750">
            <v>7.886234344338193E-2</v>
          </cell>
          <cell r="AE750">
            <v>0.32710003000000004</v>
          </cell>
          <cell r="AF750">
            <v>13.567013170152938</v>
          </cell>
          <cell r="AG750">
            <v>8.4820576972611263</v>
          </cell>
          <cell r="AH750">
            <v>202504</v>
          </cell>
          <cell r="AJ750" t="str">
            <v>A1-A3:Prod'n deferred due to reduced nomination of CNUOC.
GPOC:Prod'n deferred due to biorem limitations &amp; downhole complications.
PCB:Prod'n deferred due to the low efficiency of PCPs in flowing wells.
LZC:Prod'n deferred due to Gas handling limitations during LZ GGII planned shut down.</v>
          </cell>
        </row>
        <row r="751">
          <cell r="C751">
            <v>45759</v>
          </cell>
          <cell r="D751">
            <v>313616</v>
          </cell>
          <cell r="E751">
            <v>29264</v>
          </cell>
          <cell r="F751">
            <v>25102.240000000002</v>
          </cell>
          <cell r="G751">
            <v>4864</v>
          </cell>
          <cell r="H751">
            <v>2107</v>
          </cell>
          <cell r="I751">
            <v>151969</v>
          </cell>
          <cell r="J751">
            <v>171052</v>
          </cell>
          <cell r="K751">
            <v>48915.93</v>
          </cell>
          <cell r="L751">
            <v>13427</v>
          </cell>
          <cell r="M751">
            <v>323611</v>
          </cell>
          <cell r="N751">
            <v>7294</v>
          </cell>
          <cell r="O751">
            <v>3834</v>
          </cell>
          <cell r="P751">
            <v>101.64316799999999</v>
          </cell>
          <cell r="Q751">
            <v>0</v>
          </cell>
          <cell r="R751">
            <v>144846.8016756</v>
          </cell>
          <cell r="S751">
            <v>10.485152075481313</v>
          </cell>
          <cell r="T751">
            <v>0.43002699999999999</v>
          </cell>
          <cell r="U751">
            <v>3.4079575927305102E-3</v>
          </cell>
          <cell r="V751">
            <v>2.8000000000000001E-2</v>
          </cell>
          <cell r="W751">
            <v>0.27860000000000001</v>
          </cell>
          <cell r="X751">
            <v>12.37857</v>
          </cell>
          <cell r="Y751">
            <v>10.7</v>
          </cell>
          <cell r="Z751">
            <v>0</v>
          </cell>
          <cell r="AA751">
            <v>0</v>
          </cell>
          <cell r="AB751">
            <v>0</v>
          </cell>
          <cell r="AC751">
            <v>0.19057219797987807</v>
          </cell>
          <cell r="AD751">
            <v>7.4614820457203371E-2</v>
          </cell>
          <cell r="AE751">
            <v>0.33070003000000003</v>
          </cell>
          <cell r="AF751">
            <v>13.527143087722676</v>
          </cell>
          <cell r="AG751">
            <v>8.4747357668962628</v>
          </cell>
          <cell r="AH751">
            <v>202504</v>
          </cell>
          <cell r="AJ751" t="str">
            <v>A1-A3:Prod'n deferred due to reduced nomination of CNUOC.
GPOC:Prod'n deferred due to biorem limitations &amp; downhole complications.
PCB:Prod'n deferred due to the low efficiency of PCPs in flowing wells.
LZC:Prod'n deferred due to Gas handling limitations during LZ GGII planned shut down.</v>
          </cell>
        </row>
        <row r="752">
          <cell r="C752">
            <v>45760</v>
          </cell>
          <cell r="D752">
            <v>325125</v>
          </cell>
          <cell r="E752">
            <v>10491</v>
          </cell>
          <cell r="F752">
            <v>25076.23</v>
          </cell>
          <cell r="G752">
            <v>4942</v>
          </cell>
          <cell r="H752">
            <v>2106</v>
          </cell>
          <cell r="I752">
            <v>151969</v>
          </cell>
          <cell r="J752">
            <v>173666</v>
          </cell>
          <cell r="K752">
            <v>50641.61</v>
          </cell>
          <cell r="L752">
            <v>14122</v>
          </cell>
          <cell r="M752">
            <v>339837</v>
          </cell>
          <cell r="N752">
            <v>7306</v>
          </cell>
          <cell r="O752">
            <v>4932</v>
          </cell>
          <cell r="P752">
            <v>162.52843199999998</v>
          </cell>
          <cell r="Q752">
            <v>0</v>
          </cell>
          <cell r="R752">
            <v>142530.21004440001</v>
          </cell>
          <cell r="S752">
            <v>10.25040563844518</v>
          </cell>
          <cell r="T752">
            <v>6.8048999999999998E-2</v>
          </cell>
          <cell r="U752">
            <v>3.4079575927305102E-3</v>
          </cell>
          <cell r="V752">
            <v>2.8000000000000001E-2</v>
          </cell>
          <cell r="W752">
            <v>0.27661000000000002</v>
          </cell>
          <cell r="X752">
            <v>12.37857</v>
          </cell>
          <cell r="Y752">
            <v>10.81</v>
          </cell>
          <cell r="Z752">
            <v>0</v>
          </cell>
          <cell r="AA752">
            <v>0</v>
          </cell>
          <cell r="AB752">
            <v>0</v>
          </cell>
          <cell r="AC752">
            <v>0.18660784319277807</v>
          </cell>
          <cell r="AD752">
            <v>7.4614820457203371E-2</v>
          </cell>
          <cell r="AE752">
            <v>0.35340003000000003</v>
          </cell>
          <cell r="AF752">
            <v>13.527652790481017</v>
          </cell>
          <cell r="AG752">
            <v>8.406610944055295</v>
          </cell>
          <cell r="AH752">
            <v>202504</v>
          </cell>
          <cell r="AJ752" t="str">
            <v>A1-A3:Prod'n deferred due to reduced nomination of CNUOC.
BC-10: Prod'n deferred due to ALM 2 train B,  ALM 1 train C and ALM 3 train A are offline,
GPOC:Prod'n deferred due to biorem limitations, downhole complications.
PCB:Prod'n deferred due to the low efficiency of PCPs in flowing wells.
LZC:Prod'n deferred due to Gas handling limitations during LZ GGII planned shut down.</v>
          </cell>
        </row>
        <row r="753">
          <cell r="C753">
            <v>45761</v>
          </cell>
          <cell r="D753">
            <v>345650</v>
          </cell>
          <cell r="E753">
            <v>20031</v>
          </cell>
          <cell r="F753">
            <v>25012.14</v>
          </cell>
          <cell r="G753">
            <v>4954</v>
          </cell>
          <cell r="H753">
            <v>2091</v>
          </cell>
          <cell r="I753">
            <v>151969</v>
          </cell>
          <cell r="J753">
            <v>171797</v>
          </cell>
          <cell r="K753">
            <v>50894.52</v>
          </cell>
          <cell r="L753">
            <v>8942</v>
          </cell>
          <cell r="M753">
            <v>330840</v>
          </cell>
          <cell r="N753">
            <v>7312</v>
          </cell>
          <cell r="O753">
            <v>3262</v>
          </cell>
          <cell r="P753">
            <v>113.65668599999999</v>
          </cell>
          <cell r="Q753">
            <v>0</v>
          </cell>
          <cell r="R753">
            <v>142930.90350869999</v>
          </cell>
          <cell r="S753">
            <v>10.461649114957794</v>
          </cell>
          <cell r="T753">
            <v>0.15179599999999999</v>
          </cell>
          <cell r="U753">
            <v>3.4079575927305102E-3</v>
          </cell>
          <cell r="V753">
            <v>2.9000000000000001E-2</v>
          </cell>
          <cell r="W753">
            <v>0.27645999999999998</v>
          </cell>
          <cell r="X753">
            <v>12.37857</v>
          </cell>
          <cell r="Y753">
            <v>10.58</v>
          </cell>
          <cell r="Z753">
            <v>0</v>
          </cell>
          <cell r="AA753">
            <v>0</v>
          </cell>
          <cell r="AB753">
            <v>0</v>
          </cell>
          <cell r="AC753">
            <v>0.19028902978079948</v>
          </cell>
          <cell r="AD753">
            <v>7.4841355016466216E-2</v>
          </cell>
          <cell r="AE753">
            <v>0.34940003000000003</v>
          </cell>
          <cell r="AF753">
            <v>13.383491860330118</v>
          </cell>
          <cell r="AG753">
            <v>8.3501396919660209</v>
          </cell>
          <cell r="AH753">
            <v>202504</v>
          </cell>
          <cell r="AJ753" t="str">
            <v>A1-A3:Prod'n deferred due to reduced nomination of CNUOC.
BC-10: Prod'n deferred due to ALM 1 train C are offline.
GPOC:Prod'n deferred due to biorem limitations, downhole complications.
PCB:Prod'n deferred due to the low efficiency of PCPs in flowing wells.
SPOC:Prod'n deferred due to water draining.
LZC:Prod'n deferred due to Gas handling limitations during LZ GGII planned shut down.</v>
          </cell>
        </row>
        <row r="754">
          <cell r="C754">
            <v>45762</v>
          </cell>
          <cell r="D754">
            <v>323697</v>
          </cell>
          <cell r="E754">
            <v>27805</v>
          </cell>
          <cell r="F754">
            <v>24670</v>
          </cell>
          <cell r="G754">
            <v>4912</v>
          </cell>
          <cell r="H754">
            <v>2100</v>
          </cell>
          <cell r="I754">
            <v>151969</v>
          </cell>
          <cell r="J754">
            <v>166973</v>
          </cell>
          <cell r="K754">
            <v>49857.22</v>
          </cell>
          <cell r="L754">
            <v>10777</v>
          </cell>
          <cell r="M754">
            <v>327721</v>
          </cell>
          <cell r="N754">
            <v>7113</v>
          </cell>
          <cell r="O754">
            <v>4928</v>
          </cell>
          <cell r="P754">
            <v>116.29840199999998</v>
          </cell>
          <cell r="Q754">
            <v>0</v>
          </cell>
          <cell r="R754">
            <v>143586.3277809</v>
          </cell>
          <cell r="S754">
            <v>10.09353045615565</v>
          </cell>
          <cell r="T754">
            <v>0.230049</v>
          </cell>
          <cell r="U754">
            <v>3.4079575927305102E-3</v>
          </cell>
          <cell r="V754">
            <v>2.9000000000000001E-2</v>
          </cell>
          <cell r="W754">
            <v>0.27482999999999996</v>
          </cell>
          <cell r="X754">
            <v>12.37857</v>
          </cell>
          <cell r="Y754">
            <v>10.67</v>
          </cell>
          <cell r="Z754">
            <v>0</v>
          </cell>
          <cell r="AA754">
            <v>0</v>
          </cell>
          <cell r="AB754">
            <v>0</v>
          </cell>
          <cell r="AC754">
            <v>0.18745734779001377</v>
          </cell>
          <cell r="AD754">
            <v>7.1245118888168382E-2</v>
          </cell>
          <cell r="AE754">
            <v>0.34470003000000005</v>
          </cell>
          <cell r="AF754">
            <v>13.383859978988919</v>
          </cell>
          <cell r="AG754">
            <v>8.3784681318977494</v>
          </cell>
          <cell r="AH754">
            <v>202504</v>
          </cell>
          <cell r="AJ754" t="str">
            <v>Sakhalin-1:New prod'n data received from the operator.
A1-A3:Prod'n deferred due to reduced nomination of CNUOC.
GPOC:Prod'n deferred due to biorem limitations, downhole complications.
PCB:Prod'n deferred due to the low efficiency of PCPs in flowing wells.
LZC:Prod'n deferred due to Gas handling limitations during LZ GGII planned shut down.</v>
          </cell>
        </row>
        <row r="755">
          <cell r="C755">
            <v>45763</v>
          </cell>
          <cell r="D755">
            <v>316454</v>
          </cell>
          <cell r="E755">
            <v>25245</v>
          </cell>
          <cell r="F755">
            <v>24944</v>
          </cell>
          <cell r="G755">
            <v>5017</v>
          </cell>
          <cell r="H755">
            <v>2109</v>
          </cell>
          <cell r="I755">
            <v>151969</v>
          </cell>
          <cell r="J755">
            <v>170854</v>
          </cell>
          <cell r="K755">
            <v>48848.88</v>
          </cell>
          <cell r="L755">
            <v>10613</v>
          </cell>
          <cell r="M755">
            <v>270589</v>
          </cell>
          <cell r="N755">
            <v>7287</v>
          </cell>
          <cell r="O755">
            <v>3152</v>
          </cell>
          <cell r="P755">
            <v>138.24980399999998</v>
          </cell>
          <cell r="Q755">
            <v>0</v>
          </cell>
          <cell r="R755">
            <v>140687.31816180001</v>
          </cell>
          <cell r="S755">
            <v>11.835864385086094</v>
          </cell>
          <cell r="T755">
            <v>0.297182</v>
          </cell>
          <cell r="U755">
            <v>3.4079575927305102E-3</v>
          </cell>
          <cell r="V755">
            <v>2.8000000000000001E-2</v>
          </cell>
          <cell r="W755">
            <v>0.30245</v>
          </cell>
          <cell r="X755">
            <v>12.37857</v>
          </cell>
          <cell r="Y755">
            <v>10.75</v>
          </cell>
          <cell r="Z755">
            <v>0</v>
          </cell>
          <cell r="AA755">
            <v>0</v>
          </cell>
          <cell r="AB755">
            <v>0</v>
          </cell>
          <cell r="AC755">
            <v>0.19255437537342804</v>
          </cell>
          <cell r="AD755">
            <v>7.2406108504390512E-2</v>
          </cell>
          <cell r="AE755">
            <v>0.34300003000000001</v>
          </cell>
          <cell r="AF755">
            <v>13.593800881785771</v>
          </cell>
          <cell r="AG755">
            <v>8.5314273316750935</v>
          </cell>
          <cell r="AH755">
            <v>202504</v>
          </cell>
          <cell r="AJ755" t="str">
            <v>A1-A3:Prod'n deferred due to reduced nomination of CNUOC.
GPOC:Prod'n deferred due to biorem limitations, downhole complications.
BC-10:All ALMs are online. Prod'n is being ramped up.
PCB:Prod'n deferred due to the low efficiency of PCPs in flowing wells.
LZC: Prod'n deferred due to planned shutdown for Hydrogen Induced Cracking issue.</v>
          </cell>
        </row>
        <row r="756">
          <cell r="C756">
            <v>45764</v>
          </cell>
          <cell r="D756">
            <v>335617</v>
          </cell>
          <cell r="E756">
            <v>24616</v>
          </cell>
          <cell r="F756">
            <v>24932.39</v>
          </cell>
          <cell r="G756">
            <v>5072</v>
          </cell>
          <cell r="H756">
            <v>2122</v>
          </cell>
          <cell r="I756">
            <v>151969</v>
          </cell>
          <cell r="J756">
            <v>169882</v>
          </cell>
          <cell r="K756">
            <v>49473.62</v>
          </cell>
          <cell r="L756">
            <v>13699</v>
          </cell>
          <cell r="M756">
            <v>265984</v>
          </cell>
          <cell r="N756">
            <v>7281</v>
          </cell>
          <cell r="O756">
            <v>4777</v>
          </cell>
          <cell r="P756">
            <v>150.389118</v>
          </cell>
          <cell r="Q756">
            <v>0</v>
          </cell>
          <cell r="R756">
            <v>142228.94410309999</v>
          </cell>
          <cell r="S756">
            <v>11.235547803039527</v>
          </cell>
          <cell r="T756">
            <v>0.27858100000000002</v>
          </cell>
          <cell r="U756">
            <v>3.4079575927305102E-3</v>
          </cell>
          <cell r="V756">
            <v>2.9000000000000001E-2</v>
          </cell>
          <cell r="W756">
            <v>0.29898000000000002</v>
          </cell>
          <cell r="X756">
            <v>12.37857</v>
          </cell>
          <cell r="Y756">
            <v>10.88</v>
          </cell>
          <cell r="Z756">
            <v>0</v>
          </cell>
          <cell r="AA756">
            <v>0</v>
          </cell>
          <cell r="AB756">
            <v>0</v>
          </cell>
          <cell r="AC756">
            <v>0.18717417959093521</v>
          </cell>
          <cell r="AD756">
            <v>7.6143928732227653E-2</v>
          </cell>
          <cell r="AE756">
            <v>0.34260003000000006</v>
          </cell>
          <cell r="AF756">
            <v>13.234630338074512</v>
          </cell>
          <cell r="AG756">
            <v>8.4793401157743791</v>
          </cell>
          <cell r="AH756">
            <v>202504</v>
          </cell>
          <cell r="AJ756" t="str">
            <v>A1-A3:Prod'n deferred due to reduced nomination of CNUOC.
GPOC:Prod'n deferred due to biorem limitations, downhole complications.
BC-10:All ALMs are online. Prod'n is being ramped up.
PCB:Prod'n deferred due to the low efficiency of PCPs in flowing wells.
LZC: Prod'n deferred due to planned shutdown for Hydrogen Induced Cracking issue.</v>
          </cell>
        </row>
        <row r="757">
          <cell r="C757">
            <v>45765</v>
          </cell>
          <cell r="D757">
            <v>333272</v>
          </cell>
          <cell r="E757">
            <v>26717</v>
          </cell>
          <cell r="F757">
            <v>24873.43</v>
          </cell>
          <cell r="G757">
            <v>5063</v>
          </cell>
          <cell r="H757">
            <v>2034</v>
          </cell>
          <cell r="I757">
            <v>158650</v>
          </cell>
          <cell r="J757">
            <v>169589</v>
          </cell>
          <cell r="K757">
            <v>48159.96</v>
          </cell>
          <cell r="L757">
            <v>7211</v>
          </cell>
          <cell r="M757">
            <v>267420</v>
          </cell>
          <cell r="N757">
            <v>7200</v>
          </cell>
          <cell r="O757">
            <v>4349</v>
          </cell>
          <cell r="P757">
            <v>143.40744000000001</v>
          </cell>
          <cell r="Q757">
            <v>0</v>
          </cell>
          <cell r="R757">
            <v>141834.41409800001</v>
          </cell>
          <cell r="S757">
            <v>10.491664944060121</v>
          </cell>
          <cell r="T757">
            <v>0.30718600000000001</v>
          </cell>
          <cell r="U757">
            <v>3.4079575927305102E-3</v>
          </cell>
          <cell r="V757">
            <v>2.9000000000000001E-2</v>
          </cell>
          <cell r="W757">
            <v>0.28161000000000003</v>
          </cell>
          <cell r="X757">
            <v>12.37857</v>
          </cell>
          <cell r="Y757">
            <v>10.93</v>
          </cell>
          <cell r="Z757">
            <v>0</v>
          </cell>
          <cell r="AA757">
            <v>0</v>
          </cell>
          <cell r="AB757">
            <v>0</v>
          </cell>
          <cell r="AC757">
            <v>0.1815108156093638</v>
          </cell>
          <cell r="AD757">
            <v>7.2434425324298377E-2</v>
          </cell>
          <cell r="AE757">
            <v>0.33940003000000002</v>
          </cell>
          <cell r="AF757">
            <v>13.32028871829578</v>
          </cell>
          <cell r="AG757">
            <v>8.4719500453857037</v>
          </cell>
          <cell r="AH757">
            <v>202504</v>
          </cell>
          <cell r="AJ757" t="str">
            <v>A1-A3:Prod'n deferred due to reduced nomination of CNUOC.
GPOC:Prod'n deferred due to biorem limitations, downhole complications.
BC-10:All ALMs are online. Prod'n is being ramped up.
IEC:Prod'n deferred due to shutdown of well Maiskoye well-2, Snezhnoye well-146,133,520.
SPOC:Prod'n deferred due to water draining.
PCB:Prod'n deferred due to the low efficiency of PCPs in flowing wells.
LZC: Prod'n deferred due to planned shutdown for Hydrogen Induced Cracking issue.</v>
          </cell>
        </row>
        <row r="758">
          <cell r="C758">
            <v>45766</v>
          </cell>
          <cell r="D758">
            <v>327439</v>
          </cell>
          <cell r="E758">
            <v>28107</v>
          </cell>
          <cell r="F758">
            <v>24915.93</v>
          </cell>
          <cell r="G758">
            <v>5091</v>
          </cell>
          <cell r="H758">
            <v>2038</v>
          </cell>
          <cell r="I758">
            <v>158650</v>
          </cell>
          <cell r="J758">
            <v>168591</v>
          </cell>
          <cell r="K758">
            <v>49380.45</v>
          </cell>
          <cell r="L758">
            <v>7014</v>
          </cell>
          <cell r="M758">
            <v>269677</v>
          </cell>
          <cell r="N758">
            <v>7210</v>
          </cell>
          <cell r="O758">
            <v>4279</v>
          </cell>
          <cell r="P758">
            <v>105.98313</v>
          </cell>
          <cell r="Q758">
            <v>0</v>
          </cell>
          <cell r="R758">
            <v>142131.50415850003</v>
          </cell>
          <cell r="S758">
            <v>9.9570433841997801</v>
          </cell>
          <cell r="T758">
            <v>0.28813800000000001</v>
          </cell>
          <cell r="U758">
            <v>3.4079575927305102E-3</v>
          </cell>
          <cell r="V758">
            <v>2.9000000000000001E-2</v>
          </cell>
          <cell r="W758">
            <v>0.26055</v>
          </cell>
          <cell r="X758">
            <v>12.37857</v>
          </cell>
          <cell r="Y758">
            <v>11</v>
          </cell>
          <cell r="Z758">
            <v>0</v>
          </cell>
          <cell r="AA758">
            <v>0</v>
          </cell>
          <cell r="AB758">
            <v>0</v>
          </cell>
          <cell r="AC758">
            <v>0.18122764741028524</v>
          </cell>
          <cell r="AD758">
            <v>5.6208887517096282E-2</v>
          </cell>
          <cell r="AE758">
            <v>0.34090003000000002</v>
          </cell>
          <cell r="AF758">
            <v>13.383038791211591</v>
          </cell>
          <cell r="AG758">
            <v>8.4531305535306949</v>
          </cell>
          <cell r="AH758">
            <v>202504</v>
          </cell>
          <cell r="AJ758" t="str">
            <v>A1-A3:Prod'n deferred due to reduced nomination of CNUOC.
GPOC:Prod'n deferred due to biorem limitations, downhole complications.
PCB:Prod'n deferred due to the low efficiency of PCPs in flowing wells.
IEC:Prod'n deferred due to shutdown of well Maiskoye well-2, Snezhnoye well-146,133,520.
SPOC:Prod'n deferred due to water draining.
LZC: Prod'n deferred due to planned shutdown for Hydrogen Induced Cracking issue.</v>
          </cell>
        </row>
        <row r="759">
          <cell r="C759">
            <v>45767</v>
          </cell>
          <cell r="D759">
            <v>350898</v>
          </cell>
          <cell r="E759">
            <v>27994</v>
          </cell>
          <cell r="F759">
            <v>25012.61</v>
          </cell>
          <cell r="G759">
            <v>5005</v>
          </cell>
          <cell r="H759">
            <v>2025</v>
          </cell>
          <cell r="I759">
            <v>158650</v>
          </cell>
          <cell r="J759">
            <v>170253</v>
          </cell>
          <cell r="K759">
            <v>49974.61</v>
          </cell>
          <cell r="L759">
            <v>10253</v>
          </cell>
          <cell r="M759">
            <v>280013</v>
          </cell>
          <cell r="N759">
            <v>7200</v>
          </cell>
          <cell r="O759">
            <v>4086.0000000000005</v>
          </cell>
          <cell r="P759">
            <v>121.33024199999998</v>
          </cell>
          <cell r="Q759">
            <v>0</v>
          </cell>
          <cell r="R759">
            <v>144502.96085889998</v>
          </cell>
          <cell r="S759">
            <v>9.0511883153474297</v>
          </cell>
          <cell r="T759">
            <v>0.28900300000000001</v>
          </cell>
          <cell r="U759">
            <v>3.4079575927305102E-3</v>
          </cell>
          <cell r="V759">
            <v>2.8000000000000001E-2</v>
          </cell>
          <cell r="W759">
            <v>0.26650999999999997</v>
          </cell>
          <cell r="X759">
            <v>12.37857</v>
          </cell>
          <cell r="Y759">
            <v>10.74</v>
          </cell>
          <cell r="Z759">
            <v>0</v>
          </cell>
          <cell r="AA759">
            <v>0</v>
          </cell>
          <cell r="AB759">
            <v>0</v>
          </cell>
          <cell r="AC759">
            <v>0.18179398380844236</v>
          </cell>
          <cell r="AD759">
            <v>6.9432842414065526E-2</v>
          </cell>
          <cell r="AE759">
            <v>0.32850003000000005</v>
          </cell>
          <cell r="AF759">
            <v>13.38267067255279</v>
          </cell>
          <cell r="AG759">
            <v>8.3644371415573531</v>
          </cell>
          <cell r="AH759">
            <v>202504</v>
          </cell>
          <cell r="AJ759" t="str">
            <v>A1-A3:Prod'n deferred due to reduced nomination of CNUOC.
GPOC:Prod'n deferred due to biorem limitations, downhole complications.
PCB:Prod'n deferred due to the low efficiency of PCPs in flowing wells.
IEC:Prod'n deferred due to shutdown of Maiskoye well-2 &amp;Snezhnoye well-146,133,520.
LZC: Prod'n deferred due to planned shutdown for Hydrogen Induced Cracking issue.</v>
          </cell>
        </row>
        <row r="760">
          <cell r="C760">
            <v>45768</v>
          </cell>
          <cell r="D760">
            <v>324245</v>
          </cell>
          <cell r="E760">
            <v>27937</v>
          </cell>
          <cell r="F760">
            <v>25171</v>
          </cell>
          <cell r="G760">
            <v>4966</v>
          </cell>
          <cell r="H760">
            <v>1998</v>
          </cell>
          <cell r="I760">
            <v>158650</v>
          </cell>
          <cell r="J760">
            <v>170322</v>
          </cell>
          <cell r="K760">
            <v>48869.81</v>
          </cell>
          <cell r="L760">
            <v>13575</v>
          </cell>
          <cell r="M760">
            <v>250784</v>
          </cell>
          <cell r="N760">
            <v>4065.0000000000005</v>
          </cell>
          <cell r="O760">
            <v>4065.0000000000005</v>
          </cell>
          <cell r="P760">
            <v>144.28801200000001</v>
          </cell>
          <cell r="Q760">
            <v>0</v>
          </cell>
          <cell r="R760">
            <v>142803.43710539996</v>
          </cell>
          <cell r="S760">
            <v>8.7320577549858829</v>
          </cell>
          <cell r="T760">
            <v>0.28884399999999999</v>
          </cell>
          <cell r="U760">
            <v>3.4079575927305102E-3</v>
          </cell>
          <cell r="V760">
            <v>2.8000000000000001E-2</v>
          </cell>
          <cell r="W760">
            <v>0.26093</v>
          </cell>
          <cell r="X760">
            <v>12.37857</v>
          </cell>
          <cell r="Y760">
            <v>10.8</v>
          </cell>
          <cell r="Z760">
            <v>0</v>
          </cell>
          <cell r="AA760">
            <v>0</v>
          </cell>
          <cell r="AB760">
            <v>0</v>
          </cell>
          <cell r="AC760">
            <v>7.0820366589550515E-2</v>
          </cell>
          <cell r="AD760">
            <v>7.0820366589550515E-2</v>
          </cell>
          <cell r="AE760">
            <v>0.33240003000000001</v>
          </cell>
          <cell r="AF760">
            <v>13.384624533126431</v>
          </cell>
          <cell r="AG760">
            <v>8.3555147107404117</v>
          </cell>
          <cell r="AH760">
            <v>202504</v>
          </cell>
          <cell r="AJ760" t="str">
            <v>Sakhalin-1:New prod'n data received from the operator.
A1-A3:Prod'n deferred due to reduced nomination of CNUOC.
GPOC:Prod'n deferred due to biorem limitations, downhole complications.
PCB:Prod'n deferred due to the low efficiency of PCPs in flowing wells.
IEC:Prod'n deferred due to shutdown of Maiskoye well-2 &amp;Snezhnoye well-146,133,520.
LZC: Prod'n deferred due to planned shutdown for Hydrogen Induced Cracking issue.</v>
          </cell>
        </row>
        <row r="761">
          <cell r="C761">
            <v>45769</v>
          </cell>
          <cell r="D761">
            <v>315964</v>
          </cell>
          <cell r="E761">
            <v>27843</v>
          </cell>
          <cell r="F761">
            <v>25117</v>
          </cell>
          <cell r="G761">
            <v>5040</v>
          </cell>
          <cell r="H761">
            <v>1975</v>
          </cell>
          <cell r="I761">
            <v>158650</v>
          </cell>
          <cell r="J761">
            <v>169707</v>
          </cell>
          <cell r="K761">
            <v>46371.89</v>
          </cell>
          <cell r="L761">
            <v>8582</v>
          </cell>
          <cell r="M761">
            <v>282972</v>
          </cell>
          <cell r="N761">
            <v>7106</v>
          </cell>
          <cell r="O761">
            <v>5490</v>
          </cell>
          <cell r="P761">
            <v>126.80236799999999</v>
          </cell>
          <cell r="Q761">
            <v>0</v>
          </cell>
          <cell r="R761">
            <v>142707.25806560001</v>
          </cell>
          <cell r="S761">
            <v>9.206930824840649</v>
          </cell>
          <cell r="T761">
            <v>0.285968</v>
          </cell>
          <cell r="U761">
            <v>3.4079575927305102E-3</v>
          </cell>
          <cell r="V761">
            <v>2.8000000000000001E-2</v>
          </cell>
          <cell r="W761">
            <v>0.28561000000000003</v>
          </cell>
          <cell r="X761">
            <v>12.37857</v>
          </cell>
          <cell r="Y761">
            <v>10.81</v>
          </cell>
          <cell r="Z761">
            <v>0</v>
          </cell>
          <cell r="AA761">
            <v>0</v>
          </cell>
          <cell r="AB761">
            <v>0</v>
          </cell>
          <cell r="AC761">
            <v>0.20529694433196374</v>
          </cell>
          <cell r="AD761">
            <v>7.7786304286883365E-2</v>
          </cell>
          <cell r="AE761">
            <v>0.33310003000000005</v>
          </cell>
          <cell r="AF761">
            <v>13.384709483586155</v>
          </cell>
          <cell r="AG761">
            <v>8.4138164682424161</v>
          </cell>
          <cell r="AH761">
            <v>202504</v>
          </cell>
          <cell r="AJ761" t="str">
            <v>A1-A3:Prod'n deferred due to reduced nomination of CNUOC.
GPOC:Prod'n deferred due to biorem limitations, downhole complications.
PCB:Prod'n deferred due to the low efficiency of PCPs in flowing wells.
IEC:Prod'n deferred due to shutdown of Maiskoye well-2 &amp; Snezhnoye well-146,133,520.
ACG:Prod'n deferred due to sand issue in west chirag.
SPOC:Prod'n deferred due to water draining.
LZC: Prod'n deferred due to planned shutdown for Hydrogen Induced Cracking issue.</v>
          </cell>
        </row>
        <row r="762">
          <cell r="C762">
            <v>45770</v>
          </cell>
          <cell r="D762">
            <v>325667</v>
          </cell>
          <cell r="E762">
            <v>27868</v>
          </cell>
          <cell r="F762">
            <v>24509</v>
          </cell>
          <cell r="G762">
            <v>5059</v>
          </cell>
          <cell r="H762">
            <v>2035</v>
          </cell>
          <cell r="I762">
            <v>158650</v>
          </cell>
          <cell r="J762">
            <v>171285</v>
          </cell>
          <cell r="K762">
            <v>46716.9</v>
          </cell>
          <cell r="L762">
            <v>12057</v>
          </cell>
          <cell r="M762">
            <v>290537</v>
          </cell>
          <cell r="N762">
            <v>7057</v>
          </cell>
          <cell r="O762">
            <v>3822</v>
          </cell>
          <cell r="P762">
            <v>153</v>
          </cell>
          <cell r="R762">
            <v>143618.39600000001</v>
          </cell>
          <cell r="S762">
            <v>9.4748079411689758</v>
          </cell>
          <cell r="T762">
            <v>0.28508099999999997</v>
          </cell>
          <cell r="U762">
            <v>3.4079575927305102E-3</v>
          </cell>
          <cell r="V762">
            <v>2.7E-2</v>
          </cell>
          <cell r="W762">
            <v>0.28549000000000002</v>
          </cell>
          <cell r="X762">
            <v>12.37857</v>
          </cell>
          <cell r="Y762">
            <v>10.89</v>
          </cell>
          <cell r="Z762">
            <v>0</v>
          </cell>
          <cell r="AA762">
            <v>0</v>
          </cell>
          <cell r="AB762">
            <v>0</v>
          </cell>
          <cell r="AC762">
            <v>0.19340387997066377</v>
          </cell>
          <cell r="AD762">
            <v>5.1706513151747006E-2</v>
          </cell>
          <cell r="AE762">
            <v>0.33380003000000003</v>
          </cell>
          <cell r="AF762">
            <v>13.384567899486616</v>
          </cell>
          <cell r="AG762">
            <v>8.4301431610643007</v>
          </cell>
          <cell r="AH762">
            <v>202504</v>
          </cell>
          <cell r="AJ762" t="str">
            <v>A1-A3:Prod'n deferred due to reduced nomination of CNUOC.
GPOC:Prod'n deferred due to biorem limitations, downhole complications.
PCB:Prod'n deferred due to the low efficiency of PCPs in flowing wells.
IEC:Prod'n deferred due to shutdown of Maiskoye well-2 &amp; Snezhnoye well-146,133,520.
ACG:Prod'n deferred due to sand issue in west chirag.
LZC: Prod'n deferred due to planned shutdown for Hydrogen Induced Cracking issue.</v>
          </cell>
        </row>
        <row r="763">
          <cell r="C763">
            <v>45771</v>
          </cell>
          <cell r="D763">
            <v>312958</v>
          </cell>
          <cell r="E763">
            <v>28069</v>
          </cell>
          <cell r="F763">
            <v>24672</v>
          </cell>
          <cell r="G763">
            <v>4954</v>
          </cell>
          <cell r="H763">
            <v>2108</v>
          </cell>
          <cell r="I763">
            <v>158650</v>
          </cell>
          <cell r="J763">
            <v>170854</v>
          </cell>
          <cell r="K763">
            <v>45986.87</v>
          </cell>
          <cell r="L763">
            <v>12717</v>
          </cell>
          <cell r="M763">
            <v>288862</v>
          </cell>
          <cell r="N763">
            <v>7069</v>
          </cell>
          <cell r="O763">
            <v>3788</v>
          </cell>
          <cell r="P763">
            <v>121.45603799999998</v>
          </cell>
          <cell r="Q763">
            <v>0</v>
          </cell>
          <cell r="R763">
            <v>143206.71046710003</v>
          </cell>
          <cell r="S763">
            <v>8.4924974585654081</v>
          </cell>
          <cell r="T763">
            <v>0.28199000000000002</v>
          </cell>
          <cell r="U763">
            <v>3.4079575927305102E-3</v>
          </cell>
          <cell r="V763">
            <v>2.7E-2</v>
          </cell>
          <cell r="W763">
            <v>0.28249999999999997</v>
          </cell>
          <cell r="X763">
            <v>12.37857</v>
          </cell>
          <cell r="Y763">
            <v>10.81</v>
          </cell>
          <cell r="Z763">
            <v>0</v>
          </cell>
          <cell r="AA763">
            <v>0</v>
          </cell>
          <cell r="AB763">
            <v>0</v>
          </cell>
          <cell r="AC763">
            <v>0.19340387997066377</v>
          </cell>
          <cell r="AD763">
            <v>7.2264524404851233E-2</v>
          </cell>
          <cell r="AE763">
            <v>0.33510003000000005</v>
          </cell>
          <cell r="AF763">
            <v>13.38490770132551</v>
          </cell>
          <cell r="AG763">
            <v>8.3856519802620006</v>
          </cell>
          <cell r="AH763">
            <v>202504</v>
          </cell>
          <cell r="AJ763" t="str">
            <v>A1-A3:Prod'n deferred due to reduced nomination of CNUOC.
GPOC:Prod'n deferred due to biorem limitations, downhole complications.
PCB:Prod'n deferred due to the low efficiency of PCPs in flowing wells.
IEC:Prod'n deferred due to shutdown of Maiskoye well-2 &amp; Snezhnoye well-146,133,520.
ACG:Prod'n deferred due to sand issue in west chirag.
LZC: Prod'n deferred due to planned shutdown for Hydrogen Induced Cracking issue.</v>
          </cell>
        </row>
        <row r="764">
          <cell r="C764">
            <v>45772</v>
          </cell>
          <cell r="D764">
            <v>310782</v>
          </cell>
          <cell r="E764">
            <v>27849</v>
          </cell>
          <cell r="F764">
            <v>25057</v>
          </cell>
          <cell r="G764">
            <v>5026</v>
          </cell>
          <cell r="H764">
            <v>2079</v>
          </cell>
          <cell r="I764">
            <v>157020</v>
          </cell>
          <cell r="J764">
            <v>171412</v>
          </cell>
          <cell r="K764">
            <v>48503.199999999997</v>
          </cell>
          <cell r="L764">
            <v>12894</v>
          </cell>
          <cell r="M764">
            <v>254367</v>
          </cell>
          <cell r="N764">
            <v>6708</v>
          </cell>
          <cell r="O764">
            <v>4832</v>
          </cell>
          <cell r="P764">
            <v>120.88995599999998</v>
          </cell>
          <cell r="Q764">
            <v>0</v>
          </cell>
          <cell r="R764">
            <v>142848.86148019999</v>
          </cell>
          <cell r="S764">
            <v>8.8855349188864707</v>
          </cell>
          <cell r="T764">
            <v>0.26852700000000002</v>
          </cell>
          <cell r="U764">
            <v>3.4079575927305102E-3</v>
          </cell>
          <cell r="V764">
            <v>2.7E-2</v>
          </cell>
          <cell r="W764">
            <v>0.28201999999999999</v>
          </cell>
          <cell r="X764">
            <v>12.37857</v>
          </cell>
          <cell r="Y764">
            <v>10.89</v>
          </cell>
          <cell r="Z764">
            <v>0</v>
          </cell>
          <cell r="AA764">
            <v>0</v>
          </cell>
          <cell r="AB764">
            <v>0</v>
          </cell>
          <cell r="AC764">
            <v>0.2055801125310423</v>
          </cell>
          <cell r="AD764">
            <v>4.1965527103444172E-2</v>
          </cell>
          <cell r="AE764">
            <v>0.33220003000000004</v>
          </cell>
          <cell r="AF764">
            <v>13.384114830368089</v>
          </cell>
          <cell r="AG764">
            <v>8.4016133145747105</v>
          </cell>
          <cell r="AH764">
            <v>202504</v>
          </cell>
          <cell r="AJ764" t="str">
            <v>A1-A3:Prod'n deferred due to reduced nomination of CNUOC.
GPOC:Prod'n deferred due to biorem limitations, downhole complications.
PCB:Prod'n deferred due to the low efficiency of PCPs in flowing wells.
IEC:Prod'n deferred due to shutdown of Maiskoye well-2 &amp; Snezhnoye well-146,133,520.
ACG:Prod'n deferred due to sand issue in west chirag.
LZC: Prod'n deferred due to planned shutdown for Hydrogen Induced Cracking issue.</v>
          </cell>
        </row>
        <row r="765">
          <cell r="C765">
            <v>45773</v>
          </cell>
          <cell r="D765">
            <v>325413</v>
          </cell>
          <cell r="E765">
            <v>27176</v>
          </cell>
          <cell r="F765">
            <v>25089</v>
          </cell>
          <cell r="G765">
            <v>5065</v>
          </cell>
          <cell r="H765">
            <v>2008</v>
          </cell>
          <cell r="I765">
            <v>157020</v>
          </cell>
          <cell r="J765">
            <v>169885</v>
          </cell>
          <cell r="K765">
            <v>50193.99</v>
          </cell>
          <cell r="L765">
            <v>12299</v>
          </cell>
          <cell r="M765">
            <v>308801</v>
          </cell>
          <cell r="N765">
            <v>7017</v>
          </cell>
          <cell r="O765">
            <v>4035.9999999999995</v>
          </cell>
          <cell r="P765">
            <v>144.47670599999998</v>
          </cell>
          <cell r="Q765">
            <v>0</v>
          </cell>
          <cell r="R765">
            <v>144851.70601769999</v>
          </cell>
          <cell r="S765">
            <v>8.6703270875867542</v>
          </cell>
          <cell r="T765">
            <v>0.28120400000000001</v>
          </cell>
          <cell r="U765">
            <v>3.4079575927305102E-3</v>
          </cell>
          <cell r="V765">
            <v>2.5999999999999999E-2</v>
          </cell>
          <cell r="W765">
            <v>0.27606000000000003</v>
          </cell>
          <cell r="X765">
            <v>12.37857</v>
          </cell>
          <cell r="Y765">
            <v>10.66</v>
          </cell>
          <cell r="Z765">
            <v>0</v>
          </cell>
          <cell r="AA765">
            <v>0</v>
          </cell>
          <cell r="AB765">
            <v>0</v>
          </cell>
          <cell r="AC765">
            <v>0.19453655276697804</v>
          </cell>
          <cell r="AD765">
            <v>6.2551855176456256E-2</v>
          </cell>
          <cell r="AE765">
            <v>0.33200003</v>
          </cell>
          <cell r="AF765">
            <v>13.38465284994634</v>
          </cell>
          <cell r="AG765">
            <v>8.339502478492653</v>
          </cell>
          <cell r="AH765">
            <v>202504</v>
          </cell>
          <cell r="AJ765" t="str">
            <v>A1-A3:Prod'n deferred due to reduced nomination of CNUOC.
GPOC:Prod'n deferred due to biorem limitations, downhole complications.
PCB:Prod'n deferred due to the low efficiency of PCPs in flowing wells.
IEC:Prod'n deferred due to shutdown of Maiskoye well-2 &amp; Snezhnoye well-146,133,520.
ACG:Prod'n deferred due to sand issue in west chirag.
LZC: Prod'n deferred due to planned shutdown for Hydrogen Induced Cracking issue.</v>
          </cell>
        </row>
        <row r="766">
          <cell r="C766">
            <v>45774</v>
          </cell>
          <cell r="D766">
            <v>324468</v>
          </cell>
          <cell r="E766">
            <v>25195</v>
          </cell>
          <cell r="F766">
            <v>25087</v>
          </cell>
          <cell r="G766">
            <v>5028</v>
          </cell>
          <cell r="H766">
            <v>1998</v>
          </cell>
          <cell r="I766">
            <v>157020</v>
          </cell>
          <cell r="J766">
            <v>169461</v>
          </cell>
          <cell r="K766">
            <v>50831.09</v>
          </cell>
          <cell r="L766">
            <v>10737</v>
          </cell>
          <cell r="M766">
            <v>344998</v>
          </cell>
          <cell r="N766">
            <v>7079</v>
          </cell>
          <cell r="O766">
            <v>4685</v>
          </cell>
          <cell r="P766">
            <v>141.709194</v>
          </cell>
          <cell r="Q766">
            <v>0</v>
          </cell>
          <cell r="R766">
            <v>145644.55188730001</v>
          </cell>
          <cell r="S766">
            <v>8.8189903921030037</v>
          </cell>
          <cell r="T766">
            <v>0.25157600000000002</v>
          </cell>
          <cell r="U766">
            <v>3.4079575927305102E-3</v>
          </cell>
          <cell r="V766">
            <v>2.5999999999999999E-2</v>
          </cell>
          <cell r="W766">
            <v>0.26704</v>
          </cell>
          <cell r="X766">
            <v>12.37857</v>
          </cell>
          <cell r="Y766">
            <v>11.07</v>
          </cell>
          <cell r="Z766">
            <v>0</v>
          </cell>
          <cell r="AA766">
            <v>0</v>
          </cell>
          <cell r="AB766">
            <v>0</v>
          </cell>
          <cell r="AC766">
            <v>0.19538605736421377</v>
          </cell>
          <cell r="AD766">
            <v>6.8243535977935532E-2</v>
          </cell>
          <cell r="AE766">
            <v>0.32750003000000005</v>
          </cell>
          <cell r="AF766">
            <v>13.384624533126431</v>
          </cell>
          <cell r="AG766">
            <v>8.4337716241166572</v>
          </cell>
          <cell r="AH766">
            <v>202504</v>
          </cell>
          <cell r="AJ766" t="str">
            <v>A1-A3:Prod'n deferred due to reduced nomination of CNUOC.
GPOC:Prod'n deferred due to biorem limitations, downhole complications.
PCB:Prod'n deferred due to the low efficiency of PCPs in flowing wells.
ACG:Prod'n deferred due to sand issue in west chirag.
BC-10:Prod'n deferred due to ALM 1  train C is offline.
IEC:Prod'n deferred due to shutdown of Maiskoye well-2 &amp; Snezhnoye well-146,133,520.
LZC: Prod'n deferred due to planned shutdown for Hydrogen Induced Cracking issue.</v>
          </cell>
        </row>
        <row r="767">
          <cell r="C767">
            <v>45775</v>
          </cell>
          <cell r="D767">
            <v>329569</v>
          </cell>
          <cell r="E767">
            <v>23736</v>
          </cell>
          <cell r="F767">
            <v>25055</v>
          </cell>
          <cell r="G767">
            <v>5015</v>
          </cell>
          <cell r="H767">
            <v>2142</v>
          </cell>
          <cell r="I767">
            <v>157020</v>
          </cell>
          <cell r="J767">
            <v>167521</v>
          </cell>
          <cell r="K767">
            <v>51773.77</v>
          </cell>
          <cell r="L767">
            <v>10563</v>
          </cell>
          <cell r="M767">
            <v>354305</v>
          </cell>
          <cell r="N767">
            <v>7104</v>
          </cell>
          <cell r="O767">
            <v>4412</v>
          </cell>
          <cell r="P767">
            <v>131.77131</v>
          </cell>
          <cell r="R767">
            <v>145465.57658949998</v>
          </cell>
          <cell r="S767">
            <v>8.8518379031961203</v>
          </cell>
          <cell r="T767">
            <v>0.23574700000000001</v>
          </cell>
          <cell r="U767">
            <v>3.4079575927305102E-3</v>
          </cell>
          <cell r="V767">
            <v>2.5999999999999999E-2</v>
          </cell>
          <cell r="W767">
            <v>0.30310999999999999</v>
          </cell>
          <cell r="X767">
            <v>12.37857</v>
          </cell>
          <cell r="Y767">
            <v>10.98</v>
          </cell>
          <cell r="Z767">
            <v>0</v>
          </cell>
          <cell r="AA767">
            <v>0</v>
          </cell>
          <cell r="AB767">
            <v>0</v>
          </cell>
          <cell r="AC767">
            <v>0.19595239376237089</v>
          </cell>
          <cell r="AD767">
            <v>7.0622148850195535E-2</v>
          </cell>
          <cell r="AE767">
            <v>0.33060003000000004</v>
          </cell>
          <cell r="AF767">
            <v>13.389749877529754</v>
          </cell>
          <cell r="AG767">
            <v>8.4464086345173968</v>
          </cell>
          <cell r="AH767">
            <v>202504</v>
          </cell>
          <cell r="AJ767" t="str">
            <v>A1-A3:Prod'n deferred due to reduced nomination of CNUOC.
GPOC:Prod'n deferred due to biorem limitations, downhole complications.
PCB:Prod'n deferred due to the low efficiency of PCPs in flowing wells.
ACG:Prod'n deferred due to sand issue in west chirag.
BC-10:Prod'n deferred due to ALM 1  train C is offline.
LZC: Prod'n deferred due to planned shutdown for Hydrogen Induced Cracking issue.</v>
          </cell>
        </row>
        <row r="768">
          <cell r="C768">
            <v>45776</v>
          </cell>
          <cell r="D768">
            <v>303779</v>
          </cell>
          <cell r="E768">
            <v>23528</v>
          </cell>
          <cell r="F768">
            <v>25035</v>
          </cell>
          <cell r="G768">
            <v>5051</v>
          </cell>
          <cell r="H768">
            <v>2186</v>
          </cell>
          <cell r="I768">
            <v>157020</v>
          </cell>
          <cell r="J768">
            <v>168015</v>
          </cell>
          <cell r="K768">
            <v>52122.94</v>
          </cell>
          <cell r="L768">
            <v>9381</v>
          </cell>
          <cell r="M768">
            <v>391644</v>
          </cell>
          <cell r="N768">
            <v>7105</v>
          </cell>
          <cell r="O768">
            <v>4713</v>
          </cell>
          <cell r="P768">
            <v>111.32945999999998</v>
          </cell>
          <cell r="Q768">
            <v>0</v>
          </cell>
          <cell r="R768">
            <v>146238.50525700001</v>
          </cell>
          <cell r="S768">
            <v>8.8563685943813795</v>
          </cell>
          <cell r="T768">
            <v>0.20990900000000001</v>
          </cell>
          <cell r="U768">
            <v>3.4079575927305102E-3</v>
          </cell>
          <cell r="V768">
            <v>2.9000000000000001E-2</v>
          </cell>
          <cell r="W768">
            <v>0.31143999999999999</v>
          </cell>
          <cell r="X768">
            <v>12.37857</v>
          </cell>
          <cell r="Y768">
            <v>10.88</v>
          </cell>
          <cell r="Z768">
            <v>0</v>
          </cell>
          <cell r="AA768">
            <v>0</v>
          </cell>
          <cell r="AB768">
            <v>0</v>
          </cell>
          <cell r="AC768">
            <v>0.19765140295684233</v>
          </cell>
          <cell r="AD768">
            <v>6.0597994602814127E-2</v>
          </cell>
          <cell r="AE768">
            <v>0.33070003000000003</v>
          </cell>
          <cell r="AF768">
            <v>13.383803345349103</v>
          </cell>
          <cell r="AG768">
            <v>8.4186062160762933</v>
          </cell>
          <cell r="AH768">
            <v>202504</v>
          </cell>
          <cell r="AJ768" t="str">
            <v>Sakhalin-1:New prod'n data received from the operator.
A1-A3:Prod'n deferred due to reduced nomination of CNUOC.
GPOC:Prod'n deferred due to biorem limitations, downhole complications.
PCB:Prod'n deferred due to the low efficiency of PCPs in flowing wells.
ACG:Prod'n deferred due to sand issue in west chirag.
BC-10:Prod'n deferred due to ALM 1  train C is offline.</v>
          </cell>
        </row>
        <row r="769">
          <cell r="C769">
            <v>45777</v>
          </cell>
          <cell r="D769">
            <v>326740</v>
          </cell>
          <cell r="E769">
            <v>24522</v>
          </cell>
          <cell r="F769">
            <v>25047.38</v>
          </cell>
          <cell r="G769">
            <v>5104</v>
          </cell>
          <cell r="H769">
            <v>2202</v>
          </cell>
          <cell r="I769">
            <v>157020</v>
          </cell>
          <cell r="J769">
            <v>167798</v>
          </cell>
          <cell r="K769">
            <v>53031.58</v>
          </cell>
          <cell r="L769">
            <v>9807</v>
          </cell>
          <cell r="M769">
            <v>402123</v>
          </cell>
          <cell r="N769">
            <v>7049</v>
          </cell>
          <cell r="O769">
            <v>4387</v>
          </cell>
          <cell r="P769">
            <v>144.728298</v>
          </cell>
          <cell r="Q769">
            <v>0</v>
          </cell>
          <cell r="R769">
            <v>147800.80248410002</v>
          </cell>
          <cell r="S769">
            <v>13.940653608837112</v>
          </cell>
          <cell r="T769">
            <v>0.24005499999999999</v>
          </cell>
          <cell r="U769">
            <v>3.4079575927305102E-3</v>
          </cell>
          <cell r="V769">
            <v>0.03</v>
          </cell>
          <cell r="W769">
            <v>0.30452999999999997</v>
          </cell>
          <cell r="X769">
            <v>12.37857</v>
          </cell>
          <cell r="Y769">
            <v>10.93</v>
          </cell>
          <cell r="Z769">
            <v>0</v>
          </cell>
          <cell r="AA769">
            <v>0</v>
          </cell>
          <cell r="AB769">
            <v>0</v>
          </cell>
          <cell r="AC769">
            <v>0.1996335803503923</v>
          </cell>
          <cell r="AD769">
            <v>5.4368294223085568E-2</v>
          </cell>
          <cell r="AE769">
            <v>0.32390003000000001</v>
          </cell>
          <cell r="AF769">
            <v>13.369616618575266</v>
          </cell>
          <cell r="AG769">
            <v>8.5743053885589688</v>
          </cell>
          <cell r="AH769">
            <v>202504</v>
          </cell>
          <cell r="AJ769" t="str">
            <v>A1-A3:Prod'n deferred due to reduced nomination of CNUOC.
GPOC:Prod'n deferred due to biorem limitations, downhole complications.
PCB:Prod'n deferred due to the low efficiency of PCPs in flowing wells.
ACG:Prod'n deferred due to sand issue in west chirag.
BC-10:Prod'n deferred due to ALM 1  train C is offline.</v>
          </cell>
        </row>
        <row r="770">
          <cell r="C770">
            <v>45778</v>
          </cell>
          <cell r="D770">
            <v>307169</v>
          </cell>
          <cell r="E770">
            <v>24019</v>
          </cell>
          <cell r="F770">
            <v>24983</v>
          </cell>
          <cell r="G770">
            <v>5065</v>
          </cell>
          <cell r="H770">
            <v>2203</v>
          </cell>
          <cell r="I770">
            <v>157020</v>
          </cell>
          <cell r="J770">
            <v>169128</v>
          </cell>
          <cell r="K770">
            <v>55583.9</v>
          </cell>
          <cell r="L770">
            <v>9964</v>
          </cell>
          <cell r="M770">
            <v>379050</v>
          </cell>
          <cell r="N770">
            <v>7088</v>
          </cell>
          <cell r="O770">
            <v>4526</v>
          </cell>
          <cell r="P770">
            <v>134.979108</v>
          </cell>
          <cell r="Q770">
            <v>0</v>
          </cell>
          <cell r="R770">
            <v>147183.3138486</v>
          </cell>
          <cell r="S770">
            <v>8.6425766040770569</v>
          </cell>
          <cell r="T770">
            <v>0.23696</v>
          </cell>
          <cell r="U770">
            <v>3.4079575927305102E-3</v>
          </cell>
          <cell r="V770">
            <v>0.03</v>
          </cell>
          <cell r="W770">
            <v>0.29293999999999998</v>
          </cell>
          <cell r="X770">
            <v>12.37857</v>
          </cell>
          <cell r="Y770">
            <v>10.83</v>
          </cell>
          <cell r="Z770">
            <v>0</v>
          </cell>
          <cell r="AA770">
            <v>0</v>
          </cell>
          <cell r="AB770">
            <v>0</v>
          </cell>
          <cell r="AC770">
            <v>0.18320982480383521</v>
          </cell>
          <cell r="AD770">
            <v>5.7737995792120564E-2</v>
          </cell>
          <cell r="AE770">
            <v>0.31820003000000002</v>
          </cell>
          <cell r="AF770">
            <v>13.671672136532377</v>
          </cell>
          <cell r="AG770">
            <v>8.4292366917399395</v>
          </cell>
          <cell r="AH770">
            <v>202505</v>
          </cell>
          <cell r="AJ770" t="str">
            <v>PCB:Prod'n deferred due to the low efficiency of PCPs in flowing wells.
ACG:Prod'n deferred due to sand issue in west chirag.
BC-10:Prod'n deferred due to ALM 1  train C is offline.
LZC:Prod'n deferred due to heavy lifting operations on the rig.</v>
          </cell>
        </row>
        <row r="771">
          <cell r="C771">
            <v>45779</v>
          </cell>
          <cell r="D771">
            <v>303663</v>
          </cell>
          <cell r="E771">
            <v>24119</v>
          </cell>
          <cell r="F771">
            <v>24958</v>
          </cell>
          <cell r="G771">
            <v>4966</v>
          </cell>
          <cell r="H771">
            <v>2226</v>
          </cell>
          <cell r="I771">
            <v>144410</v>
          </cell>
          <cell r="J771">
            <v>167032</v>
          </cell>
          <cell r="K771">
            <v>53479.76</v>
          </cell>
          <cell r="L771">
            <v>14757</v>
          </cell>
          <cell r="M771">
            <v>393166</v>
          </cell>
          <cell r="N771">
            <v>7335</v>
          </cell>
          <cell r="O771">
            <v>5251</v>
          </cell>
          <cell r="P771">
            <v>113.59378799999999</v>
          </cell>
          <cell r="Q771">
            <v>0</v>
          </cell>
          <cell r="R771">
            <v>145499.26620459999</v>
          </cell>
          <cell r="S771">
            <v>8.4503053969027047</v>
          </cell>
          <cell r="T771">
            <v>0.23558799999999999</v>
          </cell>
          <cell r="U771">
            <v>3.4079575927305102E-3</v>
          </cell>
          <cell r="V771">
            <v>0.03</v>
          </cell>
          <cell r="W771">
            <v>0.28848000000000001</v>
          </cell>
          <cell r="X771">
            <v>12.37857</v>
          </cell>
          <cell r="Y771">
            <v>10.78</v>
          </cell>
          <cell r="Z771">
            <v>0</v>
          </cell>
          <cell r="AA771">
            <v>0</v>
          </cell>
          <cell r="AB771">
            <v>0</v>
          </cell>
          <cell r="AC771">
            <v>0.19991674854947089</v>
          </cell>
          <cell r="AD771">
            <v>6.8385120077474812E-2</v>
          </cell>
          <cell r="AE771">
            <v>0.31700003000000004</v>
          </cell>
          <cell r="AF771">
            <v>13.671785403812009</v>
          </cell>
          <cell r="AG771">
            <v>8.4113581856937891</v>
          </cell>
          <cell r="AH771">
            <v>202505</v>
          </cell>
          <cell r="AJ771" t="str">
            <v>ACG:Prod'n deferred due to sand issue in west chirag.
BC-10:Prod'n deferred due to ALM 1  train C is offline.
LZC:Prod'n deferred due to heavy lifting operations on the rig.</v>
          </cell>
        </row>
        <row r="772">
          <cell r="C772">
            <v>45780</v>
          </cell>
          <cell r="D772">
            <v>314110</v>
          </cell>
          <cell r="E772">
            <v>25145</v>
          </cell>
          <cell r="F772">
            <v>24950</v>
          </cell>
          <cell r="G772">
            <v>4753</v>
          </cell>
          <cell r="H772">
            <v>2150</v>
          </cell>
          <cell r="I772">
            <v>144410</v>
          </cell>
          <cell r="J772">
            <v>167151</v>
          </cell>
          <cell r="K772">
            <v>52010.06</v>
          </cell>
          <cell r="L772">
            <v>12716</v>
          </cell>
          <cell r="M772">
            <v>403486</v>
          </cell>
          <cell r="N772">
            <v>7341</v>
          </cell>
          <cell r="O772">
            <v>3992</v>
          </cell>
          <cell r="P772">
            <v>160.01251199999999</v>
          </cell>
          <cell r="Q772">
            <v>0</v>
          </cell>
          <cell r="R772">
            <v>144995.63313040001</v>
          </cell>
          <cell r="S772">
            <v>8.5890578144512038</v>
          </cell>
          <cell r="T772">
            <v>0.24574399999999999</v>
          </cell>
          <cell r="U772">
            <v>3.4079575927305102E-3</v>
          </cell>
          <cell r="V772">
            <v>2.9000000000000001E-2</v>
          </cell>
          <cell r="W772">
            <v>0.28583999999999998</v>
          </cell>
          <cell r="X772">
            <v>12.37857</v>
          </cell>
          <cell r="Y772">
            <v>10.87</v>
          </cell>
          <cell r="Z772">
            <v>0</v>
          </cell>
          <cell r="AA772">
            <v>0</v>
          </cell>
          <cell r="AB772">
            <v>0</v>
          </cell>
          <cell r="AC772">
            <v>0.19312071177158521</v>
          </cell>
          <cell r="AD772">
            <v>5.6860174374976986E-2</v>
          </cell>
          <cell r="AE772">
            <v>0.32190003</v>
          </cell>
          <cell r="AF772">
            <v>13.671105800134221</v>
          </cell>
          <cell r="AG772">
            <v>8.4351507389552918</v>
          </cell>
          <cell r="AH772">
            <v>202505</v>
          </cell>
          <cell r="AJ772" t="str">
            <v xml:space="preserve">ACG:Prod'n deferred due to sand issue in west chirag.
BC-10:Prod'n deferred due to ALM 1  train C is offline.
LZC:Prod'n deferred due to heavy lifting operations on the rig.
MECL:Prod'n deferred due to internal electric failure in north circuit. </v>
          </cell>
        </row>
        <row r="773">
          <cell r="C773">
            <v>45781</v>
          </cell>
          <cell r="D773">
            <v>298952</v>
          </cell>
          <cell r="E773">
            <v>27403</v>
          </cell>
          <cell r="F773">
            <v>24941</v>
          </cell>
          <cell r="G773">
            <v>5030</v>
          </cell>
          <cell r="H773">
            <v>2207</v>
          </cell>
          <cell r="I773">
            <v>144410</v>
          </cell>
          <cell r="J773">
            <v>167355</v>
          </cell>
          <cell r="K773">
            <v>51667.94</v>
          </cell>
          <cell r="L773">
            <v>8209</v>
          </cell>
          <cell r="M773">
            <v>374073</v>
          </cell>
          <cell r="N773">
            <v>7339</v>
          </cell>
          <cell r="O773">
            <v>4553</v>
          </cell>
          <cell r="P773">
            <v>119.50619999999999</v>
          </cell>
          <cell r="Q773">
            <v>0</v>
          </cell>
          <cell r="R773">
            <v>143260.75004000001</v>
          </cell>
          <cell r="S773">
            <v>9.0146596176663003</v>
          </cell>
          <cell r="T773">
            <v>0.25239800000000001</v>
          </cell>
          <cell r="U773">
            <v>3.4079575927305102E-3</v>
          </cell>
          <cell r="V773">
            <v>0.03</v>
          </cell>
          <cell r="W773">
            <v>0.28625</v>
          </cell>
          <cell r="X773">
            <v>12.37857</v>
          </cell>
          <cell r="Y773">
            <v>10.75</v>
          </cell>
          <cell r="Z773">
            <v>0</v>
          </cell>
          <cell r="AA773">
            <v>0</v>
          </cell>
          <cell r="AB773">
            <v>0</v>
          </cell>
          <cell r="AC773">
            <v>0.18632467499369951</v>
          </cell>
          <cell r="AD773">
            <v>5.9040569507881981E-2</v>
          </cell>
          <cell r="AE773">
            <v>0.32600003000000005</v>
          </cell>
          <cell r="AF773">
            <v>13.671983621551364</v>
          </cell>
          <cell r="AG773">
            <v>8.4212249953478437</v>
          </cell>
          <cell r="AH773">
            <v>202505</v>
          </cell>
          <cell r="AJ773" t="str">
            <v>ACG:Prod'n deferred due to sand issue in west chirag.
LZC:Prod'n deferred due to barge movement.
MECL:Prod'n deferred due to internal electric failure in north circuit.
SPOC:Prod'n deferred due to water draining.</v>
          </cell>
        </row>
        <row r="774">
          <cell r="C774">
            <v>45782</v>
          </cell>
          <cell r="D774">
            <v>309477</v>
          </cell>
          <cell r="E774">
            <v>24541</v>
          </cell>
          <cell r="F774">
            <v>24932</v>
          </cell>
          <cell r="G774">
            <v>5017</v>
          </cell>
          <cell r="H774">
            <v>2210</v>
          </cell>
          <cell r="I774">
            <v>144410</v>
          </cell>
          <cell r="J774">
            <v>167758</v>
          </cell>
          <cell r="K774">
            <v>52249.42</v>
          </cell>
          <cell r="L774">
            <v>9834</v>
          </cell>
          <cell r="M774">
            <v>382723</v>
          </cell>
          <cell r="N774">
            <v>7355</v>
          </cell>
          <cell r="O774">
            <v>4014.0000000000005</v>
          </cell>
          <cell r="P774">
            <v>137.87241600000002</v>
          </cell>
          <cell r="Q774">
            <v>0</v>
          </cell>
          <cell r="R774">
            <v>143568.6723372</v>
          </cell>
          <cell r="S774">
            <v>7.7653215233316439</v>
          </cell>
          <cell r="T774">
            <v>0.29552299999999998</v>
          </cell>
          <cell r="U774">
            <v>3.4079575927305102E-3</v>
          </cell>
          <cell r="V774">
            <v>2.9000000000000001E-2</v>
          </cell>
          <cell r="W774">
            <v>0.28482000000000002</v>
          </cell>
          <cell r="X774">
            <v>12.37857</v>
          </cell>
          <cell r="Y774">
            <v>10.75</v>
          </cell>
          <cell r="Z774">
            <v>0</v>
          </cell>
          <cell r="AA774">
            <v>0</v>
          </cell>
          <cell r="AB774">
            <v>0</v>
          </cell>
          <cell r="AC774">
            <v>0.19368704816974233</v>
          </cell>
          <cell r="AD774">
            <v>6.6431259503832676E-2</v>
          </cell>
          <cell r="AE774">
            <v>0.32250003000000005</v>
          </cell>
          <cell r="AF774">
            <v>13.672181839290721</v>
          </cell>
          <cell r="AG774">
            <v>8.3966204401519899</v>
          </cell>
          <cell r="AH774">
            <v>202505</v>
          </cell>
          <cell r="AJ774" t="str">
            <v>Sakhalin-1:New prod'n data received from the operator.
ACG:Prod'n deferred due to the planned shutdown on May 1st. All wells (K-01, K-02, K-03) are currently online.
LZC:Prod'n deferred due to barge movement.
BC-10:Prod'n is being ramped up as ALM-1 train C is online.</v>
          </cell>
        </row>
        <row r="775">
          <cell r="C775">
            <v>45783</v>
          </cell>
          <cell r="D775">
            <v>306026</v>
          </cell>
          <cell r="E775">
            <v>24352</v>
          </cell>
          <cell r="F775">
            <v>24848</v>
          </cell>
          <cell r="G775">
            <v>4929</v>
          </cell>
          <cell r="H775">
            <v>2232</v>
          </cell>
          <cell r="I775">
            <v>144410</v>
          </cell>
          <cell r="J775">
            <v>161956</v>
          </cell>
          <cell r="K775">
            <v>53809.34</v>
          </cell>
          <cell r="L775">
            <v>10820</v>
          </cell>
          <cell r="M775">
            <v>389809</v>
          </cell>
          <cell r="N775">
            <v>7450</v>
          </cell>
          <cell r="O775">
            <v>4605</v>
          </cell>
          <cell r="P775">
            <v>94.850183999999999</v>
          </cell>
          <cell r="Q775">
            <v>0</v>
          </cell>
          <cell r="R775">
            <v>142966.16308279999</v>
          </cell>
          <cell r="S775">
            <v>7.8426264416800908</v>
          </cell>
          <cell r="T775">
            <v>0.39954299999999998</v>
          </cell>
          <cell r="U775">
            <v>3.4079575927305102E-3</v>
          </cell>
          <cell r="V775">
            <v>2.9000000000000001E-2</v>
          </cell>
          <cell r="W775">
            <v>0.27344999999999997</v>
          </cell>
          <cell r="X775">
            <v>12.37857</v>
          </cell>
          <cell r="Y775">
            <v>10.54</v>
          </cell>
          <cell r="Z775">
            <v>0</v>
          </cell>
          <cell r="AA775">
            <v>0</v>
          </cell>
          <cell r="AB775">
            <v>0</v>
          </cell>
          <cell r="AC775">
            <v>0.19028902978079948</v>
          </cell>
          <cell r="AD775">
            <v>7.0367297471024812E-2</v>
          </cell>
          <cell r="AE775">
            <v>0.31960003000000003</v>
          </cell>
          <cell r="AF775">
            <v>13.671842037451825</v>
          </cell>
          <cell r="AG775">
            <v>8.3608348758651623</v>
          </cell>
          <cell r="AH775">
            <v>202505</v>
          </cell>
          <cell r="AJ775" t="str">
            <v xml:space="preserve">ACG:Prod'n deferred due to shut down of Chirag Platform to attend leakage from LP separator.
Vankor:Prod'n deferred due to repair of critical sections of oil-gathering pipelines.
</v>
          </cell>
        </row>
        <row r="776">
          <cell r="C776">
            <v>45784</v>
          </cell>
          <cell r="D776">
            <v>278395</v>
          </cell>
          <cell r="E776">
            <v>28006</v>
          </cell>
          <cell r="F776">
            <v>24882.79</v>
          </cell>
          <cell r="G776">
            <v>4664</v>
          </cell>
          <cell r="H776">
            <v>2205</v>
          </cell>
          <cell r="I776">
            <v>144410</v>
          </cell>
          <cell r="J776">
            <v>166482</v>
          </cell>
          <cell r="K776">
            <v>51781.5</v>
          </cell>
          <cell r="L776">
            <v>14208</v>
          </cell>
          <cell r="M776">
            <v>432770</v>
          </cell>
          <cell r="N776">
            <v>7479</v>
          </cell>
          <cell r="O776">
            <v>4345</v>
          </cell>
          <cell r="P776">
            <v>166.17651599999999</v>
          </cell>
          <cell r="Q776">
            <v>0</v>
          </cell>
          <cell r="R776">
            <v>146146.2711822</v>
          </cell>
          <cell r="S776">
            <v>8.9951210119298786</v>
          </cell>
          <cell r="T776">
            <v>0.47684100000000001</v>
          </cell>
          <cell r="U776">
            <v>3.4079575927305102E-3</v>
          </cell>
          <cell r="V776">
            <v>2.7E-2</v>
          </cell>
          <cell r="W776">
            <v>0.27467999999999998</v>
          </cell>
          <cell r="X776">
            <v>12.37857</v>
          </cell>
          <cell r="Y776">
            <v>10.73</v>
          </cell>
          <cell r="Z776">
            <v>0</v>
          </cell>
          <cell r="AA776">
            <v>0</v>
          </cell>
          <cell r="AB776">
            <v>0</v>
          </cell>
          <cell r="AC776">
            <v>0.18915635698448519</v>
          </cell>
          <cell r="AD776">
            <v>8.0306501258682633E-2</v>
          </cell>
          <cell r="AE776">
            <v>0.32990003000000001</v>
          </cell>
          <cell r="AF776">
            <v>13.671955304731457</v>
          </cell>
          <cell r="AG776">
            <v>8.4735511449899743</v>
          </cell>
          <cell r="AH776">
            <v>202505</v>
          </cell>
          <cell r="AJ776" t="str">
            <v xml:space="preserve">ACG:Prod'n deferred due to shut down of Chirag Platform to attend leakage from LP separator.
Vankor:Prod'n deferred due to repair of oil-gathering pipelines.
</v>
          </cell>
        </row>
        <row r="777">
          <cell r="C777">
            <v>45785</v>
          </cell>
          <cell r="D777">
            <v>342796</v>
          </cell>
          <cell r="E777">
            <v>30101</v>
          </cell>
          <cell r="F777">
            <v>24853</v>
          </cell>
          <cell r="G777">
            <v>4440</v>
          </cell>
          <cell r="H777">
            <v>2200</v>
          </cell>
          <cell r="I777">
            <v>144410</v>
          </cell>
          <cell r="J777">
            <v>166498</v>
          </cell>
          <cell r="K777">
            <v>53520.19</v>
          </cell>
          <cell r="L777">
            <v>8150</v>
          </cell>
          <cell r="M777">
            <v>429679</v>
          </cell>
          <cell r="N777">
            <v>7433</v>
          </cell>
          <cell r="O777">
            <v>4740</v>
          </cell>
          <cell r="P777">
            <v>147.43291199999999</v>
          </cell>
          <cell r="Q777">
            <v>0</v>
          </cell>
          <cell r="R777">
            <v>147456.00281040001</v>
          </cell>
          <cell r="S777">
            <v>8.6573013504291421</v>
          </cell>
          <cell r="T777">
            <v>0.51268899999999995</v>
          </cell>
          <cell r="U777">
            <v>3.4079575927305102E-3</v>
          </cell>
          <cell r="V777">
            <v>2.4E-2</v>
          </cell>
          <cell r="W777">
            <v>0.28805000000000003</v>
          </cell>
          <cell r="X777">
            <v>12.37857</v>
          </cell>
          <cell r="Y777">
            <v>10.77</v>
          </cell>
          <cell r="Z777">
            <v>0</v>
          </cell>
          <cell r="AA777">
            <v>0</v>
          </cell>
          <cell r="AB777">
            <v>0</v>
          </cell>
          <cell r="AC777">
            <v>0.18575833859554233</v>
          </cell>
          <cell r="AD777">
            <v>8.5035410183294774E-2</v>
          </cell>
          <cell r="AE777">
            <v>0.32620003000000003</v>
          </cell>
          <cell r="AF777">
            <v>13.673371145726849</v>
          </cell>
          <cell r="AG777">
            <v>8.4957123544073561</v>
          </cell>
          <cell r="AH777">
            <v>202505</v>
          </cell>
          <cell r="AJ777" t="str">
            <v>ACG:Prod'n deferred due to shut down of Chirag Platform to attend leakage from LP separator.
Vankor:Prod'n deferred due to repair of oil-gathering pipelines.
SPOC:Prod'n deferred due to water draining.</v>
          </cell>
        </row>
        <row r="778">
          <cell r="C778">
            <v>45786</v>
          </cell>
          <cell r="D778">
            <v>348703</v>
          </cell>
          <cell r="E778">
            <v>30862</v>
          </cell>
          <cell r="F778">
            <v>24835.23</v>
          </cell>
          <cell r="G778">
            <v>4552</v>
          </cell>
          <cell r="H778">
            <v>2205</v>
          </cell>
          <cell r="I778">
            <v>138080</v>
          </cell>
          <cell r="J778">
            <v>168586</v>
          </cell>
          <cell r="K778">
            <v>54210.74</v>
          </cell>
          <cell r="L778">
            <v>10150</v>
          </cell>
          <cell r="M778">
            <v>424680</v>
          </cell>
          <cell r="N778">
            <v>7428</v>
          </cell>
          <cell r="O778">
            <v>3845</v>
          </cell>
          <cell r="P778">
            <v>106.73790599999998</v>
          </cell>
          <cell r="Q778">
            <v>0</v>
          </cell>
          <cell r="R778">
            <v>147238.00830769999</v>
          </cell>
          <cell r="S778">
            <v>12.657335330613027</v>
          </cell>
          <cell r="T778">
            <v>0.52195800000000003</v>
          </cell>
          <cell r="U778">
            <v>3.4079575927305102E-3</v>
          </cell>
          <cell r="V778">
            <v>2.5999999999999999E-2</v>
          </cell>
          <cell r="W778">
            <v>0.28673999999999999</v>
          </cell>
          <cell r="X778">
            <v>12.37857</v>
          </cell>
          <cell r="Y778">
            <v>10.66</v>
          </cell>
          <cell r="Z778">
            <v>0</v>
          </cell>
          <cell r="AA778">
            <v>0</v>
          </cell>
          <cell r="AB778">
            <v>0</v>
          </cell>
          <cell r="AC778">
            <v>0.18972269338264236</v>
          </cell>
          <cell r="AD778">
            <v>6.0116608664380559E-2</v>
          </cell>
          <cell r="AE778">
            <v>0.32770003000000003</v>
          </cell>
          <cell r="AF778">
            <v>13.587061478647701</v>
          </cell>
          <cell r="AG778">
            <v>8.5627768933432939</v>
          </cell>
          <cell r="AH778">
            <v>202505</v>
          </cell>
        </row>
        <row r="779">
          <cell r="C779">
            <v>45787</v>
          </cell>
          <cell r="D779">
            <v>349261</v>
          </cell>
          <cell r="E779">
            <v>31283</v>
          </cell>
          <cell r="F779">
            <v>24794.6</v>
          </cell>
          <cell r="G779">
            <v>4593</v>
          </cell>
          <cell r="H779">
            <v>2193</v>
          </cell>
          <cell r="I779">
            <v>138080</v>
          </cell>
          <cell r="J779">
            <v>169697</v>
          </cell>
          <cell r="K779">
            <v>54974.34</v>
          </cell>
          <cell r="L779">
            <v>12087</v>
          </cell>
          <cell r="M779">
            <v>424539</v>
          </cell>
          <cell r="N779">
            <v>7408</v>
          </cell>
          <cell r="O779">
            <v>4512</v>
          </cell>
          <cell r="P779">
            <v>146.55233999999999</v>
          </cell>
          <cell r="Q779">
            <v>0</v>
          </cell>
          <cell r="R779">
            <v>148571.996553</v>
          </cell>
          <cell r="S779">
            <v>12.536139341407402</v>
          </cell>
          <cell r="T779">
            <v>0.52503599999999995</v>
          </cell>
          <cell r="U779">
            <v>3.4079575927305102E-3</v>
          </cell>
          <cell r="V779">
            <v>2.4E-2</v>
          </cell>
          <cell r="W779">
            <v>0.28669</v>
          </cell>
          <cell r="X779">
            <v>12.37857</v>
          </cell>
          <cell r="Y779">
            <v>10.66</v>
          </cell>
          <cell r="Z779">
            <v>0</v>
          </cell>
          <cell r="AA779">
            <v>0</v>
          </cell>
          <cell r="AB779">
            <v>0</v>
          </cell>
          <cell r="AC779">
            <v>0.19198803897527092</v>
          </cell>
          <cell r="AD779">
            <v>8.6111449339793339E-2</v>
          </cell>
          <cell r="AE779">
            <v>0.32410003000000004</v>
          </cell>
          <cell r="AF779">
            <v>13.586268607690281</v>
          </cell>
          <cell r="AG779">
            <v>8.5679053068816238</v>
          </cell>
          <cell r="AH779">
            <v>202505</v>
          </cell>
        </row>
        <row r="780">
          <cell r="C780">
            <v>45788</v>
          </cell>
          <cell r="D780">
            <v>334749</v>
          </cell>
          <cell r="E780">
            <v>31478</v>
          </cell>
          <cell r="F780">
            <v>24784</v>
          </cell>
          <cell r="G780">
            <v>4654</v>
          </cell>
          <cell r="H780">
            <v>2209</v>
          </cell>
          <cell r="I780">
            <v>138080</v>
          </cell>
          <cell r="J780">
            <v>170453</v>
          </cell>
          <cell r="K780">
            <v>54085.9</v>
          </cell>
          <cell r="L780">
            <v>4171</v>
          </cell>
          <cell r="M780">
            <v>437168</v>
          </cell>
          <cell r="N780">
            <v>7424</v>
          </cell>
          <cell r="O780">
            <v>4291</v>
          </cell>
          <cell r="P780">
            <v>153.28242599999999</v>
          </cell>
          <cell r="Q780">
            <v>0</v>
          </cell>
          <cell r="R780">
            <v>146725.51409170002</v>
          </cell>
          <cell r="S780">
            <v>12.77485013323064</v>
          </cell>
          <cell r="T780">
            <v>0.52720400000000001</v>
          </cell>
          <cell r="U780">
            <v>3.4079575927305102E-3</v>
          </cell>
          <cell r="V780">
            <v>2.5000000000000001E-2</v>
          </cell>
          <cell r="W780">
            <v>0.28610000000000002</v>
          </cell>
          <cell r="X780">
            <v>12.37857</v>
          </cell>
          <cell r="Y780">
            <v>10.7</v>
          </cell>
          <cell r="Z780">
            <v>0</v>
          </cell>
          <cell r="AA780">
            <v>0</v>
          </cell>
          <cell r="AB780">
            <v>0</v>
          </cell>
          <cell r="AC780">
            <v>0.1996335803503923</v>
          </cell>
          <cell r="AD780">
            <v>8.9481150908828327E-2</v>
          </cell>
          <cell r="AE780">
            <v>0.32370003000000003</v>
          </cell>
          <cell r="AF780">
            <v>13.592271773510747</v>
          </cell>
          <cell r="AG780">
            <v>8.5888123859108099</v>
          </cell>
          <cell r="AH780">
            <v>202505</v>
          </cell>
          <cell r="AJ780" t="str">
            <v>SPOC:Prod'n deferred due to shutdown of all Tharjiath wells for transmission line changeover.</v>
          </cell>
        </row>
        <row r="781">
          <cell r="C781">
            <v>45789</v>
          </cell>
          <cell r="D781">
            <v>331548</v>
          </cell>
          <cell r="E781">
            <v>32176</v>
          </cell>
          <cell r="F781">
            <v>24752</v>
          </cell>
          <cell r="G781">
            <v>4752</v>
          </cell>
          <cell r="H781">
            <v>2071</v>
          </cell>
          <cell r="I781">
            <v>138080</v>
          </cell>
          <cell r="J781">
            <v>170893</v>
          </cell>
          <cell r="K781">
            <v>51571.79</v>
          </cell>
          <cell r="L781">
            <v>1649</v>
          </cell>
          <cell r="M781">
            <v>423465</v>
          </cell>
          <cell r="N781">
            <v>7412</v>
          </cell>
          <cell r="O781">
            <v>5215</v>
          </cell>
          <cell r="P781">
            <v>102.58663799999998</v>
          </cell>
          <cell r="Q781">
            <v>0</v>
          </cell>
          <cell r="R781">
            <v>145383.7317371</v>
          </cell>
          <cell r="S781">
            <v>9.0194734770506315</v>
          </cell>
          <cell r="T781">
            <v>0.52925900000000003</v>
          </cell>
          <cell r="U781">
            <v>3.4079575927305102E-3</v>
          </cell>
          <cell r="V781">
            <v>2.8000000000000001E-2</v>
          </cell>
          <cell r="W781">
            <v>0.23400000000000001</v>
          </cell>
          <cell r="X781">
            <v>12.37857</v>
          </cell>
          <cell r="Y781">
            <v>10.68</v>
          </cell>
          <cell r="Z781">
            <v>0</v>
          </cell>
          <cell r="AA781">
            <v>0</v>
          </cell>
          <cell r="AB781">
            <v>0</v>
          </cell>
          <cell r="AC781">
            <v>0.20048308494762804</v>
          </cell>
          <cell r="AD781">
            <v>8.2118777732785489E-2</v>
          </cell>
          <cell r="AE781">
            <v>0.32090003</v>
          </cell>
          <cell r="AF781">
            <v>13.965685677635658</v>
          </cell>
          <cell r="AG781">
            <v>8.4830913286540568</v>
          </cell>
          <cell r="AH781">
            <v>202505</v>
          </cell>
          <cell r="AJ781" t="str">
            <v>SPOC:Prod'n deferred due to shutdown of all Tharjiath wells for transmission line changeover.
IEC:Prod'n deferred due to repair of oil-gathering line in Snezhnoye well-503.</v>
          </cell>
        </row>
        <row r="782">
          <cell r="C782">
            <v>45790</v>
          </cell>
          <cell r="D782">
            <v>326128</v>
          </cell>
          <cell r="E782">
            <v>28723</v>
          </cell>
          <cell r="F782">
            <v>24763.56</v>
          </cell>
          <cell r="G782">
            <v>4571</v>
          </cell>
          <cell r="H782">
            <v>2218</v>
          </cell>
          <cell r="I782">
            <v>138080</v>
          </cell>
          <cell r="J782">
            <v>170686</v>
          </cell>
          <cell r="K782">
            <v>52657.18</v>
          </cell>
          <cell r="L782">
            <v>10440</v>
          </cell>
          <cell r="M782">
            <v>405519</v>
          </cell>
          <cell r="N782">
            <v>7247</v>
          </cell>
          <cell r="O782">
            <v>3866</v>
          </cell>
          <cell r="P782">
            <v>145.79756399999999</v>
          </cell>
          <cell r="Q782">
            <v>0</v>
          </cell>
          <cell r="R782">
            <v>145439.6899038</v>
          </cell>
          <cell r="S782">
            <v>8.8926141238634315</v>
          </cell>
          <cell r="T782">
            <v>0.30668499999999999</v>
          </cell>
          <cell r="U782">
            <v>3.4079575927305102E-3</v>
          </cell>
          <cell r="V782">
            <v>2.5999999999999999E-2</v>
          </cell>
          <cell r="W782">
            <v>0.30680000000000002</v>
          </cell>
          <cell r="X782">
            <v>12.37857</v>
          </cell>
          <cell r="Y782">
            <v>10.75</v>
          </cell>
          <cell r="Z782">
            <v>0</v>
          </cell>
          <cell r="AA782">
            <v>0</v>
          </cell>
          <cell r="AB782">
            <v>0</v>
          </cell>
          <cell r="AC782">
            <v>0.19085536617895663</v>
          </cell>
          <cell r="AD782">
            <v>7.0961950689089809E-2</v>
          </cell>
          <cell r="AE782">
            <v>0.31300003000000004</v>
          </cell>
          <cell r="AF782">
            <v>13.954217365572976</v>
          </cell>
          <cell r="AG782">
            <v>8.4982593196406437</v>
          </cell>
          <cell r="AH782">
            <v>202505</v>
          </cell>
        </row>
        <row r="783">
          <cell r="C783">
            <v>45791</v>
          </cell>
          <cell r="D783">
            <v>332903</v>
          </cell>
          <cell r="E783">
            <v>29912</v>
          </cell>
          <cell r="F783">
            <v>24783.18</v>
          </cell>
          <cell r="G783">
            <v>4589</v>
          </cell>
          <cell r="H783">
            <v>2298</v>
          </cell>
          <cell r="I783">
            <v>138080</v>
          </cell>
          <cell r="J783">
            <v>162629</v>
          </cell>
          <cell r="K783">
            <v>54138.32</v>
          </cell>
          <cell r="L783">
            <v>14104</v>
          </cell>
          <cell r="M783">
            <v>416904</v>
          </cell>
          <cell r="N783">
            <v>7528</v>
          </cell>
          <cell r="O783">
            <v>4971</v>
          </cell>
          <cell r="P783">
            <v>115.48072799999998</v>
          </cell>
          <cell r="R783">
            <v>146135.69507759999</v>
          </cell>
          <cell r="S783">
            <v>8.8776062093122654</v>
          </cell>
          <cell r="T783">
            <v>0.26796799999999998</v>
          </cell>
          <cell r="U783">
            <v>3.4079575927305102E-3</v>
          </cell>
          <cell r="V783">
            <v>2.5000000000000001E-2</v>
          </cell>
          <cell r="W783">
            <v>0.31933</v>
          </cell>
          <cell r="X783">
            <v>12.37857</v>
          </cell>
          <cell r="Y783">
            <v>10.64</v>
          </cell>
          <cell r="Z783">
            <v>0</v>
          </cell>
          <cell r="AA783">
            <v>0</v>
          </cell>
          <cell r="AB783">
            <v>0</v>
          </cell>
          <cell r="AC783">
            <v>0.19453655276697804</v>
          </cell>
          <cell r="AD783">
            <v>7.4275018618309097E-2</v>
          </cell>
          <cell r="AE783">
            <v>0.31490003000000005</v>
          </cell>
          <cell r="AF783">
            <v>14.098038493884982</v>
          </cell>
          <cell r="AG783">
            <v>8.4978314976494342</v>
          </cell>
          <cell r="AH783">
            <v>202505</v>
          </cell>
          <cell r="AJ783" t="str">
            <v>Sakhalin-1:New prod'n data received from the operator.</v>
          </cell>
        </row>
        <row r="784">
          <cell r="C784">
            <v>45792</v>
          </cell>
          <cell r="D784">
            <v>332492</v>
          </cell>
          <cell r="E784">
            <v>30107</v>
          </cell>
          <cell r="F784">
            <v>19755</v>
          </cell>
          <cell r="G784">
            <v>4574</v>
          </cell>
          <cell r="H784">
            <v>2298</v>
          </cell>
          <cell r="I784">
            <v>138080</v>
          </cell>
          <cell r="J784">
            <v>167619</v>
          </cell>
          <cell r="K784">
            <v>51896.67</v>
          </cell>
          <cell r="L784">
            <v>14408</v>
          </cell>
          <cell r="M784">
            <v>389318</v>
          </cell>
          <cell r="N784">
            <v>7412</v>
          </cell>
          <cell r="O784">
            <v>5077</v>
          </cell>
          <cell r="P784">
            <v>148.942464</v>
          </cell>
          <cell r="R784">
            <v>142400.68260879998</v>
          </cell>
          <cell r="S784">
            <v>9.2828199021937046</v>
          </cell>
          <cell r="T784">
            <v>0.28900500000000001</v>
          </cell>
          <cell r="U784">
            <v>3.4079575927305102E-3</v>
          </cell>
          <cell r="V784">
            <v>2.7E-2</v>
          </cell>
          <cell r="W784">
            <v>0.31398000000000004</v>
          </cell>
          <cell r="X784">
            <v>12.37857</v>
          </cell>
          <cell r="Y784">
            <v>10.62</v>
          </cell>
          <cell r="Z784">
            <v>0</v>
          </cell>
          <cell r="AA784">
            <v>0</v>
          </cell>
          <cell r="AB784">
            <v>0</v>
          </cell>
          <cell r="AC784">
            <v>0.18943952518356377</v>
          </cell>
          <cell r="AD784">
            <v>5.9748490005578407E-2</v>
          </cell>
          <cell r="AE784">
            <v>0.30970003000000002</v>
          </cell>
          <cell r="AF784">
            <v>14.100303839477609</v>
          </cell>
          <cell r="AG784">
            <v>8.4974878124376936</v>
          </cell>
          <cell r="AH784">
            <v>202505</v>
          </cell>
          <cell r="AJ784" t="str">
            <v>CPO-5:Prod'n deferred due to SAR personnel blockade.
Vankor:Prod'n deferred due to repair of oil-gathering pipelines.
LZC:Prod'n deferred due to planned GG-2 shutdown.</v>
          </cell>
        </row>
        <row r="785">
          <cell r="C785">
            <v>45793</v>
          </cell>
          <cell r="D785">
            <v>332918</v>
          </cell>
          <cell r="E785">
            <v>30321</v>
          </cell>
          <cell r="F785">
            <v>1839.02</v>
          </cell>
          <cell r="G785">
            <v>4645</v>
          </cell>
          <cell r="H785">
            <v>2030</v>
          </cell>
          <cell r="I785">
            <v>137040</v>
          </cell>
          <cell r="J785">
            <v>170752</v>
          </cell>
          <cell r="K785">
            <v>50530.97</v>
          </cell>
          <cell r="L785">
            <v>11969</v>
          </cell>
          <cell r="M785">
            <v>415286</v>
          </cell>
          <cell r="N785">
            <v>7095</v>
          </cell>
          <cell r="O785">
            <v>3922</v>
          </cell>
          <cell r="P785">
            <v>116.424198</v>
          </cell>
          <cell r="R785">
            <v>129901.20013910001</v>
          </cell>
          <cell r="S785">
            <v>10.209063081379703</v>
          </cell>
          <cell r="T785">
            <v>0.29629800000000001</v>
          </cell>
          <cell r="U785">
            <v>3.4079575927305102E-3</v>
          </cell>
          <cell r="V785">
            <v>2.7E-2</v>
          </cell>
          <cell r="W785">
            <v>0.21048</v>
          </cell>
          <cell r="X785">
            <v>12.37857</v>
          </cell>
          <cell r="Y785">
            <v>10.71</v>
          </cell>
          <cell r="Z785">
            <v>0</v>
          </cell>
          <cell r="AA785">
            <v>0</v>
          </cell>
          <cell r="AB785">
            <v>0</v>
          </cell>
          <cell r="AC785">
            <v>0.18009497461397095</v>
          </cell>
          <cell r="AD785">
            <v>8.2826698230481915E-2</v>
          </cell>
          <cell r="AE785">
            <v>0.31420003000000002</v>
          </cell>
          <cell r="AF785">
            <v>14.09871809756277</v>
          </cell>
          <cell r="AG785">
            <v>8.4564083420306684</v>
          </cell>
          <cell r="AH785">
            <v>202505</v>
          </cell>
          <cell r="AJ785" t="str">
            <v>CPO-5:Prod'n deferred due to SAR personnel blockade.
IEC:Prod'n deferred due to planned shutdown of APGTP.</v>
          </cell>
        </row>
        <row r="786">
          <cell r="C786">
            <v>45794</v>
          </cell>
          <cell r="D786">
            <v>331967</v>
          </cell>
          <cell r="E786">
            <v>31038</v>
          </cell>
          <cell r="F786">
            <v>1781.05</v>
          </cell>
          <cell r="G786">
            <v>4820</v>
          </cell>
          <cell r="H786">
            <v>1860</v>
          </cell>
          <cell r="I786">
            <v>137040</v>
          </cell>
          <cell r="J786">
            <v>170792</v>
          </cell>
          <cell r="K786">
            <v>52559.87</v>
          </cell>
          <cell r="L786">
            <v>10700</v>
          </cell>
          <cell r="M786">
            <v>433449</v>
          </cell>
          <cell r="N786">
            <v>7468</v>
          </cell>
          <cell r="O786">
            <v>4586</v>
          </cell>
          <cell r="P786">
            <v>148.18768799999998</v>
          </cell>
          <cell r="R786">
            <v>131202.81670959998</v>
          </cell>
          <cell r="S786">
            <v>9.6628316253571462</v>
          </cell>
          <cell r="T786">
            <v>0.29882799999999998</v>
          </cell>
          <cell r="U786">
            <v>3.4079575927305102E-3</v>
          </cell>
          <cell r="V786">
            <v>2.7E-2</v>
          </cell>
          <cell r="W786">
            <v>9.715E-2</v>
          </cell>
          <cell r="X786">
            <v>12.37857</v>
          </cell>
          <cell r="Y786">
            <v>10.71</v>
          </cell>
          <cell r="Z786">
            <v>0</v>
          </cell>
          <cell r="AA786">
            <v>0</v>
          </cell>
          <cell r="AB786">
            <v>0</v>
          </cell>
          <cell r="AC786">
            <v>0.18462566579922807</v>
          </cell>
          <cell r="AD786">
            <v>5.4198393303638424E-2</v>
          </cell>
          <cell r="AE786">
            <v>0.31370003000000002</v>
          </cell>
          <cell r="AF786">
            <v>14.098689780742863</v>
          </cell>
          <cell r="AG786">
            <v>8.3166014121422656</v>
          </cell>
          <cell r="AH786">
            <v>202505</v>
          </cell>
          <cell r="AJ786" t="str">
            <v>CPO-5:Prod'n deferred due to SAR personnel blockade.
IEC:Prod'n deferred due to planned shutdown of APGTP.</v>
          </cell>
        </row>
        <row r="787">
          <cell r="C787">
            <v>45795</v>
          </cell>
          <cell r="D787">
            <v>331980</v>
          </cell>
          <cell r="E787">
            <v>29434</v>
          </cell>
          <cell r="F787">
            <v>981</v>
          </cell>
          <cell r="G787">
            <v>4814</v>
          </cell>
          <cell r="H787">
            <v>1859</v>
          </cell>
          <cell r="I787">
            <v>137040</v>
          </cell>
          <cell r="J787">
            <v>168945</v>
          </cell>
          <cell r="K787">
            <v>53366.45</v>
          </cell>
          <cell r="L787">
            <v>13460</v>
          </cell>
          <cell r="M787">
            <v>419958</v>
          </cell>
          <cell r="N787">
            <v>7403</v>
          </cell>
          <cell r="O787">
            <v>5056</v>
          </cell>
          <cell r="P787">
            <v>124.72673399999998</v>
          </cell>
          <cell r="R787">
            <v>130224.0095303</v>
          </cell>
          <cell r="S787">
            <v>9.2882000979761958</v>
          </cell>
          <cell r="T787">
            <v>0.25430700000000001</v>
          </cell>
          <cell r="U787">
            <v>3.4079575927305102E-3</v>
          </cell>
          <cell r="V787">
            <v>2.7E-2</v>
          </cell>
          <cell r="W787">
            <v>9.7269999999999995E-2</v>
          </cell>
          <cell r="X787">
            <v>12.37857</v>
          </cell>
          <cell r="Y787">
            <v>10.76</v>
          </cell>
          <cell r="Z787">
            <v>0</v>
          </cell>
          <cell r="AA787">
            <v>0</v>
          </cell>
          <cell r="AB787">
            <v>0</v>
          </cell>
          <cell r="AC787">
            <v>0.18717417959093521</v>
          </cell>
          <cell r="AD787">
            <v>5.4198393303638424E-2</v>
          </cell>
          <cell r="AE787">
            <v>0.30190003000000004</v>
          </cell>
          <cell r="AF787">
            <v>14.099992354458625</v>
          </cell>
          <cell r="AG787">
            <v>8.3019345440151397</v>
          </cell>
          <cell r="AH787">
            <v>202505</v>
          </cell>
          <cell r="AJ787" t="str">
            <v>CPO-5:Prod'n deferred due to SAR personnel blockade.
Vankor:Prod'n deferred due to repair of oil-gathering pipelines.
IEC:Prod'n deferred due to planned shutdown of APGTP.</v>
          </cell>
        </row>
        <row r="788">
          <cell r="C788">
            <v>45796</v>
          </cell>
          <cell r="D788">
            <v>344202</v>
          </cell>
          <cell r="E788">
            <v>31956</v>
          </cell>
          <cell r="F788">
            <v>660.9</v>
          </cell>
          <cell r="G788">
            <v>4720</v>
          </cell>
          <cell r="H788">
            <v>1822</v>
          </cell>
          <cell r="I788">
            <v>137040</v>
          </cell>
          <cell r="J788">
            <v>171370</v>
          </cell>
          <cell r="K788">
            <v>47409.75</v>
          </cell>
          <cell r="L788">
            <v>12766</v>
          </cell>
          <cell r="M788">
            <v>422997</v>
          </cell>
          <cell r="N788">
            <v>7378</v>
          </cell>
          <cell r="O788">
            <v>4125</v>
          </cell>
          <cell r="P788">
            <v>131.14232999999999</v>
          </cell>
          <cell r="R788">
            <v>129677.56754850001</v>
          </cell>
          <cell r="S788">
            <v>8.8846854142892333</v>
          </cell>
          <cell r="T788">
            <v>0.30911300000000003</v>
          </cell>
          <cell r="U788">
            <v>3.4079575927305102E-3</v>
          </cell>
          <cell r="V788">
            <v>2.7E-2</v>
          </cell>
          <cell r="W788">
            <v>9.8080000000000001E-2</v>
          </cell>
          <cell r="X788">
            <v>12.37857</v>
          </cell>
          <cell r="Y788">
            <v>10.61</v>
          </cell>
          <cell r="Z788">
            <v>0</v>
          </cell>
          <cell r="AA788">
            <v>0</v>
          </cell>
          <cell r="AB788">
            <v>0</v>
          </cell>
          <cell r="AC788">
            <v>0.1834929930029138</v>
          </cell>
          <cell r="AD788">
            <v>7.4218384978493368E-2</v>
          </cell>
          <cell r="AE788">
            <v>0.30230003</v>
          </cell>
          <cell r="AF788">
            <v>13.733431120751415</v>
          </cell>
          <cell r="AG788">
            <v>8.2122070159323286</v>
          </cell>
          <cell r="AH788">
            <v>202505</v>
          </cell>
          <cell r="AJ788" t="str">
            <v>CPO-5:Prod'n deferred due to SAR personnel blockade.
IEC:Prod'n deferred due to planned shutdown of APGTP.</v>
          </cell>
        </row>
        <row r="789">
          <cell r="C789">
            <v>45797</v>
          </cell>
          <cell r="D789">
            <v>322828</v>
          </cell>
          <cell r="E789">
            <v>31409</v>
          </cell>
          <cell r="F789">
            <v>306.94</v>
          </cell>
          <cell r="G789">
            <v>4715</v>
          </cell>
          <cell r="H789">
            <v>1978</v>
          </cell>
          <cell r="I789">
            <v>137040</v>
          </cell>
          <cell r="J789">
            <v>170031</v>
          </cell>
          <cell r="K789">
            <v>51513.919999999998</v>
          </cell>
          <cell r="L789">
            <v>10786</v>
          </cell>
          <cell r="M789">
            <v>438817</v>
          </cell>
          <cell r="N789">
            <v>7307</v>
          </cell>
          <cell r="O789">
            <v>4797</v>
          </cell>
          <cell r="P789">
            <v>149.69723999999999</v>
          </cell>
          <cell r="R789">
            <v>129912.78325800002</v>
          </cell>
          <cell r="S789">
            <v>9.1293427382931167</v>
          </cell>
          <cell r="T789">
            <v>0.289906</v>
          </cell>
          <cell r="U789">
            <v>3.4079575927305102E-3</v>
          </cell>
          <cell r="V789">
            <v>2.8000000000000001E-2</v>
          </cell>
          <cell r="W789">
            <v>0.20602999999999999</v>
          </cell>
          <cell r="X789">
            <v>12.37857</v>
          </cell>
          <cell r="Y789">
            <v>10.64</v>
          </cell>
          <cell r="Z789">
            <v>0</v>
          </cell>
          <cell r="AA789">
            <v>0</v>
          </cell>
          <cell r="AB789">
            <v>0</v>
          </cell>
          <cell r="AC789">
            <v>0.18519200219738521</v>
          </cell>
          <cell r="AD789">
            <v>7.4218384978493368E-2</v>
          </cell>
          <cell r="AE789">
            <v>0.30530003000000006</v>
          </cell>
          <cell r="AF789">
            <v>13.804704556459491</v>
          </cell>
          <cell r="AG789">
            <v>8.3440807277412095</v>
          </cell>
          <cell r="AH789">
            <v>202505</v>
          </cell>
          <cell r="AJ789" t="str">
            <v>CPO-5:Prod'n deferred due to SAR personnel blockade.
IEC:Prod'n deferred due to planned shutdown of APGTP.
GPOC:Prod'n deferred due to all flowing wells in running through west feeder in Unity were down and leakage reported in the Unity export line.</v>
          </cell>
        </row>
        <row r="790">
          <cell r="C790">
            <v>45798</v>
          </cell>
          <cell r="D790">
            <v>316456</v>
          </cell>
          <cell r="E790">
            <v>25893</v>
          </cell>
          <cell r="F790">
            <v>613.45000000000005</v>
          </cell>
          <cell r="G790">
            <v>4865</v>
          </cell>
          <cell r="H790">
            <v>2292</v>
          </cell>
          <cell r="I790">
            <v>137040</v>
          </cell>
          <cell r="J790">
            <v>171039</v>
          </cell>
          <cell r="K790">
            <v>51426.51</v>
          </cell>
          <cell r="L790">
            <v>13714</v>
          </cell>
          <cell r="M790">
            <v>417692</v>
          </cell>
          <cell r="N790">
            <v>7198</v>
          </cell>
          <cell r="O790">
            <v>4861</v>
          </cell>
          <cell r="P790">
            <v>115.48072799999998</v>
          </cell>
          <cell r="R790">
            <v>128940.45932759999</v>
          </cell>
          <cell r="S790">
            <v>8.9416022223040219</v>
          </cell>
          <cell r="T790">
            <v>0.26177699999999998</v>
          </cell>
          <cell r="U790">
            <v>3.4079575927305102E-3</v>
          </cell>
          <cell r="V790">
            <v>2.5000000000000001E-2</v>
          </cell>
          <cell r="W790">
            <v>0.25763999999999998</v>
          </cell>
          <cell r="X790">
            <v>12.37857</v>
          </cell>
          <cell r="Y790">
            <v>10.67</v>
          </cell>
          <cell r="Z790">
            <v>0</v>
          </cell>
          <cell r="AA790">
            <v>0</v>
          </cell>
          <cell r="AB790">
            <v>0</v>
          </cell>
          <cell r="AC790">
            <v>0.18547517039646377</v>
          </cell>
          <cell r="AD790">
            <v>6.8838189196000529E-2</v>
          </cell>
          <cell r="AE790">
            <v>0.30670003000000001</v>
          </cell>
          <cell r="AF790">
            <v>13.58522088535369</v>
          </cell>
          <cell r="AG790">
            <v>8.3501013337494427</v>
          </cell>
          <cell r="AH790">
            <v>202505</v>
          </cell>
          <cell r="AJ790" t="str">
            <v>Sakhalin-1:New prod'n data received from the operator.
CPO-5:Prod'n deferred due to SAR personnel blockade.
ACG:Prod'n deferred due to sand issue in west chirag.</v>
          </cell>
        </row>
        <row r="791">
          <cell r="C791">
            <v>45799</v>
          </cell>
          <cell r="D791">
            <v>300935</v>
          </cell>
          <cell r="E791">
            <v>29082</v>
          </cell>
          <cell r="F791">
            <v>14447.71</v>
          </cell>
          <cell r="G791">
            <v>4859</v>
          </cell>
          <cell r="H791">
            <v>2107</v>
          </cell>
          <cell r="I791">
            <v>137040</v>
          </cell>
          <cell r="J791">
            <v>171404</v>
          </cell>
          <cell r="K791">
            <v>51131.42</v>
          </cell>
          <cell r="L791">
            <v>8244</v>
          </cell>
          <cell r="M791">
            <v>406756</v>
          </cell>
          <cell r="N791">
            <v>7260</v>
          </cell>
          <cell r="O791">
            <v>4357</v>
          </cell>
          <cell r="P791">
            <v>123.40587599999999</v>
          </cell>
          <cell r="R791">
            <v>136916.31839419997</v>
          </cell>
          <cell r="S791">
            <v>8.9500972682763837</v>
          </cell>
          <cell r="T791">
            <v>0.26620300000000002</v>
          </cell>
          <cell r="U791">
            <v>3.4079575927305102E-3</v>
          </cell>
          <cell r="V791">
            <v>2.7E-2</v>
          </cell>
          <cell r="W791">
            <v>0.24434999999999998</v>
          </cell>
          <cell r="X791">
            <v>12.37857</v>
          </cell>
          <cell r="Y791">
            <v>10.77</v>
          </cell>
          <cell r="Z791">
            <v>0</v>
          </cell>
          <cell r="AA791">
            <v>0</v>
          </cell>
          <cell r="AB791">
            <v>0</v>
          </cell>
          <cell r="AC791">
            <v>0.18915635698448519</v>
          </cell>
          <cell r="AD791">
            <v>7.4699770916926936E-2</v>
          </cell>
          <cell r="AE791">
            <v>0.30570003000000001</v>
          </cell>
          <cell r="AF791">
            <v>14.058394946013983</v>
          </cell>
          <cell r="AG791">
            <v>8.4479939873694363</v>
          </cell>
          <cell r="AH791">
            <v>202505</v>
          </cell>
          <cell r="AJ791" t="str">
            <v>CPO-5:Prod'n deferred due to SAR personnel blockade.
ACG:Prod'n deferred due to sand issue in west chirag.
SPOC:All TJ wells shutdown due to power dip.</v>
          </cell>
        </row>
        <row r="792">
          <cell r="C792">
            <v>45800</v>
          </cell>
          <cell r="D792">
            <v>313038</v>
          </cell>
          <cell r="E792">
            <v>23755</v>
          </cell>
          <cell r="F792">
            <v>25244.02</v>
          </cell>
          <cell r="G792">
            <v>4878</v>
          </cell>
          <cell r="H792">
            <v>2200</v>
          </cell>
          <cell r="I792">
            <v>131380</v>
          </cell>
          <cell r="J792">
            <v>174079</v>
          </cell>
          <cell r="K792">
            <v>48167.87</v>
          </cell>
          <cell r="L792">
            <v>8556</v>
          </cell>
          <cell r="M792">
            <v>364418</v>
          </cell>
          <cell r="N792">
            <v>7155</v>
          </cell>
          <cell r="O792">
            <v>4715</v>
          </cell>
          <cell r="P792">
            <v>153.59691599999999</v>
          </cell>
          <cell r="R792">
            <v>140841.55661219996</v>
          </cell>
          <cell r="S792">
            <v>8.7198815224255064</v>
          </cell>
          <cell r="T792">
            <v>0.28217500000000001</v>
          </cell>
          <cell r="U792">
            <v>3.4079575927305102E-3</v>
          </cell>
          <cell r="V792">
            <v>2.5999999999999999E-2</v>
          </cell>
          <cell r="W792">
            <v>0.28455999999999998</v>
          </cell>
          <cell r="X792">
            <v>12.37857</v>
          </cell>
          <cell r="Y792">
            <v>10.66</v>
          </cell>
          <cell r="Z792">
            <v>0</v>
          </cell>
          <cell r="AA792">
            <v>0</v>
          </cell>
          <cell r="AB792">
            <v>0</v>
          </cell>
          <cell r="AC792">
            <v>0.18632467499369951</v>
          </cell>
          <cell r="AD792">
            <v>5.5302749280044854E-2</v>
          </cell>
          <cell r="AE792">
            <v>0.30650003000000003</v>
          </cell>
          <cell r="AF792">
            <v>14.006037146004354</v>
          </cell>
          <cell r="AG792">
            <v>8.4400714971279243</v>
          </cell>
          <cell r="AH792">
            <v>202505</v>
          </cell>
          <cell r="AJ792" t="str">
            <v xml:space="preserve">ACG:Prod'n deferred due to sand issue in west chirag.
SPOC:All TJ wells shutdown due to power dip.
BC-10:Prod'n deferred due to AW-1 well closed in Abalone field.
LZC:Prod'n deferred due to planned maintenance activities at gas injection platform. </v>
          </cell>
        </row>
        <row r="793">
          <cell r="C793">
            <v>45801</v>
          </cell>
          <cell r="D793">
            <v>331866</v>
          </cell>
          <cell r="E793">
            <v>24264</v>
          </cell>
          <cell r="F793">
            <v>25027.48</v>
          </cell>
          <cell r="G793">
            <v>4822</v>
          </cell>
          <cell r="H793">
            <v>2175</v>
          </cell>
          <cell r="I793">
            <v>131380</v>
          </cell>
          <cell r="J793">
            <v>172961</v>
          </cell>
          <cell r="K793">
            <v>50944.76</v>
          </cell>
          <cell r="L793">
            <v>7330</v>
          </cell>
          <cell r="M793">
            <v>411332</v>
          </cell>
          <cell r="N793">
            <v>7153</v>
          </cell>
          <cell r="O793">
            <v>4565</v>
          </cell>
          <cell r="P793">
            <v>105.73153799999999</v>
          </cell>
          <cell r="R793">
            <v>143227.69819209998</v>
          </cell>
          <cell r="S793">
            <v>8.9775645835870037</v>
          </cell>
          <cell r="T793">
            <v>0.285439</v>
          </cell>
          <cell r="U793">
            <v>3.4079575927305102E-3</v>
          </cell>
          <cell r="V793">
            <v>2.5000000000000001E-2</v>
          </cell>
          <cell r="W793">
            <v>0.28172000000000003</v>
          </cell>
          <cell r="X793">
            <v>12.37857</v>
          </cell>
          <cell r="Y793">
            <v>10.62</v>
          </cell>
          <cell r="Z793">
            <v>0</v>
          </cell>
          <cell r="AA793">
            <v>0</v>
          </cell>
          <cell r="AB793">
            <v>0</v>
          </cell>
          <cell r="AC793">
            <v>0.19000586158172092</v>
          </cell>
          <cell r="AD793">
            <v>6.886650601590838E-2</v>
          </cell>
          <cell r="AE793">
            <v>0.30330003000000005</v>
          </cell>
          <cell r="AF793">
            <v>14.007566254279379</v>
          </cell>
          <cell r="AG793">
            <v>8.4394003882926771</v>
          </cell>
          <cell r="AH793">
            <v>202505</v>
          </cell>
          <cell r="AJ793" t="str">
            <v>ACG:Prod'n deferred due to sand issue in west chirag.
SPOC:All TJ wells shutdown due to power dip.
BC-10:Prod'n deferred due to AW-1 well closed in Abalone field.</v>
          </cell>
        </row>
        <row r="794">
          <cell r="C794">
            <v>45802</v>
          </cell>
          <cell r="D794">
            <v>309993</v>
          </cell>
          <cell r="E794">
            <v>24377</v>
          </cell>
          <cell r="F794">
            <v>24826.94</v>
          </cell>
          <cell r="G794">
            <v>4830</v>
          </cell>
          <cell r="H794">
            <v>2183</v>
          </cell>
          <cell r="I794">
            <v>131380</v>
          </cell>
          <cell r="J794">
            <v>174435</v>
          </cell>
          <cell r="K794">
            <v>53145.41</v>
          </cell>
          <cell r="L794">
            <v>7641</v>
          </cell>
          <cell r="M794">
            <v>424476</v>
          </cell>
          <cell r="N794">
            <v>7352</v>
          </cell>
          <cell r="O794">
            <v>4862</v>
          </cell>
          <cell r="P794">
            <v>126.04759199999998</v>
          </cell>
          <cell r="R794">
            <v>144174.06841639997</v>
          </cell>
          <cell r="S794">
            <v>8.5607409945433499</v>
          </cell>
          <cell r="T794">
            <v>0.297176</v>
          </cell>
          <cell r="U794">
            <v>3.4079575927305102E-3</v>
          </cell>
          <cell r="V794">
            <v>2.5999999999999999E-2</v>
          </cell>
          <cell r="W794">
            <v>0.28944999999999999</v>
          </cell>
          <cell r="X794">
            <v>12.37857</v>
          </cell>
          <cell r="Y794">
            <v>10.56</v>
          </cell>
          <cell r="Z794">
            <v>0</v>
          </cell>
          <cell r="AA794">
            <v>0</v>
          </cell>
          <cell r="AB794">
            <v>0</v>
          </cell>
          <cell r="AC794">
            <v>0.19000586158172092</v>
          </cell>
          <cell r="AD794">
            <v>9.0387289145879762E-2</v>
          </cell>
          <cell r="AE794">
            <v>0.30050003000000003</v>
          </cell>
          <cell r="AF794">
            <v>13.919614211645575</v>
          </cell>
          <cell r="AG794">
            <v>8.4154037543173938</v>
          </cell>
          <cell r="AH794">
            <v>202505</v>
          </cell>
          <cell r="AJ794" t="str">
            <v>ACG:Prod'n deferred due to sand issue in west chirag.
SPOC:TR-01 Breaker tripped affecting TJ wells supply.
BC-10:Prod'n deferred due to AW-1 well closed in Abalone field.</v>
          </cell>
        </row>
        <row r="795">
          <cell r="C795">
            <v>45803</v>
          </cell>
          <cell r="D795">
            <v>311913</v>
          </cell>
          <cell r="E795">
            <v>26396</v>
          </cell>
          <cell r="F795">
            <v>24930.46</v>
          </cell>
          <cell r="G795">
            <v>4723</v>
          </cell>
          <cell r="H795">
            <v>2183</v>
          </cell>
          <cell r="I795">
            <v>131380</v>
          </cell>
          <cell r="J795">
            <v>169889</v>
          </cell>
          <cell r="K795">
            <v>51429.02</v>
          </cell>
          <cell r="L795">
            <v>6593</v>
          </cell>
          <cell r="M795">
            <v>412951</v>
          </cell>
          <cell r="N795">
            <v>7457</v>
          </cell>
          <cell r="O795">
            <v>3833</v>
          </cell>
          <cell r="P795">
            <v>150.26332199999999</v>
          </cell>
          <cell r="R795">
            <v>142080.2819949</v>
          </cell>
          <cell r="S795">
            <v>8.4746578620234629</v>
          </cell>
          <cell r="T795">
            <v>0.30060900000000002</v>
          </cell>
          <cell r="U795">
            <v>3.4079575927305102E-3</v>
          </cell>
          <cell r="V795">
            <v>2.5999999999999999E-2</v>
          </cell>
          <cell r="W795">
            <v>0.29052999999999995</v>
          </cell>
          <cell r="X795">
            <v>12.37857</v>
          </cell>
          <cell r="Y795">
            <v>10.5</v>
          </cell>
          <cell r="Z795">
            <v>0</v>
          </cell>
          <cell r="AA795">
            <v>0</v>
          </cell>
          <cell r="AB795">
            <v>0</v>
          </cell>
          <cell r="AC795">
            <v>0.18802368418817092</v>
          </cell>
          <cell r="AD795">
            <v>5.4679779242071999E-2</v>
          </cell>
          <cell r="AE795">
            <v>0.28260003</v>
          </cell>
          <cell r="AF795">
            <v>14.1078361135731</v>
          </cell>
          <cell r="AG795">
            <v>8.4087344125440531</v>
          </cell>
          <cell r="AH795">
            <v>202505</v>
          </cell>
          <cell r="AJ795" t="str">
            <v>Sakhalin-1:New prod'n data received from the operator.
ACG:Prod'n deferred due to sand issue in west chirag.
SPOC:Prod'n deferred due to power tripped in TJ feeder-2. 13 TJ flowing wells supply affected. 
BC-10:Prod'n deferred due to AW-1 well closed in Abalone field.</v>
          </cell>
        </row>
        <row r="796">
          <cell r="C796">
            <v>45804</v>
          </cell>
          <cell r="D796">
            <v>324116</v>
          </cell>
          <cell r="E796">
            <v>30868</v>
          </cell>
          <cell r="F796">
            <v>24480.61</v>
          </cell>
          <cell r="G796">
            <v>4764</v>
          </cell>
          <cell r="H796">
            <v>2195</v>
          </cell>
          <cell r="I796">
            <v>131380</v>
          </cell>
          <cell r="J796">
            <v>156395</v>
          </cell>
          <cell r="K796">
            <v>50810.31</v>
          </cell>
          <cell r="L796">
            <v>10458</v>
          </cell>
          <cell r="M796">
            <v>419845</v>
          </cell>
          <cell r="N796">
            <v>7458</v>
          </cell>
          <cell r="O796">
            <v>4942</v>
          </cell>
          <cell r="P796">
            <v>144.79119599999999</v>
          </cell>
          <cell r="R796">
            <v>141348.58603819998</v>
          </cell>
          <cell r="S796">
            <v>8.8144597009177499</v>
          </cell>
          <cell r="T796">
            <v>0.302597</v>
          </cell>
          <cell r="U796">
            <v>3.4079575927305102E-3</v>
          </cell>
          <cell r="V796">
            <v>2.5999999999999999E-2</v>
          </cell>
          <cell r="W796">
            <v>0.27967999999999998</v>
          </cell>
          <cell r="X796">
            <v>12.37857</v>
          </cell>
          <cell r="Y796">
            <v>10.01</v>
          </cell>
          <cell r="Z796">
            <v>0</v>
          </cell>
          <cell r="AA796">
            <v>0</v>
          </cell>
          <cell r="AB796">
            <v>0</v>
          </cell>
          <cell r="AC796">
            <v>0.18887318878540663</v>
          </cell>
          <cell r="AD796">
            <v>5.0545523535524862E-2</v>
          </cell>
          <cell r="AE796">
            <v>0.28650003000000002</v>
          </cell>
          <cell r="AF796">
            <v>13.960163897753626</v>
          </cell>
          <cell r="AG796">
            <v>8.2560508428654771</v>
          </cell>
          <cell r="AH796">
            <v>202505</v>
          </cell>
          <cell r="AJ796" t="str">
            <v>ACG:Prod'n deferred due to sand issue in west chirag.
BC-10:Prod'n deferred due to AW-1 well closed in Abalone field.
Vankor:Technical and organizational measures for repair of critical sections of the oil gathering pipeline.</v>
          </cell>
        </row>
        <row r="797">
          <cell r="C797">
            <v>45805</v>
          </cell>
          <cell r="D797">
            <v>328820</v>
          </cell>
          <cell r="E797">
            <v>28277</v>
          </cell>
          <cell r="F797">
            <v>24406.11</v>
          </cell>
          <cell r="G797">
            <v>4613</v>
          </cell>
          <cell r="H797">
            <v>2142</v>
          </cell>
          <cell r="I797">
            <v>131380</v>
          </cell>
          <cell r="J797">
            <v>169224</v>
          </cell>
          <cell r="K797">
            <v>52961.99</v>
          </cell>
          <cell r="L797">
            <v>14702</v>
          </cell>
          <cell r="M797">
            <v>420150</v>
          </cell>
          <cell r="N797">
            <v>7467</v>
          </cell>
          <cell r="O797">
            <v>4435</v>
          </cell>
          <cell r="P797">
            <v>115.983912</v>
          </cell>
          <cell r="Q797">
            <v>0</v>
          </cell>
          <cell r="R797">
            <v>145300.7097604</v>
          </cell>
          <cell r="S797">
            <v>9.1064061141677524</v>
          </cell>
          <cell r="T797">
            <v>0.32995200000000002</v>
          </cell>
          <cell r="U797">
            <v>3.4079575927305102E-3</v>
          </cell>
          <cell r="V797">
            <v>2.5000000000000001E-2</v>
          </cell>
          <cell r="W797">
            <v>0.28401999999999999</v>
          </cell>
          <cell r="X797">
            <v>12.37857</v>
          </cell>
          <cell r="Y797">
            <v>10.48</v>
          </cell>
          <cell r="Z797">
            <v>0</v>
          </cell>
          <cell r="AA797">
            <v>0</v>
          </cell>
          <cell r="AB797">
            <v>0</v>
          </cell>
          <cell r="AC797">
            <v>0.18717417959093521</v>
          </cell>
          <cell r="AD797">
            <v>6.9574426513604806E-2</v>
          </cell>
          <cell r="AE797">
            <v>0.29950003000000003</v>
          </cell>
          <cell r="AF797">
            <v>14.297700391055281</v>
          </cell>
          <cell r="AG797">
            <v>8.4686719994941608</v>
          </cell>
          <cell r="AH797">
            <v>202505</v>
          </cell>
        </row>
        <row r="798">
          <cell r="C798">
            <v>45806</v>
          </cell>
          <cell r="D798">
            <v>318146</v>
          </cell>
          <cell r="E798">
            <v>28447</v>
          </cell>
          <cell r="F798">
            <v>24383.42</v>
          </cell>
          <cell r="G798">
            <v>4665</v>
          </cell>
          <cell r="H798">
            <v>2185</v>
          </cell>
          <cell r="I798">
            <v>131380</v>
          </cell>
          <cell r="J798">
            <v>167225</v>
          </cell>
          <cell r="K798">
            <v>52264.31</v>
          </cell>
          <cell r="L798">
            <v>14016</v>
          </cell>
          <cell r="M798">
            <v>417112</v>
          </cell>
          <cell r="N798">
            <v>7429</v>
          </cell>
          <cell r="O798">
            <v>4403</v>
          </cell>
          <cell r="P798">
            <v>119.128812</v>
          </cell>
          <cell r="Q798">
            <v>0</v>
          </cell>
          <cell r="R798">
            <v>144090.76996540002</v>
          </cell>
          <cell r="S798">
            <v>8.3659212735772908</v>
          </cell>
          <cell r="T798">
            <v>0.43992399999999998</v>
          </cell>
          <cell r="U798">
            <v>3.4079575927305102E-3</v>
          </cell>
          <cell r="V798">
            <v>2.5999999999999999E-2</v>
          </cell>
          <cell r="W798">
            <v>0.27538000000000001</v>
          </cell>
          <cell r="X798">
            <v>12.37857</v>
          </cell>
          <cell r="Y798">
            <v>10.54</v>
          </cell>
          <cell r="Z798">
            <v>0</v>
          </cell>
          <cell r="AA798">
            <v>0</v>
          </cell>
          <cell r="AB798">
            <v>0</v>
          </cell>
          <cell r="AC798">
            <v>0.18490883399830665</v>
          </cell>
          <cell r="AD798">
            <v>6.3203142034336982E-2</v>
          </cell>
          <cell r="AE798">
            <v>0.2974</v>
          </cell>
          <cell r="AF798">
            <v>14.299682568448832</v>
          </cell>
          <cell r="AG798">
            <v>8.4807595127568973</v>
          </cell>
          <cell r="AH798">
            <v>202505</v>
          </cell>
        </row>
        <row r="799">
          <cell r="C799">
            <v>45807</v>
          </cell>
          <cell r="D799">
            <v>326166</v>
          </cell>
          <cell r="E799">
            <v>29673</v>
          </cell>
          <cell r="F799">
            <v>24401.94</v>
          </cell>
          <cell r="G799">
            <v>4661</v>
          </cell>
          <cell r="H799">
            <v>2073</v>
          </cell>
          <cell r="I799">
            <v>134430</v>
          </cell>
          <cell r="J799">
            <v>170563</v>
          </cell>
          <cell r="K799">
            <v>50245.89</v>
          </cell>
          <cell r="L799">
            <v>13875</v>
          </cell>
          <cell r="M799">
            <v>421340</v>
          </cell>
          <cell r="N799">
            <v>7307</v>
          </cell>
          <cell r="O799">
            <v>4291</v>
          </cell>
          <cell r="P799">
            <v>157.05630599999998</v>
          </cell>
          <cell r="Q799">
            <v>0</v>
          </cell>
          <cell r="R799">
            <v>145622.5650877</v>
          </cell>
          <cell r="S799">
            <v>8.6870340113323898</v>
          </cell>
          <cell r="T799">
            <v>0.51780999999999999</v>
          </cell>
          <cell r="U799">
            <v>3.4079575927305102E-3</v>
          </cell>
          <cell r="V799">
            <v>2.5000000000000001E-2</v>
          </cell>
          <cell r="W799">
            <v>0.27182000000000001</v>
          </cell>
          <cell r="X799">
            <v>12.37857</v>
          </cell>
          <cell r="Y799">
            <v>10.47</v>
          </cell>
          <cell r="Z799">
            <v>0</v>
          </cell>
          <cell r="AA799">
            <v>0</v>
          </cell>
          <cell r="AB799">
            <v>0</v>
          </cell>
          <cell r="AC799">
            <v>0.1834929930029138</v>
          </cell>
          <cell r="AD799">
            <v>5.9748490005578407E-2</v>
          </cell>
          <cell r="AE799">
            <v>0.29550003000000002</v>
          </cell>
          <cell r="AF799">
            <v>14.446052210552546</v>
          </cell>
          <cell r="AG799">
            <v>8.5114115296728698</v>
          </cell>
          <cell r="AH799">
            <v>202505</v>
          </cell>
        </row>
        <row r="800">
          <cell r="C800">
            <v>45808</v>
          </cell>
          <cell r="D800">
            <v>330968</v>
          </cell>
          <cell r="E800">
            <v>33440</v>
          </cell>
          <cell r="F800">
            <v>24282.92</v>
          </cell>
          <cell r="G800">
            <v>4792</v>
          </cell>
          <cell r="H800">
            <v>2141</v>
          </cell>
          <cell r="I800">
            <v>134430</v>
          </cell>
          <cell r="J800">
            <v>170171</v>
          </cell>
          <cell r="K800">
            <v>52229.86</v>
          </cell>
          <cell r="L800">
            <v>9996</v>
          </cell>
          <cell r="M800">
            <v>421122</v>
          </cell>
          <cell r="N800">
            <v>7106</v>
          </cell>
          <cell r="O800">
            <v>4237</v>
          </cell>
          <cell r="P800">
            <v>136.80314999999999</v>
          </cell>
          <cell r="Q800">
            <v>0</v>
          </cell>
          <cell r="R800">
            <v>146227.01941749998</v>
          </cell>
          <cell r="S800">
            <v>8.6632478826097898</v>
          </cell>
          <cell r="T800">
            <v>0.53784399999999999</v>
          </cell>
          <cell r="U800">
            <v>3.4079575927305102E-3</v>
          </cell>
          <cell r="V800">
            <v>2.5000000000000001E-2</v>
          </cell>
          <cell r="W800">
            <v>0.26737</v>
          </cell>
          <cell r="X800">
            <v>12.37857</v>
          </cell>
          <cell r="Y800">
            <v>10.42</v>
          </cell>
          <cell r="Z800">
            <v>0</v>
          </cell>
          <cell r="AA800">
            <v>0</v>
          </cell>
          <cell r="AB800">
            <v>0</v>
          </cell>
          <cell r="AC800">
            <v>0.18490883399830665</v>
          </cell>
          <cell r="AD800">
            <v>6.1334231920418404E-2</v>
          </cell>
          <cell r="AE800">
            <v>0.29280003000000004</v>
          </cell>
          <cell r="AF800">
            <v>14.417678757004873</v>
          </cell>
          <cell r="AG800">
            <v>8.4934265175800583</v>
          </cell>
          <cell r="AH800">
            <v>202505</v>
          </cell>
        </row>
        <row r="801">
          <cell r="C801">
            <v>45809</v>
          </cell>
          <cell r="D801">
            <v>330143</v>
          </cell>
          <cell r="E801">
            <v>31013</v>
          </cell>
          <cell r="F801">
            <v>24556.39</v>
          </cell>
          <cell r="G801">
            <v>4871</v>
          </cell>
          <cell r="H801">
            <v>2105</v>
          </cell>
          <cell r="I801">
            <v>134430</v>
          </cell>
          <cell r="J801">
            <v>172415</v>
          </cell>
          <cell r="K801">
            <v>54162.26</v>
          </cell>
          <cell r="L801">
            <v>11166</v>
          </cell>
          <cell r="M801">
            <v>423156</v>
          </cell>
          <cell r="N801">
            <v>7088</v>
          </cell>
          <cell r="O801">
            <v>5420</v>
          </cell>
          <cell r="P801">
            <v>129.44408399999998</v>
          </cell>
          <cell r="Q801">
            <v>0</v>
          </cell>
          <cell r="R801">
            <v>147640.5980878</v>
          </cell>
          <cell r="S801">
            <v>13.581596332405484</v>
          </cell>
          <cell r="T801">
            <v>0.54041899999999998</v>
          </cell>
          <cell r="U801">
            <v>3.4079575927305102E-3</v>
          </cell>
          <cell r="V801">
            <v>2.5999999999999999E-2</v>
          </cell>
          <cell r="W801">
            <v>0.26558999999999999</v>
          </cell>
          <cell r="X801">
            <v>12.37857</v>
          </cell>
          <cell r="Y801">
            <v>10.66</v>
          </cell>
          <cell r="Z801">
            <v>0</v>
          </cell>
          <cell r="AA801">
            <v>0</v>
          </cell>
          <cell r="AB801">
            <v>0</v>
          </cell>
          <cell r="AC801">
            <v>0.18320982480383521</v>
          </cell>
          <cell r="AD801">
            <v>6.6317992224201247E-2</v>
          </cell>
          <cell r="AE801">
            <v>0.28440003000000003</v>
          </cell>
          <cell r="AF801">
            <v>14.445146072315493</v>
          </cell>
          <cell r="AG801">
            <v>8.7017995164495083</v>
          </cell>
          <cell r="AH801">
            <v>202506</v>
          </cell>
        </row>
        <row r="802">
          <cell r="C802">
            <v>45810</v>
          </cell>
          <cell r="D802">
            <v>328416</v>
          </cell>
          <cell r="E802">
            <v>30541</v>
          </cell>
          <cell r="F802">
            <v>24546.16</v>
          </cell>
          <cell r="G802">
            <v>4806</v>
          </cell>
          <cell r="H802">
            <v>2077</v>
          </cell>
          <cell r="I802">
            <v>134430</v>
          </cell>
          <cell r="J802">
            <v>167751</v>
          </cell>
          <cell r="K802">
            <v>50496.81</v>
          </cell>
          <cell r="L802">
            <v>14123</v>
          </cell>
          <cell r="M802">
            <v>419109</v>
          </cell>
          <cell r="N802">
            <v>7032</v>
          </cell>
          <cell r="O802">
            <v>4078.9999999999995</v>
          </cell>
          <cell r="P802">
            <v>146.803932</v>
          </cell>
          <cell r="Q802">
            <v>0</v>
          </cell>
          <cell r="R802">
            <v>145282.7280194</v>
          </cell>
          <cell r="S802">
            <v>10.573500553593828</v>
          </cell>
          <cell r="T802">
            <v>0.54676400000000003</v>
          </cell>
          <cell r="U802">
            <v>3.4079575927305102E-3</v>
          </cell>
          <cell r="V802">
            <v>2.7E-2</v>
          </cell>
          <cell r="W802">
            <v>0.25639000000000001</v>
          </cell>
          <cell r="X802">
            <v>12.37857</v>
          </cell>
          <cell r="Y802">
            <v>10.65</v>
          </cell>
          <cell r="Z802">
            <v>0</v>
          </cell>
          <cell r="AA802">
            <v>0</v>
          </cell>
          <cell r="AB802">
            <v>0</v>
          </cell>
          <cell r="AC802">
            <v>0.18179398380844236</v>
          </cell>
          <cell r="AD802">
            <v>6.0569677782906256E-2</v>
          </cell>
          <cell r="AE802">
            <v>0.30020003000000001</v>
          </cell>
          <cell r="AF802">
            <v>14.436764293622767</v>
          </cell>
          <cell r="AG802">
            <v>8.6074558942554926</v>
          </cell>
          <cell r="AH802">
            <v>202506</v>
          </cell>
          <cell r="AJ802" t="str">
            <v>Vankor:Reasons awaited from operator.</v>
          </cell>
        </row>
        <row r="803">
          <cell r="C803">
            <v>45811</v>
          </cell>
          <cell r="D803">
            <v>331490</v>
          </cell>
          <cell r="E803">
            <v>31730</v>
          </cell>
          <cell r="F803">
            <v>24534.11</v>
          </cell>
          <cell r="G803">
            <v>4783</v>
          </cell>
          <cell r="H803">
            <v>2157</v>
          </cell>
          <cell r="I803">
            <v>134430</v>
          </cell>
          <cell r="J803">
            <v>168782</v>
          </cell>
          <cell r="K803">
            <v>54060.26</v>
          </cell>
          <cell r="L803">
            <v>10954</v>
          </cell>
          <cell r="M803">
            <v>428652</v>
          </cell>
          <cell r="N803">
            <v>7037</v>
          </cell>
          <cell r="O803">
            <v>4672</v>
          </cell>
          <cell r="P803">
            <v>136.42576199999999</v>
          </cell>
          <cell r="Q803">
            <v>0</v>
          </cell>
          <cell r="R803">
            <v>146762.93859290003</v>
          </cell>
          <cell r="S803">
            <v>10.433898631448097</v>
          </cell>
          <cell r="T803">
            <v>0.54448399999999997</v>
          </cell>
          <cell r="U803">
            <v>3.4079575927305102E-3</v>
          </cell>
          <cell r="V803">
            <v>2.5999999999999999E-2</v>
          </cell>
          <cell r="W803">
            <v>0.25688</v>
          </cell>
          <cell r="X803">
            <v>12.37857</v>
          </cell>
          <cell r="Y803">
            <v>10.38</v>
          </cell>
          <cell r="Z803">
            <v>0</v>
          </cell>
          <cell r="AA803">
            <v>0</v>
          </cell>
          <cell r="AB803">
            <v>0</v>
          </cell>
          <cell r="AC803">
            <v>0.1928375435725066</v>
          </cell>
          <cell r="AD803">
            <v>6.0569677782906256E-2</v>
          </cell>
          <cell r="AE803">
            <v>0.30180003000000005</v>
          </cell>
          <cell r="AF803">
            <v>14.436424491783873</v>
          </cell>
          <cell r="AG803">
            <v>8.5344239632941647</v>
          </cell>
          <cell r="AH803">
            <v>202506</v>
          </cell>
          <cell r="AJ803" t="str">
            <v>Vankor:Reasons awaited from operator.</v>
          </cell>
        </row>
        <row r="804">
          <cell r="C804">
            <v>45812</v>
          </cell>
          <cell r="D804">
            <v>332522</v>
          </cell>
          <cell r="E804">
            <v>32044</v>
          </cell>
          <cell r="F804">
            <v>24689.75</v>
          </cell>
          <cell r="G804">
            <v>4802</v>
          </cell>
          <cell r="H804">
            <v>2169</v>
          </cell>
          <cell r="I804">
            <v>134430</v>
          </cell>
          <cell r="J804">
            <v>169010</v>
          </cell>
          <cell r="K804">
            <v>51544.85</v>
          </cell>
          <cell r="L804">
            <v>12768</v>
          </cell>
          <cell r="M804">
            <v>421388</v>
          </cell>
          <cell r="N804">
            <v>6804</v>
          </cell>
          <cell r="O804">
            <v>4426</v>
          </cell>
          <cell r="P804">
            <v>113.34219599999999</v>
          </cell>
          <cell r="Q804">
            <v>0</v>
          </cell>
          <cell r="R804">
            <v>146451.42998819999</v>
          </cell>
          <cell r="S804">
            <v>8.7971864407739506</v>
          </cell>
          <cell r="T804">
            <v>0.54320999999999997</v>
          </cell>
          <cell r="U804">
            <v>3.4079575927305102E-3</v>
          </cell>
          <cell r="V804">
            <v>2.5999999999999999E-2</v>
          </cell>
          <cell r="W804">
            <v>0.25052999999999997</v>
          </cell>
          <cell r="X804">
            <v>12.37857</v>
          </cell>
          <cell r="Y804">
            <v>10.42</v>
          </cell>
          <cell r="Z804">
            <v>0</v>
          </cell>
          <cell r="AA804">
            <v>0</v>
          </cell>
          <cell r="AB804">
            <v>0</v>
          </cell>
          <cell r="AC804">
            <v>0.19453655276697804</v>
          </cell>
          <cell r="AD804">
            <v>7.4444919537756199E-2</v>
          </cell>
          <cell r="AE804">
            <v>0.29580003000000005</v>
          </cell>
          <cell r="AF804">
            <v>9.0962120590009263</v>
          </cell>
          <cell r="AG804">
            <v>7.5854570258571776</v>
          </cell>
          <cell r="AH804">
            <v>202506</v>
          </cell>
          <cell r="AJ804" t="str">
            <v>A1-A3:Prod'n deferred due to reduced nomination of CNUOC.
Vankor:Reasons awaited from operator.</v>
          </cell>
        </row>
        <row r="805">
          <cell r="C805">
            <v>45813</v>
          </cell>
          <cell r="D805">
            <v>329835</v>
          </cell>
          <cell r="E805">
            <v>31616</v>
          </cell>
          <cell r="F805">
            <v>24710.7</v>
          </cell>
          <cell r="G805">
            <v>4824</v>
          </cell>
          <cell r="H805">
            <v>2137</v>
          </cell>
          <cell r="I805">
            <v>134430</v>
          </cell>
          <cell r="J805">
            <v>162236</v>
          </cell>
          <cell r="K805">
            <v>51619.42</v>
          </cell>
          <cell r="L805">
            <v>12436</v>
          </cell>
          <cell r="M805">
            <v>420125</v>
          </cell>
          <cell r="N805">
            <v>6885</v>
          </cell>
          <cell r="O805">
            <v>4117</v>
          </cell>
          <cell r="P805">
            <v>131.268126</v>
          </cell>
          <cell r="Q805">
            <v>0</v>
          </cell>
          <cell r="R805">
            <v>144271.10440669997</v>
          </cell>
          <cell r="S805">
            <v>8.0547194227899439</v>
          </cell>
          <cell r="T805">
            <v>0.54373199999999999</v>
          </cell>
          <cell r="U805">
            <v>3.4079575927305102E-3</v>
          </cell>
          <cell r="V805">
            <v>2.3E-2</v>
          </cell>
          <cell r="W805">
            <v>0.25086999999999998</v>
          </cell>
          <cell r="X805">
            <v>12.37857</v>
          </cell>
          <cell r="Y805">
            <v>10.41</v>
          </cell>
          <cell r="Z805">
            <v>0</v>
          </cell>
          <cell r="AA805">
            <v>0</v>
          </cell>
          <cell r="AB805">
            <v>0</v>
          </cell>
          <cell r="AC805">
            <v>0.1996335803503923</v>
          </cell>
          <cell r="AD805">
            <v>5.4651462422164135E-2</v>
          </cell>
          <cell r="AE805">
            <v>0.29590003000000004</v>
          </cell>
          <cell r="AF805">
            <v>14.0296250569876</v>
          </cell>
          <cell r="AG805">
            <v>8.3914893054268163</v>
          </cell>
          <cell r="AH805">
            <v>202506</v>
          </cell>
          <cell r="AJ805" t="str">
            <v>Sakhalin-1:New prod'n data received from the operator.
Vankor:Prod'n deferred due to repair of oil-gathering pipelines.</v>
          </cell>
        </row>
        <row r="806">
          <cell r="C806">
            <v>45814</v>
          </cell>
          <cell r="D806">
            <v>331615</v>
          </cell>
          <cell r="E806">
            <v>32138</v>
          </cell>
          <cell r="F806">
            <v>24628.12</v>
          </cell>
          <cell r="G806">
            <v>4806</v>
          </cell>
          <cell r="H806">
            <v>2051</v>
          </cell>
          <cell r="I806">
            <v>130300</v>
          </cell>
          <cell r="J806">
            <v>168225</v>
          </cell>
          <cell r="K806">
            <v>51156.959999999999</v>
          </cell>
          <cell r="L806">
            <v>11554</v>
          </cell>
          <cell r="M806">
            <v>421413</v>
          </cell>
          <cell r="N806">
            <v>6879</v>
          </cell>
          <cell r="O806">
            <v>4555</v>
          </cell>
          <cell r="P806">
            <v>117.17897399999998</v>
          </cell>
          <cell r="Q806">
            <v>0</v>
          </cell>
          <cell r="R806">
            <v>144933.76578829999</v>
          </cell>
          <cell r="S806">
            <v>9.6676454847414828</v>
          </cell>
          <cell r="T806">
            <v>0.549593</v>
          </cell>
          <cell r="U806">
            <v>3.4079575927305102E-3</v>
          </cell>
          <cell r="V806">
            <v>2.4E-2</v>
          </cell>
          <cell r="W806">
            <v>0.25235000000000002</v>
          </cell>
          <cell r="X806">
            <v>12.37857</v>
          </cell>
          <cell r="Y806">
            <v>10.53</v>
          </cell>
          <cell r="Z806">
            <v>0</v>
          </cell>
          <cell r="AA806">
            <v>0</v>
          </cell>
          <cell r="AB806">
            <v>0</v>
          </cell>
          <cell r="AC806">
            <v>0.18717417959093521</v>
          </cell>
          <cell r="AD806">
            <v>5.8870668588434844E-2</v>
          </cell>
          <cell r="AE806">
            <v>0.29340003000000003</v>
          </cell>
          <cell r="AF806">
            <v>14.018723081323074</v>
          </cell>
          <cell r="AG806">
            <v>8.4707686752588991</v>
          </cell>
          <cell r="AH806">
            <v>202506</v>
          </cell>
          <cell r="AJ806" t="str">
            <v>Vankor:Prod'n deferred due to repair of oil-gathering pipelines.
Sakhalin-1:Prod'n deferred due to ongoing replacement works of GIC and GTC in gas Train-2 in Odoptu.
IEC:Prod'n deferred due to pipe rupture in South-Maiskoye field between PAD1-PAD4.</v>
          </cell>
        </row>
        <row r="807">
          <cell r="C807">
            <v>45815</v>
          </cell>
          <cell r="D807">
            <v>333646</v>
          </cell>
          <cell r="E807">
            <v>32679</v>
          </cell>
          <cell r="F807">
            <v>24587.27</v>
          </cell>
          <cell r="G807">
            <v>4780</v>
          </cell>
          <cell r="H807">
            <v>2034</v>
          </cell>
          <cell r="I807">
            <v>130300</v>
          </cell>
          <cell r="J807">
            <v>167231</v>
          </cell>
          <cell r="K807">
            <v>49451.85</v>
          </cell>
          <cell r="L807">
            <v>12494</v>
          </cell>
          <cell r="M807">
            <v>417950</v>
          </cell>
          <cell r="N807">
            <v>6885</v>
          </cell>
          <cell r="O807">
            <v>5176</v>
          </cell>
          <cell r="P807">
            <v>150.89230199999997</v>
          </cell>
          <cell r="Q807">
            <v>0</v>
          </cell>
          <cell r="R807">
            <v>144748.41603589998</v>
          </cell>
          <cell r="S807">
            <v>8.0668956553503239</v>
          </cell>
          <cell r="T807">
            <v>0.55022199999999999</v>
          </cell>
          <cell r="U807">
            <v>3.4079575927305102E-3</v>
          </cell>
          <cell r="V807">
            <v>2.3E-2</v>
          </cell>
          <cell r="W807">
            <v>0.25263999999999998</v>
          </cell>
          <cell r="X807">
            <v>12.37857</v>
          </cell>
          <cell r="Y807">
            <v>10.66</v>
          </cell>
          <cell r="Z807">
            <v>0</v>
          </cell>
          <cell r="AA807">
            <v>0</v>
          </cell>
          <cell r="AB807">
            <v>0</v>
          </cell>
          <cell r="AC807">
            <v>0.18547517039646377</v>
          </cell>
          <cell r="AD807">
            <v>5.4877996981426994E-2</v>
          </cell>
          <cell r="AE807">
            <v>0.29800003000000003</v>
          </cell>
          <cell r="AF807">
            <v>13.957558750322102</v>
          </cell>
          <cell r="AG807">
            <v>8.4475946768248473</v>
          </cell>
          <cell r="AH807">
            <v>202506</v>
          </cell>
          <cell r="AJ807" t="str">
            <v>Vankor:Prod'n deferred due to repair of oil-gathering pipelines.
Sakhalin-1:Prod'n deferred due to ongoing replacement works of GIC and GTC in gas Train-2 in Odoptu.
IEC:Prod'n deferred due to pipe rupture in South-Maiskoye field between PAD1-PAD4.</v>
          </cell>
        </row>
        <row r="808">
          <cell r="C808">
            <v>45816</v>
          </cell>
          <cell r="D808">
            <v>320206</v>
          </cell>
          <cell r="E808">
            <v>32321</v>
          </cell>
          <cell r="F808">
            <v>24578.37</v>
          </cell>
          <cell r="G808">
            <v>4761</v>
          </cell>
          <cell r="H808">
            <v>2143</v>
          </cell>
          <cell r="I808">
            <v>130300</v>
          </cell>
          <cell r="J808">
            <v>170615</v>
          </cell>
          <cell r="K808">
            <v>51784.31</v>
          </cell>
          <cell r="L808">
            <v>12745</v>
          </cell>
          <cell r="M808">
            <v>372479</v>
          </cell>
          <cell r="N808">
            <v>6724</v>
          </cell>
          <cell r="O808">
            <v>4331</v>
          </cell>
          <cell r="P808">
            <v>157.245</v>
          </cell>
          <cell r="Q808">
            <v>0</v>
          </cell>
          <cell r="R808">
            <v>143703.72349999999</v>
          </cell>
          <cell r="S808">
            <v>7.1112029834601449</v>
          </cell>
          <cell r="T808">
            <v>0.56329200000000001</v>
          </cell>
          <cell r="U808">
            <v>3.4079575927305102E-3</v>
          </cell>
          <cell r="V808">
            <v>2.5000000000000001E-2</v>
          </cell>
          <cell r="W808">
            <v>0.25059999999999999</v>
          </cell>
          <cell r="X808">
            <v>12.37857</v>
          </cell>
          <cell r="Y808">
            <v>10.67</v>
          </cell>
          <cell r="Z808">
            <v>0</v>
          </cell>
          <cell r="AA808">
            <v>0</v>
          </cell>
          <cell r="AB808">
            <v>0</v>
          </cell>
          <cell r="AC808">
            <v>0.1834929930029138</v>
          </cell>
          <cell r="AD808">
            <v>5.4623145602256284E-2</v>
          </cell>
          <cell r="AE808">
            <v>0.29920003000000001</v>
          </cell>
          <cell r="AF808">
            <v>14.082039490637042</v>
          </cell>
          <cell r="AG808">
            <v>8.4461113119606424</v>
          </cell>
          <cell r="AH808">
            <v>202506</v>
          </cell>
          <cell r="AJ808" t="str">
            <v>Vankor:Prod'n deferred due to repair of oil-gathering pipelines.
Sakhalin-1:Prod'n deferred due to ongoing replacement works of GIC and GTC in gas Train-2 in Odoptu.
LZC:Prod'n deferred due to barge movement.</v>
          </cell>
        </row>
        <row r="809">
          <cell r="C809">
            <v>45817</v>
          </cell>
          <cell r="D809">
            <v>297755</v>
          </cell>
          <cell r="E809">
            <v>32849</v>
          </cell>
          <cell r="F809">
            <v>24567.59</v>
          </cell>
          <cell r="G809">
            <v>4749</v>
          </cell>
          <cell r="H809">
            <v>2111</v>
          </cell>
          <cell r="I809">
            <v>130300</v>
          </cell>
          <cell r="J809">
            <v>170381</v>
          </cell>
          <cell r="K809">
            <v>50932.74</v>
          </cell>
          <cell r="L809">
            <v>9050</v>
          </cell>
          <cell r="M809">
            <v>373961</v>
          </cell>
          <cell r="N809">
            <v>6864</v>
          </cell>
          <cell r="O809">
            <v>4740</v>
          </cell>
          <cell r="P809">
            <v>118.37403599999999</v>
          </cell>
          <cell r="Q809">
            <v>0</v>
          </cell>
          <cell r="R809">
            <v>142199.6825662</v>
          </cell>
          <cell r="S809">
            <v>7.4022998921129179</v>
          </cell>
          <cell r="T809">
            <v>0.55107899999999999</v>
          </cell>
          <cell r="U809">
            <v>3.4079575927305102E-3</v>
          </cell>
          <cell r="V809">
            <v>2.4E-2</v>
          </cell>
          <cell r="W809">
            <v>0.25113999999999997</v>
          </cell>
          <cell r="X809">
            <v>12.37857</v>
          </cell>
          <cell r="Y809">
            <v>10.79</v>
          </cell>
          <cell r="Z809">
            <v>0</v>
          </cell>
          <cell r="AA809">
            <v>0</v>
          </cell>
          <cell r="AB809">
            <v>0</v>
          </cell>
          <cell r="AC809">
            <v>0.18717417959093521</v>
          </cell>
          <cell r="AD809">
            <v>5.3433839166126283E-2</v>
          </cell>
          <cell r="AE809">
            <v>0.30190003000000004</v>
          </cell>
          <cell r="AF809">
            <v>14.366396996151744</v>
          </cell>
          <cell r="AG809">
            <v>8.5320533704264641</v>
          </cell>
          <cell r="AH809">
            <v>202506</v>
          </cell>
          <cell r="AJ809" t="str">
            <v>Sakhalin-1:Prod'n deferred due to ongoing replacement works of GIC and GTC in gas Train-2 in Odoptu.
LZC:Prod'n deferred due to barge movement.
SPOC:Prod'n deferred due to power fluctuation in TJ wells for 1 hour.
ACG:low prod'n in Central Azeri PDQ platform.</v>
          </cell>
        </row>
        <row r="810">
          <cell r="C810">
            <v>45818</v>
          </cell>
          <cell r="D810">
            <v>332477</v>
          </cell>
          <cell r="E810">
            <v>32862</v>
          </cell>
          <cell r="F810">
            <v>24535.66</v>
          </cell>
          <cell r="G810">
            <v>4690</v>
          </cell>
          <cell r="H810">
            <v>2083</v>
          </cell>
          <cell r="I810">
            <v>130300</v>
          </cell>
          <cell r="J810">
            <v>171479</v>
          </cell>
          <cell r="K810">
            <v>51207.29</v>
          </cell>
          <cell r="L810">
            <v>11489</v>
          </cell>
          <cell r="M810">
            <v>424408</v>
          </cell>
          <cell r="N810">
            <v>6876</v>
          </cell>
          <cell r="O810">
            <v>4509</v>
          </cell>
          <cell r="P810">
            <v>136.11127199999999</v>
          </cell>
          <cell r="Q810">
            <v>0</v>
          </cell>
          <cell r="R810">
            <v>146016.26807239998</v>
          </cell>
          <cell r="S810">
            <v>7.9236125466165621</v>
          </cell>
          <cell r="T810">
            <v>0.52974299999999996</v>
          </cell>
          <cell r="U810">
            <v>3.4079575927305102E-3</v>
          </cell>
          <cell r="V810">
            <v>2.5000000000000001E-2</v>
          </cell>
          <cell r="W810">
            <v>0.27844000000000002</v>
          </cell>
          <cell r="X810">
            <v>12.37857</v>
          </cell>
          <cell r="Y810">
            <v>10.76</v>
          </cell>
          <cell r="Z810">
            <v>0</v>
          </cell>
          <cell r="AA810">
            <v>0</v>
          </cell>
          <cell r="AB810">
            <v>0</v>
          </cell>
          <cell r="AC810">
            <v>0.18632467499369951</v>
          </cell>
          <cell r="AD810">
            <v>0.14113103042075961</v>
          </cell>
          <cell r="AE810">
            <v>0.28740003000000003</v>
          </cell>
          <cell r="AF810">
            <v>14.707048339643263</v>
          </cell>
          <cell r="AG810">
            <v>8.6479122049604111</v>
          </cell>
          <cell r="AH810">
            <v>202506</v>
          </cell>
          <cell r="AJ810" t="str">
            <v>Sakhalin-1:New prod'n data received from the operator.
Sakhalin-1:Prod'n deferred due to ongoing replacement works of GIC and GTC in gas Train-2 in Odoptu.
IEC:Prod'n deferred due to pipeline imbalance in Snezhnoye field &amp; ESP issues in well 2-R Maiskoye field.</v>
          </cell>
        </row>
        <row r="811">
          <cell r="C811">
            <v>45819</v>
          </cell>
          <cell r="D811">
            <v>335307</v>
          </cell>
          <cell r="E811">
            <v>30119</v>
          </cell>
          <cell r="F811">
            <v>7785.34</v>
          </cell>
          <cell r="G811">
            <v>4701</v>
          </cell>
          <cell r="H811">
            <v>2090</v>
          </cell>
          <cell r="I811">
            <v>130300</v>
          </cell>
          <cell r="J811">
            <v>171786</v>
          </cell>
          <cell r="K811">
            <v>52192.480000000003</v>
          </cell>
          <cell r="L811">
            <v>13832</v>
          </cell>
          <cell r="M811">
            <v>434813</v>
          </cell>
          <cell r="N811">
            <v>6737</v>
          </cell>
          <cell r="O811">
            <v>0</v>
          </cell>
          <cell r="P811">
            <v>155.04356999999999</v>
          </cell>
          <cell r="Q811">
            <v>0</v>
          </cell>
          <cell r="R811">
            <v>133142.90735649999</v>
          </cell>
          <cell r="S811">
            <v>7.6008007996669962</v>
          </cell>
          <cell r="T811">
            <v>0.51089600000000002</v>
          </cell>
          <cell r="U811">
            <v>3.4079575927305102E-3</v>
          </cell>
          <cell r="V811">
            <v>2.7E-2</v>
          </cell>
          <cell r="W811">
            <v>0.28499000000000002</v>
          </cell>
          <cell r="X811">
            <v>12.37857</v>
          </cell>
          <cell r="Y811">
            <v>10.75</v>
          </cell>
          <cell r="Z811">
            <v>0</v>
          </cell>
          <cell r="AA811">
            <v>0</v>
          </cell>
          <cell r="AB811">
            <v>0</v>
          </cell>
          <cell r="AC811">
            <v>0.18575833859554233</v>
          </cell>
          <cell r="AD811">
            <v>5.445324468280914E-2</v>
          </cell>
          <cell r="AE811">
            <v>0.29980003000000005</v>
          </cell>
          <cell r="AF811">
            <v>14.463155569776891</v>
          </cell>
          <cell r="AG811">
            <v>8.5677160891858755</v>
          </cell>
          <cell r="AH811">
            <v>202506</v>
          </cell>
          <cell r="AJ811" t="str">
            <v>SCB:Well closed due to high water cut.
Sakhalin-1:Prod'n deferred due to ongoing replacement works of GIC and GTC in gas Train-2 in Odoptu.
IEC:Prod'n deferred due to pipeline imbalance in Snezhnoye field &amp; ESP issues in well 2-R Maiskoye field.</v>
          </cell>
        </row>
        <row r="812">
          <cell r="C812">
            <v>45820</v>
          </cell>
          <cell r="D812">
            <v>325520</v>
          </cell>
          <cell r="E812">
            <v>30220</v>
          </cell>
          <cell r="F812">
            <v>520.82000000000005</v>
          </cell>
          <cell r="G812">
            <v>4486</v>
          </cell>
          <cell r="H812">
            <v>2127</v>
          </cell>
          <cell r="I812">
            <v>130300</v>
          </cell>
          <cell r="J812">
            <v>171800</v>
          </cell>
          <cell r="K812">
            <v>50461.5</v>
          </cell>
          <cell r="L812">
            <v>9718</v>
          </cell>
          <cell r="M812">
            <v>434140</v>
          </cell>
          <cell r="N812">
            <v>6802</v>
          </cell>
          <cell r="O812">
            <v>7749</v>
          </cell>
          <cell r="P812">
            <v>120.952854</v>
          </cell>
          <cell r="Q812">
            <v>0</v>
          </cell>
          <cell r="R812">
            <v>129371.12528430003</v>
          </cell>
          <cell r="S812">
            <v>7.5234958813185457</v>
          </cell>
          <cell r="T812">
            <v>0.51608200000000004</v>
          </cell>
          <cell r="U812">
            <v>3.4079575927305102E-3</v>
          </cell>
          <cell r="V812">
            <v>2.5000000000000001E-2</v>
          </cell>
          <cell r="W812">
            <v>0.27403</v>
          </cell>
          <cell r="X812">
            <v>12.37857</v>
          </cell>
          <cell r="Y812">
            <v>10.78</v>
          </cell>
          <cell r="Z812">
            <v>0</v>
          </cell>
          <cell r="AA812">
            <v>0</v>
          </cell>
          <cell r="AB812">
            <v>0</v>
          </cell>
          <cell r="AC812">
            <v>0.19821773935499948</v>
          </cell>
          <cell r="AD812">
            <v>5.445324468280914E-2</v>
          </cell>
          <cell r="AE812">
            <v>0.29390003000000003</v>
          </cell>
          <cell r="AF812">
            <v>14.657918657103131</v>
          </cell>
          <cell r="AG812">
            <v>8.5945203992531845</v>
          </cell>
          <cell r="AH812">
            <v>202506</v>
          </cell>
          <cell r="AJ812" t="str">
            <v>Sakhalin-1:Prod'n deferred due to ongoing replacement works of GIC and GTC in gas Train-2 in Odoptu.
CPO-5:Prod'n deferred due to SAR personnel blockade.</v>
          </cell>
        </row>
        <row r="813">
          <cell r="C813">
            <v>45821</v>
          </cell>
          <cell r="D813">
            <v>335962</v>
          </cell>
          <cell r="E813">
            <v>30170</v>
          </cell>
          <cell r="F813">
            <v>522.44000000000005</v>
          </cell>
          <cell r="G813">
            <v>4417</v>
          </cell>
          <cell r="H813">
            <v>2212</v>
          </cell>
          <cell r="I813">
            <v>134830</v>
          </cell>
          <cell r="J813">
            <v>171275</v>
          </cell>
          <cell r="K813">
            <v>51540.47</v>
          </cell>
          <cell r="L813">
            <v>7739</v>
          </cell>
          <cell r="M813">
            <v>406139</v>
          </cell>
          <cell r="N813">
            <v>6823</v>
          </cell>
          <cell r="O813">
            <v>6812</v>
          </cell>
          <cell r="P813">
            <v>152.40185399999999</v>
          </cell>
          <cell r="Q813">
            <v>0</v>
          </cell>
          <cell r="R813">
            <v>128798.1185843</v>
          </cell>
          <cell r="S813">
            <v>8.7414023055554768</v>
          </cell>
          <cell r="T813">
            <v>0.52237900000000004</v>
          </cell>
          <cell r="U813">
            <v>3.4079575927305102E-3</v>
          </cell>
          <cell r="V813">
            <v>2.4E-2</v>
          </cell>
          <cell r="W813">
            <v>0.27065</v>
          </cell>
          <cell r="X813">
            <v>12.37857</v>
          </cell>
          <cell r="Y813">
            <v>10.82</v>
          </cell>
          <cell r="Z813">
            <v>0</v>
          </cell>
          <cell r="AA813">
            <v>0</v>
          </cell>
          <cell r="AB813">
            <v>0</v>
          </cell>
          <cell r="AC813">
            <v>0.20303159873933516</v>
          </cell>
          <cell r="AD813">
            <v>5.5727501578662707E-2</v>
          </cell>
          <cell r="AE813">
            <v>0.29930003000000005</v>
          </cell>
          <cell r="AF813">
            <v>14.690652900916616</v>
          </cell>
          <cell r="AG813">
            <v>8.647398400901027</v>
          </cell>
          <cell r="AH813">
            <v>202506</v>
          </cell>
          <cell r="AJ813" t="str">
            <v xml:space="preserve">Sakhalin-1:Prod'n deferred due to ongoing replacement works of GIC and GTC in gas Train-2 in Odoptu.
CPO-5:Prod'n deferred due to SAR personnel blockade.
SPOC:Prod'n deferred due to water draining.
</v>
          </cell>
        </row>
        <row r="814">
          <cell r="C814">
            <v>45822</v>
          </cell>
          <cell r="D814">
            <v>331525</v>
          </cell>
          <cell r="E814">
            <v>30522</v>
          </cell>
          <cell r="F814">
            <v>524.13</v>
          </cell>
          <cell r="G814">
            <v>4473</v>
          </cell>
          <cell r="H814">
            <v>2054</v>
          </cell>
          <cell r="I814">
            <v>134830</v>
          </cell>
          <cell r="J814">
            <v>171348</v>
          </cell>
          <cell r="K814">
            <v>50372.39</v>
          </cell>
          <cell r="L814">
            <v>15775</v>
          </cell>
          <cell r="M814">
            <v>430685</v>
          </cell>
          <cell r="N814">
            <v>6832</v>
          </cell>
          <cell r="O814">
            <v>4571</v>
          </cell>
          <cell r="P814">
            <v>113.34219599999999</v>
          </cell>
          <cell r="Q814">
            <v>0</v>
          </cell>
          <cell r="R814">
            <v>130369.05748819999</v>
          </cell>
          <cell r="S814">
            <v>7.86726207499993</v>
          </cell>
          <cell r="T814">
            <v>0.52643300000000004</v>
          </cell>
          <cell r="U814">
            <v>3.4079575927305102E-3</v>
          </cell>
          <cell r="V814">
            <v>2.3E-2</v>
          </cell>
          <cell r="W814">
            <v>0.26402999999999999</v>
          </cell>
          <cell r="X814">
            <v>12.37857</v>
          </cell>
          <cell r="Y814">
            <v>10.79</v>
          </cell>
          <cell r="Z814">
            <v>0</v>
          </cell>
          <cell r="AA814">
            <v>0</v>
          </cell>
          <cell r="AB814">
            <v>0</v>
          </cell>
          <cell r="AC814">
            <v>0.18859002058632807</v>
          </cell>
          <cell r="AD814">
            <v>5.759641169258127E-2</v>
          </cell>
          <cell r="AE814">
            <v>0.31880003000000001</v>
          </cell>
          <cell r="AF814">
            <v>14.693201414708321</v>
          </cell>
          <cell r="AG814">
            <v>8.6163716169506017</v>
          </cell>
          <cell r="AH814">
            <v>202506</v>
          </cell>
          <cell r="AJ814" t="str">
            <v xml:space="preserve">Sakhalin-1:Prod'n deferred due to ongoing replacement works of GIC and GTC in gas Train-2 in Odoptu.
CPO-5:Prod'n deferred due to SAR personnel blockade.
IEC:Prod'n deferred due to pipeline imbalance in Snezhnoye field
</v>
          </cell>
        </row>
        <row r="815">
          <cell r="C815">
            <v>45823</v>
          </cell>
          <cell r="D815">
            <v>275134</v>
          </cell>
          <cell r="E815">
            <v>30906</v>
          </cell>
          <cell r="F815">
            <v>517.36</v>
          </cell>
          <cell r="G815">
            <v>4408</v>
          </cell>
          <cell r="H815">
            <v>2125</v>
          </cell>
          <cell r="I815">
            <v>134830</v>
          </cell>
          <cell r="J815">
            <v>171596</v>
          </cell>
          <cell r="K815">
            <v>51628.43</v>
          </cell>
          <cell r="L815">
            <v>8923</v>
          </cell>
          <cell r="M815">
            <v>429753</v>
          </cell>
          <cell r="N815">
            <v>6829</v>
          </cell>
          <cell r="O815">
            <v>4360</v>
          </cell>
          <cell r="P815">
            <v>167.11998599999998</v>
          </cell>
          <cell r="Q815">
            <v>0</v>
          </cell>
          <cell r="R815">
            <v>127484.6967437</v>
          </cell>
          <cell r="S815">
            <v>7.325561310162624</v>
          </cell>
          <cell r="T815">
            <v>0.52871800000000002</v>
          </cell>
          <cell r="U815">
            <v>3.4079575927305102E-3</v>
          </cell>
          <cell r="V815">
            <v>2.4E-2</v>
          </cell>
          <cell r="W815">
            <v>0.25836999999999999</v>
          </cell>
          <cell r="X815">
            <v>12.37857</v>
          </cell>
          <cell r="Y815">
            <v>10.78</v>
          </cell>
          <cell r="Z815">
            <v>0</v>
          </cell>
          <cell r="AA815">
            <v>0</v>
          </cell>
          <cell r="AB815">
            <v>0</v>
          </cell>
          <cell r="AC815">
            <v>0.20189892594302089</v>
          </cell>
          <cell r="AD815">
            <v>6.1589083299589113E-2</v>
          </cell>
          <cell r="AE815">
            <v>0.31840003</v>
          </cell>
          <cell r="AF815">
            <v>14.692493494210625</v>
          </cell>
          <cell r="AG815">
            <v>8.5961445213265417</v>
          </cell>
          <cell r="AH815">
            <v>202506</v>
          </cell>
          <cell r="AJ815" t="str">
            <v xml:space="preserve">Sakhalin-1:Prod'n deferred due to ongoing replacement works of GIC and GTC in gas Train-2 in Odoptu.
CPO-5:Prod'n deferred due to SAR personnel blockade.
SPOC:Prod'n deferred due to power trip.
ACG: Prod'n deferred due to CA platform Train-1 shutdown. Likely causes of safety transmitter activation on main oil pump Train-1.
</v>
          </cell>
        </row>
        <row r="816">
          <cell r="C816">
            <v>45824</v>
          </cell>
          <cell r="D816">
            <v>306553</v>
          </cell>
          <cell r="E816">
            <v>30994</v>
          </cell>
          <cell r="F816">
            <v>522.91</v>
          </cell>
          <cell r="G816">
            <v>4351</v>
          </cell>
          <cell r="H816">
            <v>2055</v>
          </cell>
          <cell r="I816">
            <v>134830</v>
          </cell>
          <cell r="J816">
            <v>170895</v>
          </cell>
          <cell r="K816">
            <v>51193.88</v>
          </cell>
          <cell r="L816">
            <v>10168</v>
          </cell>
          <cell r="M816">
            <v>431211</v>
          </cell>
          <cell r="N816">
            <v>6828</v>
          </cell>
          <cell r="O816">
            <v>5135</v>
          </cell>
          <cell r="P816">
            <v>158.44006200000001</v>
          </cell>
          <cell r="Q816">
            <v>0</v>
          </cell>
          <cell r="R816">
            <v>128706.61027790001</v>
          </cell>
          <cell r="S816">
            <v>7.3881414821589892</v>
          </cell>
          <cell r="T816">
            <v>0.52878199999999997</v>
          </cell>
          <cell r="U816">
            <v>3.4079575927305102E-3</v>
          </cell>
          <cell r="V816">
            <v>2.4E-2</v>
          </cell>
          <cell r="W816">
            <v>0.25718000000000002</v>
          </cell>
          <cell r="X816">
            <v>12.37857</v>
          </cell>
          <cell r="Y816">
            <v>10.74</v>
          </cell>
          <cell r="Z816">
            <v>0</v>
          </cell>
          <cell r="AA816">
            <v>0</v>
          </cell>
          <cell r="AB816">
            <v>0</v>
          </cell>
          <cell r="AD816">
            <v>6.5949873565399109E-2</v>
          </cell>
          <cell r="AE816">
            <v>0.31260003000000003</v>
          </cell>
          <cell r="AF816">
            <v>14.515343468867073</v>
          </cell>
          <cell r="AG816">
            <v>8.5332122013016232</v>
          </cell>
          <cell r="AH816">
            <v>202506</v>
          </cell>
          <cell r="AJ816" t="str">
            <v xml:space="preserve">Sakhalin-1:Prod'n deferred due to ongoing replacement works of GIC and GTC in gas Train-2 in Odoptu.
CPO-5:Prod'n deferred due to SAR personnel blockade.
ACG: Prod'n deferred due to CA platform Train-1 shutdown. Likely causes of safety transmitter activation on main oil pump Train-1. .
IEC:Prod'n deferred due to pipeline imbalance in Snezhnoye field
</v>
          </cell>
        </row>
        <row r="817">
          <cell r="C817">
            <v>45825</v>
          </cell>
          <cell r="D817">
            <v>301378</v>
          </cell>
          <cell r="E817">
            <v>30572</v>
          </cell>
          <cell r="F817">
            <v>519.23</v>
          </cell>
          <cell r="G817">
            <v>4284</v>
          </cell>
          <cell r="H817">
            <v>2105</v>
          </cell>
          <cell r="I817">
            <v>134830</v>
          </cell>
          <cell r="J817">
            <v>170813</v>
          </cell>
          <cell r="K817">
            <v>50956.51</v>
          </cell>
          <cell r="L817">
            <v>12718</v>
          </cell>
          <cell r="M817">
            <v>443026</v>
          </cell>
          <cell r="N817">
            <v>6823</v>
          </cell>
          <cell r="O817">
            <v>0</v>
          </cell>
          <cell r="P817">
            <v>119.380404</v>
          </cell>
          <cell r="Q817">
            <v>0</v>
          </cell>
          <cell r="R817">
            <v>127390.22368180001</v>
          </cell>
          <cell r="S817">
            <v>7.4838523334475466</v>
          </cell>
          <cell r="T817">
            <v>0.52523799999999998</v>
          </cell>
          <cell r="U817">
            <v>3.4079575927305102E-3</v>
          </cell>
          <cell r="V817">
            <v>2.4E-2</v>
          </cell>
          <cell r="W817">
            <v>0.26174000000000003</v>
          </cell>
          <cell r="X817">
            <v>12.37857</v>
          </cell>
          <cell r="Y817">
            <v>10.78</v>
          </cell>
          <cell r="Z817">
            <v>0</v>
          </cell>
          <cell r="AA817">
            <v>0</v>
          </cell>
          <cell r="AB817">
            <v>0</v>
          </cell>
          <cell r="AC817">
            <v>0.19991674854947089</v>
          </cell>
          <cell r="AD817">
            <v>7.2151257125219803E-2</v>
          </cell>
          <cell r="AE817">
            <v>0.31620003000000002</v>
          </cell>
          <cell r="AF817">
            <v>14.528624057403855</v>
          </cell>
          <cell r="AG817">
            <v>8.5783639595174357</v>
          </cell>
          <cell r="AH817">
            <v>202506</v>
          </cell>
          <cell r="AJ817" t="str">
            <v xml:space="preserve">Sakhalin-1:Prod'n deferred due to ongoing replacement works of GIC and GTC in gas Train-2 in Odoptu.
CPO-5:Prod'n deferred due to SAR personnel blockade.
ACG:ACG: Prod'n deferred due to CA platform Train-1 shutdown. Likely causes of safety transmitter activation on main oil pump Train-1. 
</v>
          </cell>
        </row>
        <row r="818">
          <cell r="C818">
            <v>45826</v>
          </cell>
          <cell r="D818">
            <v>305855</v>
          </cell>
          <cell r="E818">
            <v>29899</v>
          </cell>
          <cell r="F818">
            <v>510.97</v>
          </cell>
          <cell r="G818">
            <v>4122</v>
          </cell>
          <cell r="H818">
            <v>2037</v>
          </cell>
          <cell r="I818">
            <v>134830</v>
          </cell>
          <cell r="J818">
            <v>168608</v>
          </cell>
          <cell r="K818">
            <v>49566.23</v>
          </cell>
          <cell r="L818">
            <v>14370</v>
          </cell>
          <cell r="M818">
            <v>439049</v>
          </cell>
          <cell r="N818">
            <v>6947</v>
          </cell>
          <cell r="O818">
            <v>7277</v>
          </cell>
          <cell r="P818">
            <v>167.11998599999998</v>
          </cell>
          <cell r="Q818">
            <v>0</v>
          </cell>
          <cell r="R818">
            <v>129449.2017437</v>
          </cell>
          <cell r="S818">
            <v>8.0963451480544943</v>
          </cell>
          <cell r="T818">
            <v>0.524146</v>
          </cell>
          <cell r="U818">
            <v>3.4079575927305102E-3</v>
          </cell>
          <cell r="V818">
            <v>2.3E-2</v>
          </cell>
          <cell r="W818">
            <v>0.25197999999999998</v>
          </cell>
          <cell r="X818">
            <v>12.37857</v>
          </cell>
          <cell r="Y818">
            <v>10.75</v>
          </cell>
          <cell r="Z818">
            <v>0</v>
          </cell>
          <cell r="AA818">
            <v>0</v>
          </cell>
          <cell r="AB818">
            <v>0</v>
          </cell>
          <cell r="AC818">
            <v>0.20444743973472801</v>
          </cell>
          <cell r="AD818">
            <v>7.1273435708076233E-2</v>
          </cell>
          <cell r="AE818">
            <v>0.30880003</v>
          </cell>
          <cell r="AF818">
            <v>14.828244328848891</v>
          </cell>
          <cell r="AG818">
            <v>8.6256772279538687</v>
          </cell>
          <cell r="AH818">
            <v>202506</v>
          </cell>
          <cell r="AJ818" t="str">
            <v xml:space="preserve">Sakhalin-1:New prod'n data received from the operator.
Sakhalin-1:Prod'n deferred due to ongoing replacement works of GIC and GTC in gas Train-2 in Odoptu.
CPO-5:Prod'n deferred due to SAR personnel blockade.
ACG:ACG: Prod'n deferred due to CA platform Train-1 shutdown. Likely causes of safety transmitter activation on main oil pump Train-1. .
IEC: Prod'n deferred due to Emergency power shutdown.
</v>
          </cell>
        </row>
        <row r="819">
          <cell r="C819">
            <v>45827</v>
          </cell>
          <cell r="D819">
            <v>303718</v>
          </cell>
          <cell r="E819">
            <v>29516</v>
          </cell>
          <cell r="F819">
            <v>513.92999999999995</v>
          </cell>
          <cell r="G819">
            <v>4104</v>
          </cell>
          <cell r="H819">
            <v>2090</v>
          </cell>
          <cell r="I819">
            <v>134830</v>
          </cell>
          <cell r="J819">
            <v>172186</v>
          </cell>
          <cell r="K819">
            <v>46061.96</v>
          </cell>
          <cell r="L819">
            <v>11888</v>
          </cell>
          <cell r="M819">
            <v>442129</v>
          </cell>
          <cell r="N819">
            <v>6686</v>
          </cell>
          <cell r="O819">
            <v>6837</v>
          </cell>
          <cell r="P819">
            <v>133.65824999999998</v>
          </cell>
          <cell r="Q819">
            <v>0</v>
          </cell>
          <cell r="R819">
            <v>128688.21871250001</v>
          </cell>
          <cell r="S819">
            <v>7.5891909035047718</v>
          </cell>
          <cell r="T819">
            <v>0.52271599999999996</v>
          </cell>
          <cell r="U819">
            <v>3.4079575927305102E-3</v>
          </cell>
          <cell r="V819">
            <v>2.4E-2</v>
          </cell>
          <cell r="W819">
            <v>0.25286999999999998</v>
          </cell>
          <cell r="X819">
            <v>12.37857</v>
          </cell>
          <cell r="Y819">
            <v>10.84</v>
          </cell>
          <cell r="Z819">
            <v>0</v>
          </cell>
          <cell r="AA819">
            <v>0</v>
          </cell>
          <cell r="AB819">
            <v>0</v>
          </cell>
          <cell r="AC819">
            <v>0.20189892594302089</v>
          </cell>
          <cell r="AD819">
            <v>7.0338980651116947E-2</v>
          </cell>
          <cell r="AE819">
            <v>0.31520003000000002</v>
          </cell>
          <cell r="AF819">
            <v>14.830877793100324</v>
          </cell>
          <cell r="AG819">
            <v>8.6379204366836611</v>
          </cell>
          <cell r="AH819">
            <v>202506</v>
          </cell>
          <cell r="AJ819" t="str">
            <v xml:space="preserve">Sakhalin-1:Prod'n deferred due to ongoing replacement works of GIC and GTC in gas Train-2 in Odoptu.
CPO-5:Prod'n deferred due to SAR personnel blockade.
ACG: Prod'n deferred due to CA platform Train-1 shutdown.
IEC: Prod'n deferred due to Emergency power shutdown.
</v>
          </cell>
        </row>
        <row r="820">
          <cell r="C820">
            <v>45828</v>
          </cell>
          <cell r="D820">
            <v>307567</v>
          </cell>
          <cell r="E820">
            <v>29126</v>
          </cell>
          <cell r="F820">
            <v>906.24</v>
          </cell>
          <cell r="G820">
            <v>4242</v>
          </cell>
          <cell r="H820">
            <v>2054</v>
          </cell>
          <cell r="I820">
            <v>133736</v>
          </cell>
          <cell r="J820">
            <v>169880</v>
          </cell>
          <cell r="K820">
            <v>48671.26</v>
          </cell>
          <cell r="L820">
            <v>12866</v>
          </cell>
          <cell r="M820">
            <v>421030</v>
          </cell>
          <cell r="N820">
            <v>7025</v>
          </cell>
          <cell r="O820">
            <v>5010</v>
          </cell>
          <cell r="P820">
            <v>172.34051999999997</v>
          </cell>
          <cell r="Q820">
            <v>0</v>
          </cell>
          <cell r="R820">
            <v>127552.96348400001</v>
          </cell>
          <cell r="S820">
            <v>7.5716344751619005</v>
          </cell>
          <cell r="T820">
            <v>0.52110199999999995</v>
          </cell>
          <cell r="U820">
            <v>3.4079575927305102E-3</v>
          </cell>
          <cell r="V820">
            <v>2.4E-2</v>
          </cell>
          <cell r="W820">
            <v>0.25724999999999998</v>
          </cell>
          <cell r="X820">
            <v>12.37857</v>
          </cell>
          <cell r="Y820">
            <v>10.14</v>
          </cell>
          <cell r="Z820">
            <v>0</v>
          </cell>
          <cell r="AA820">
            <v>0</v>
          </cell>
          <cell r="AB820">
            <v>0</v>
          </cell>
          <cell r="AC820">
            <v>0.18745734779001377</v>
          </cell>
          <cell r="AD820">
            <v>7.0084129271946238E-2</v>
          </cell>
          <cell r="AE820">
            <v>0.30990003000000005</v>
          </cell>
          <cell r="AF820">
            <v>14.911892214856703</v>
          </cell>
          <cell r="AG820">
            <v>8.4690480687047156</v>
          </cell>
          <cell r="AH820">
            <v>202506</v>
          </cell>
          <cell r="AJ820" t="str">
            <v>Sakhalin-1:Prod'n deferred due to ongoing replacement works of GIC and GTC in gas Train-2 in Odoptu.
CPO-5:Prod'n deferred due to SAR personnel blockade.
ACG: Prod'n deferred due to CA platform Train-1 shutdown.
IEC: Prod'n deferred due to Emergency power shutdown.</v>
          </cell>
        </row>
        <row r="821">
          <cell r="C821">
            <v>45829</v>
          </cell>
          <cell r="D821">
            <v>318248</v>
          </cell>
          <cell r="E821">
            <v>29516</v>
          </cell>
          <cell r="F821">
            <v>10177.39</v>
          </cell>
          <cell r="G821">
            <v>4272</v>
          </cell>
          <cell r="H821">
            <v>2155</v>
          </cell>
          <cell r="I821">
            <v>133736</v>
          </cell>
          <cell r="J821">
            <v>171353</v>
          </cell>
          <cell r="K821">
            <v>49313.31</v>
          </cell>
          <cell r="L821">
            <v>10895</v>
          </cell>
          <cell r="M821">
            <v>430939</v>
          </cell>
          <cell r="N821">
            <v>6508</v>
          </cell>
          <cell r="O821">
            <v>4553</v>
          </cell>
          <cell r="P821">
            <v>126.04759199999998</v>
          </cell>
          <cell r="Q821">
            <v>0</v>
          </cell>
          <cell r="R821">
            <v>134780.33466640001</v>
          </cell>
          <cell r="S821">
            <v>7.6203394054034153</v>
          </cell>
          <cell r="T821">
            <v>0.52575300000000003</v>
          </cell>
          <cell r="U821">
            <v>3.4079575927305102E-3</v>
          </cell>
          <cell r="V821">
            <v>2.4E-2</v>
          </cell>
          <cell r="W821">
            <v>0.25788</v>
          </cell>
          <cell r="X821">
            <v>12.37857</v>
          </cell>
          <cell r="Y821">
            <v>9.77</v>
          </cell>
          <cell r="Z821">
            <v>0</v>
          </cell>
          <cell r="AA821">
            <v>0</v>
          </cell>
          <cell r="AB821">
            <v>0</v>
          </cell>
          <cell r="AC821">
            <v>0.18320982480383521</v>
          </cell>
          <cell r="AD821">
            <v>7.2349474864574811E-2</v>
          </cell>
          <cell r="AE821">
            <v>0.29930003000000005</v>
          </cell>
          <cell r="AF821">
            <v>14.835266900186042</v>
          </cell>
          <cell r="AG821">
            <v>8.3588010651288407</v>
          </cell>
          <cell r="AH821">
            <v>202506</v>
          </cell>
          <cell r="AJ821" t="str">
            <v>Sakhalin-1:Prod'n deferred due to ongoing replacement works of GIC and GTC in gas Train-2 in Odoptu.
CPO-5:Prod'n from Indico pad wells is being ramped-up after lifting of  community blockade.
ACG: Prod'n deferred due to CA platform Train-1 shutdown.
IEC: Prod'n deferred due to Emergency power shutdown.</v>
          </cell>
        </row>
        <row r="822">
          <cell r="C822">
            <v>45830</v>
          </cell>
          <cell r="D822">
            <v>319693</v>
          </cell>
          <cell r="E822">
            <v>29648</v>
          </cell>
          <cell r="F822">
            <v>25753.279999999999</v>
          </cell>
          <cell r="G822">
            <v>4290</v>
          </cell>
          <cell r="H822">
            <v>2098</v>
          </cell>
          <cell r="I822">
            <v>133736</v>
          </cell>
          <cell r="J822">
            <v>169104</v>
          </cell>
          <cell r="K822">
            <v>51654.03</v>
          </cell>
          <cell r="L822">
            <v>12395</v>
          </cell>
          <cell r="M822">
            <v>463319</v>
          </cell>
          <cell r="N822">
            <v>5059</v>
          </cell>
          <cell r="O822">
            <v>0</v>
          </cell>
          <cell r="P822">
            <v>138.56429399999999</v>
          </cell>
          <cell r="Q822">
            <v>0</v>
          </cell>
          <cell r="R822">
            <v>145395.92143229998</v>
          </cell>
          <cell r="S822">
            <v>7.8689610841944031</v>
          </cell>
          <cell r="T822">
            <v>0.49842500000000001</v>
          </cell>
          <cell r="U822">
            <v>3.4079575927305102E-3</v>
          </cell>
          <cell r="V822">
            <v>2.5000000000000001E-2</v>
          </cell>
          <cell r="W822">
            <v>0.25785000000000002</v>
          </cell>
          <cell r="X822">
            <v>12.37857</v>
          </cell>
          <cell r="Y822">
            <v>9.73</v>
          </cell>
          <cell r="Z822">
            <v>0</v>
          </cell>
          <cell r="AA822">
            <v>0</v>
          </cell>
          <cell r="AB822">
            <v>0</v>
          </cell>
          <cell r="AC822">
            <v>0.1766969562250281</v>
          </cell>
          <cell r="AD822">
            <v>7.784293792669908E-2</v>
          </cell>
          <cell r="AE822">
            <v>0.28670003000000005</v>
          </cell>
          <cell r="AF822">
            <v>14.854352436803936</v>
          </cell>
          <cell r="AG822">
            <v>8.3478202001397008</v>
          </cell>
          <cell r="AH822">
            <v>202506</v>
          </cell>
          <cell r="AJ822" t="str">
            <v xml:space="preserve"> </v>
          </cell>
        </row>
        <row r="823">
          <cell r="C823">
            <v>45831</v>
          </cell>
          <cell r="D823">
            <v>309065</v>
          </cell>
          <cell r="E823">
            <v>29566</v>
          </cell>
          <cell r="F823">
            <v>25258.629999999997</v>
          </cell>
          <cell r="G823">
            <v>4405</v>
          </cell>
          <cell r="H823">
            <v>2131</v>
          </cell>
          <cell r="I823">
            <v>133736</v>
          </cell>
          <cell r="J823">
            <v>165954</v>
          </cell>
          <cell r="K823">
            <v>45461.59</v>
          </cell>
          <cell r="L823">
            <v>11266</v>
          </cell>
          <cell r="M823">
            <v>446885</v>
          </cell>
          <cell r="N823">
            <v>6569</v>
          </cell>
          <cell r="O823">
            <v>7149</v>
          </cell>
          <cell r="P823">
            <v>149.19405599999999</v>
          </cell>
          <cell r="Q823">
            <v>0</v>
          </cell>
          <cell r="R823">
            <v>144540.79957519998</v>
          </cell>
          <cell r="S823">
            <v>8.0479233860120551</v>
          </cell>
          <cell r="T823">
            <v>0.482655</v>
          </cell>
          <cell r="U823">
            <v>3.4079575927305102E-3</v>
          </cell>
          <cell r="V823">
            <v>2.5000000000000001E-2</v>
          </cell>
          <cell r="W823">
            <v>0.25729000000000002</v>
          </cell>
          <cell r="X823">
            <v>12.37857</v>
          </cell>
          <cell r="Y823">
            <v>9.66</v>
          </cell>
          <cell r="Z823">
            <v>0</v>
          </cell>
          <cell r="AA823">
            <v>0</v>
          </cell>
          <cell r="AB823">
            <v>0</v>
          </cell>
          <cell r="AC823">
            <v>0.15262765930334957</v>
          </cell>
          <cell r="AD823">
            <v>9.0698774164866186E-2</v>
          </cell>
          <cell r="AE823">
            <v>0.26400003000000005</v>
          </cell>
          <cell r="AF823">
            <v>14.842346105163006</v>
          </cell>
          <cell r="AG823">
            <v>8.3202755829227897</v>
          </cell>
          <cell r="AH823">
            <v>202506</v>
          </cell>
          <cell r="AJ823" t="str">
            <v>Sakhalin-1:Prod'n deferred due to ongoing replacement works of GIC and GTC in gas Train-2 in Odoptu.
ACG: Prod'n deferred due to CA platform Train-1 shutdown.
SCB:Well closed due to high water cut.
GPOC:All flowing  wells of Toma South FPF shutdown at avg 3.5 hr due to power trip.</v>
          </cell>
        </row>
        <row r="824">
          <cell r="C824">
            <v>45832</v>
          </cell>
          <cell r="D824">
            <v>302383</v>
          </cell>
          <cell r="E824">
            <v>29447</v>
          </cell>
          <cell r="F824">
            <v>25294.5</v>
          </cell>
          <cell r="G824">
            <v>4414</v>
          </cell>
          <cell r="H824">
            <v>2047</v>
          </cell>
          <cell r="I824">
            <v>133736</v>
          </cell>
          <cell r="J824">
            <v>163602</v>
          </cell>
          <cell r="K824">
            <v>52622.47</v>
          </cell>
          <cell r="L824">
            <v>12207</v>
          </cell>
          <cell r="M824">
            <v>463491</v>
          </cell>
          <cell r="N824">
            <v>7098</v>
          </cell>
          <cell r="O824">
            <v>7235</v>
          </cell>
          <cell r="P824">
            <v>126.04759199999998</v>
          </cell>
          <cell r="Q824">
            <v>0</v>
          </cell>
          <cell r="R824">
            <v>146410.96041639996</v>
          </cell>
          <cell r="S824">
            <v>7.8123274443786856</v>
          </cell>
          <cell r="T824">
            <v>0.48269299999999998</v>
          </cell>
          <cell r="U824">
            <v>3.4079575927305102E-3</v>
          </cell>
          <cell r="V824">
            <v>2.5000000000000001E-2</v>
          </cell>
          <cell r="W824">
            <v>0.28616000000000003</v>
          </cell>
          <cell r="X824">
            <v>12.37857</v>
          </cell>
          <cell r="Y824">
            <v>9.61</v>
          </cell>
          <cell r="Z824">
            <v>0</v>
          </cell>
          <cell r="AA824">
            <v>0</v>
          </cell>
          <cell r="AB824">
            <v>0</v>
          </cell>
          <cell r="AC824">
            <v>0.19340387997066377</v>
          </cell>
          <cell r="AD824">
            <v>8.7753824894449051E-2</v>
          </cell>
          <cell r="AE824">
            <v>0.25450002999999999</v>
          </cell>
          <cell r="AF824">
            <v>14.83883481949443</v>
          </cell>
          <cell r="AG824">
            <v>8.3277001476315942</v>
          </cell>
          <cell r="AH824">
            <v>202506</v>
          </cell>
          <cell r="AJ824" t="str">
            <v xml:space="preserve">Sakhalin-1:Prod'n deferred due to ongoing replacement works of GIC and GTC in gas Train-2 in Odoptu.
ACG: Prod'n deferred due to CA platform Train-1 shutdown.
IEC:Prod'n deferred due to pipeline imbalance in Snezhnoye field.
</v>
          </cell>
        </row>
        <row r="825">
          <cell r="C825">
            <v>45833</v>
          </cell>
          <cell r="D825">
            <v>328141</v>
          </cell>
          <cell r="E825">
            <v>29780</v>
          </cell>
          <cell r="F825">
            <v>24910.84</v>
          </cell>
          <cell r="G825">
            <v>4472</v>
          </cell>
          <cell r="H825">
            <v>2123</v>
          </cell>
          <cell r="I825">
            <v>133736</v>
          </cell>
          <cell r="J825">
            <v>170863</v>
          </cell>
          <cell r="K825">
            <v>51833.5</v>
          </cell>
          <cell r="L825">
            <v>9837</v>
          </cell>
          <cell r="M825">
            <v>432559</v>
          </cell>
          <cell r="N825">
            <v>7138</v>
          </cell>
          <cell r="O825">
            <v>5078</v>
          </cell>
          <cell r="P825">
            <v>102.272148</v>
          </cell>
          <cell r="Q825">
            <v>0</v>
          </cell>
          <cell r="R825">
            <v>146103.20596660001</v>
          </cell>
          <cell r="S825">
            <v>7.7740997375030778</v>
          </cell>
          <cell r="T825">
            <v>0.48211599999999999</v>
          </cell>
          <cell r="U825">
            <v>3.4079575927305102E-3</v>
          </cell>
          <cell r="V825">
            <v>2.5000000000000001E-2</v>
          </cell>
          <cell r="W825">
            <v>0.28786</v>
          </cell>
          <cell r="X825">
            <v>12.37857</v>
          </cell>
          <cell r="Y825">
            <v>9.93</v>
          </cell>
          <cell r="Z825">
            <v>0</v>
          </cell>
          <cell r="AA825">
            <v>0</v>
          </cell>
          <cell r="AB825">
            <v>0</v>
          </cell>
          <cell r="AC825">
            <v>0.19000586158172092</v>
          </cell>
          <cell r="AD825">
            <v>8.4355806505506198E-2</v>
          </cell>
          <cell r="AE825">
            <v>0.25500002999999999</v>
          </cell>
          <cell r="AF825">
            <v>14.837673829878209</v>
          </cell>
          <cell r="AG825">
            <v>8.409620839592364</v>
          </cell>
          <cell r="AH825">
            <v>202506</v>
          </cell>
          <cell r="AJ825" t="str">
            <v xml:space="preserve">Sakhalin-1:Prod'n deferred due to ongoing replacement works of GIC and GTC in gas Train-2 in Odoptu.
ACG: Prod'n deferred due to CA platform Train-1 shutdown.
</v>
          </cell>
        </row>
        <row r="826">
          <cell r="C826">
            <v>45834</v>
          </cell>
          <cell r="D826">
            <v>319510</v>
          </cell>
          <cell r="E826">
            <v>30597</v>
          </cell>
          <cell r="F826">
            <v>23509.87</v>
          </cell>
          <cell r="G826">
            <v>4575</v>
          </cell>
          <cell r="H826">
            <v>2099</v>
          </cell>
          <cell r="I826">
            <v>133736</v>
          </cell>
          <cell r="J826">
            <v>169527</v>
          </cell>
          <cell r="K826">
            <v>49608.67</v>
          </cell>
          <cell r="L826">
            <v>13591</v>
          </cell>
          <cell r="M826">
            <v>457994</v>
          </cell>
          <cell r="N826">
            <v>7307</v>
          </cell>
          <cell r="O826">
            <v>0</v>
          </cell>
          <cell r="P826">
            <v>156.553122</v>
          </cell>
          <cell r="Q826">
            <v>0</v>
          </cell>
          <cell r="R826">
            <v>144149.46165489999</v>
          </cell>
          <cell r="S826">
            <v>7.8703769251897944</v>
          </cell>
          <cell r="T826">
            <v>0.430925</v>
          </cell>
          <cell r="U826">
            <v>3.4079575927305102E-3</v>
          </cell>
          <cell r="V826">
            <v>2.5999999999999999E-2</v>
          </cell>
          <cell r="W826">
            <v>0.28285000000000005</v>
          </cell>
          <cell r="X826">
            <v>12.37857</v>
          </cell>
          <cell r="Y826">
            <v>10.57</v>
          </cell>
          <cell r="Z826">
            <v>0</v>
          </cell>
          <cell r="AA826">
            <v>0</v>
          </cell>
          <cell r="AB826">
            <v>0</v>
          </cell>
          <cell r="AC826">
            <v>0.18859002058632807</v>
          </cell>
          <cell r="AD826">
            <v>6.0682945062537685E-2</v>
          </cell>
          <cell r="AE826">
            <v>0.26570003000000003</v>
          </cell>
          <cell r="AF826">
            <v>14.763965147658057</v>
          </cell>
          <cell r="AG826">
            <v>8.5431650142680944</v>
          </cell>
          <cell r="AH826">
            <v>202506</v>
          </cell>
          <cell r="AJ826" t="str">
            <v>Sakhalin-1:New prod'n data received from the operator.
SCB:Prod'n deferred due to high water cut.
ACG: Prod'n deferred due to CA platform Train-1 shutdown.
CPO-5:Prod'n deferred due to turning off ESP following non-compliance with water truck nomination.</v>
          </cell>
        </row>
        <row r="827">
          <cell r="C827">
            <v>45835</v>
          </cell>
          <cell r="D827">
            <v>328136</v>
          </cell>
          <cell r="E827">
            <v>24057</v>
          </cell>
          <cell r="F827">
            <v>23944.89</v>
          </cell>
          <cell r="G827">
            <v>4603</v>
          </cell>
          <cell r="H827">
            <v>2103</v>
          </cell>
          <cell r="I827">
            <v>133736</v>
          </cell>
          <cell r="J827">
            <v>162969</v>
          </cell>
          <cell r="K827">
            <v>50231.73</v>
          </cell>
          <cell r="L827">
            <v>10952</v>
          </cell>
          <cell r="M827">
            <v>451634</v>
          </cell>
          <cell r="N827">
            <v>7408</v>
          </cell>
          <cell r="O827">
            <v>7243</v>
          </cell>
          <cell r="P827">
            <v>113.53089</v>
          </cell>
          <cell r="Q827">
            <v>0</v>
          </cell>
          <cell r="R827">
            <v>143407.06240050003</v>
          </cell>
          <cell r="S827">
            <v>7.4660127369055962</v>
          </cell>
          <cell r="T827">
            <v>0.43693599999999999</v>
          </cell>
          <cell r="U827">
            <v>3.4079575927305102E-3</v>
          </cell>
          <cell r="V827">
            <v>2.5999999999999999E-2</v>
          </cell>
          <cell r="W827">
            <v>0.27856999999999998</v>
          </cell>
          <cell r="X827">
            <v>12.37857</v>
          </cell>
          <cell r="Y827">
            <v>10.75</v>
          </cell>
          <cell r="Z827">
            <v>0</v>
          </cell>
          <cell r="AA827">
            <v>0</v>
          </cell>
          <cell r="AB827">
            <v>0</v>
          </cell>
          <cell r="AC827">
            <v>0.19113853437803519</v>
          </cell>
          <cell r="AD827">
            <v>6.6402942683924826E-2</v>
          </cell>
          <cell r="AE827">
            <v>0.29480003000000005</v>
          </cell>
          <cell r="AF827">
            <v>13.493814190691127</v>
          </cell>
          <cell r="AG827">
            <v>8.3752180046420452</v>
          </cell>
          <cell r="AH827">
            <v>202506</v>
          </cell>
          <cell r="AJ827" t="str">
            <v xml:space="preserve">Sakhalin-1:Prod'n deferred due to ongoing replacement works of GIC and GTC in gas Train-2 in Odoptu.
ACG: Prod'n deferred due to CA platform Train-1 shutdown.
BC-10:Prod'n deferred due to ON-7 well closed.
Vankor:Prod'n deferred due to repair of oil-gathering pipelines.
</v>
          </cell>
        </row>
        <row r="828">
          <cell r="C828">
            <v>45836</v>
          </cell>
          <cell r="D828">
            <v>333758</v>
          </cell>
          <cell r="E828">
            <v>30239</v>
          </cell>
          <cell r="F828">
            <v>25014.32</v>
          </cell>
          <cell r="G828">
            <v>4572</v>
          </cell>
          <cell r="H828">
            <v>2053</v>
          </cell>
          <cell r="I828">
            <v>133736</v>
          </cell>
          <cell r="J828">
            <v>168984</v>
          </cell>
          <cell r="K828">
            <v>50021.9</v>
          </cell>
          <cell r="L828">
            <v>12712</v>
          </cell>
          <cell r="M828">
            <v>447966</v>
          </cell>
          <cell r="N828">
            <v>7419</v>
          </cell>
          <cell r="O828">
            <v>6058</v>
          </cell>
          <cell r="P828">
            <v>131.582616</v>
          </cell>
          <cell r="Q828">
            <v>0</v>
          </cell>
          <cell r="R828">
            <v>147248.40267720004</v>
          </cell>
          <cell r="S828">
            <v>7.5580424016061283</v>
          </cell>
          <cell r="T828">
            <v>0.44184000000000001</v>
          </cell>
          <cell r="U828">
            <v>3.4079575927305102E-3</v>
          </cell>
          <cell r="V828">
            <v>2.5000000000000001E-2</v>
          </cell>
          <cell r="W828">
            <v>0.27301999999999998</v>
          </cell>
          <cell r="X828">
            <v>12.37857</v>
          </cell>
          <cell r="Y828">
            <v>10.7</v>
          </cell>
          <cell r="Z828">
            <v>0</v>
          </cell>
          <cell r="AA828">
            <v>0</v>
          </cell>
          <cell r="AB828">
            <v>0</v>
          </cell>
          <cell r="AC828">
            <v>0.19566922556329233</v>
          </cell>
          <cell r="AD828">
            <v>6.47039334894534E-2</v>
          </cell>
          <cell r="AE828">
            <v>0.29270003000000006</v>
          </cell>
          <cell r="AF828">
            <v>13.62987651034838</v>
          </cell>
          <cell r="AG828">
            <v>8.3821883190288595</v>
          </cell>
          <cell r="AH828">
            <v>202506</v>
          </cell>
          <cell r="AJ828" t="str">
            <v xml:space="preserve">Sakhalin-1:Prod'n deferred due to ongoing replacement works of GIC and GTC in gas Train-2 in Odoptu.
ACG: Prod'n deferred due to CA platform Train-1 shutdown.
</v>
          </cell>
        </row>
        <row r="829">
          <cell r="C829">
            <v>45837</v>
          </cell>
          <cell r="D829">
            <v>330636</v>
          </cell>
          <cell r="E829">
            <v>29629</v>
          </cell>
          <cell r="F829">
            <v>24874.560000000001</v>
          </cell>
          <cell r="G829">
            <v>4584</v>
          </cell>
          <cell r="H829">
            <v>2142</v>
          </cell>
          <cell r="I829">
            <v>133736</v>
          </cell>
          <cell r="J829">
            <v>168653</v>
          </cell>
          <cell r="K829">
            <v>50516.27</v>
          </cell>
          <cell r="L829">
            <v>11038</v>
          </cell>
          <cell r="M829">
            <v>387201</v>
          </cell>
          <cell r="N829">
            <v>7511</v>
          </cell>
          <cell r="O829">
            <v>4875</v>
          </cell>
          <cell r="P829">
            <v>149.25695400000001</v>
          </cell>
          <cell r="Q829">
            <v>0</v>
          </cell>
          <cell r="R829">
            <v>143737.50562929999</v>
          </cell>
          <cell r="S829">
            <v>7.2816702393054404</v>
          </cell>
          <cell r="T829">
            <v>0.43409500000000001</v>
          </cell>
          <cell r="U829">
            <v>3.4079575927305102E-3</v>
          </cell>
          <cell r="V829">
            <v>2.5000000000000001E-2</v>
          </cell>
          <cell r="W829">
            <v>0.27112999999999998</v>
          </cell>
          <cell r="X829">
            <v>12.37857</v>
          </cell>
          <cell r="Y829">
            <v>10.68</v>
          </cell>
          <cell r="Z829">
            <v>0</v>
          </cell>
          <cell r="AA829">
            <v>0</v>
          </cell>
          <cell r="AB829">
            <v>0</v>
          </cell>
          <cell r="AC829">
            <v>0.19736823475776374</v>
          </cell>
          <cell r="AD829">
            <v>7.8465907964671927E-2</v>
          </cell>
          <cell r="AE829">
            <v>0.27720003000000004</v>
          </cell>
          <cell r="AF829">
            <v>13.499675772412054</v>
          </cell>
          <cell r="AG829">
            <v>8.3415058386338679</v>
          </cell>
          <cell r="AH829">
            <v>202506</v>
          </cell>
          <cell r="AJ829" t="str">
            <v>Sakhalin-1:Prod'n deferred due to ongoing replacement works of GIC and GTC in gas Train-2 in Odoptu.
ACG: Prod'n deferred due to CA platform Train-1 shutdown._x000D_
LZC:Prod'n deferred due to GPF train 1 planned maintenance activity.</v>
          </cell>
        </row>
        <row r="830">
          <cell r="C830">
            <v>45838</v>
          </cell>
          <cell r="D830">
            <v>354475</v>
          </cell>
          <cell r="E830">
            <v>30289</v>
          </cell>
          <cell r="F830">
            <v>24785.19</v>
          </cell>
          <cell r="G830">
            <v>4693</v>
          </cell>
          <cell r="H830">
            <v>2043</v>
          </cell>
          <cell r="I830">
            <v>133736</v>
          </cell>
          <cell r="J830">
            <v>158305</v>
          </cell>
          <cell r="K830">
            <v>51361.53</v>
          </cell>
          <cell r="L830">
            <v>11355</v>
          </cell>
          <cell r="M830">
            <v>357340</v>
          </cell>
          <cell r="N830">
            <v>7781</v>
          </cell>
          <cell r="O830">
            <v>4899</v>
          </cell>
          <cell r="P830">
            <v>161.64785999999998</v>
          </cell>
          <cell r="Q830">
            <v>0</v>
          </cell>
          <cell r="R830">
            <v>140953.68453699999</v>
          </cell>
          <cell r="S830">
            <v>7.9270105650055092</v>
          </cell>
          <cell r="T830">
            <v>0.43715999999999999</v>
          </cell>
          <cell r="U830">
            <v>3.4079575927305102E-3</v>
          </cell>
          <cell r="V830">
            <v>2.5000000000000001E-2</v>
          </cell>
          <cell r="W830">
            <v>0.26618000000000003</v>
          </cell>
          <cell r="X830">
            <v>12.37857</v>
          </cell>
          <cell r="Y830">
            <v>10.59</v>
          </cell>
          <cell r="Z830">
            <v>0</v>
          </cell>
          <cell r="AA830">
            <v>0</v>
          </cell>
          <cell r="AB830">
            <v>0</v>
          </cell>
          <cell r="AC830">
            <v>0.19680189835960663</v>
          </cell>
          <cell r="AD830">
            <v>6.858333781682982E-2</v>
          </cell>
          <cell r="AE830">
            <v>0.24160002999999999</v>
          </cell>
          <cell r="AF830">
            <v>13.590855932515353</v>
          </cell>
          <cell r="AG830">
            <v>8.3283248953152231</v>
          </cell>
          <cell r="AH830">
            <v>202506</v>
          </cell>
          <cell r="AJ830" t="str">
            <v>Sakhalin-1:Prod'n deferred due to ongoing replacement works of GIC and GTC in gas Train-2 in Odoptu.
LZC:Prod'n deferred due to GPF train 1 planned maintenance activity.
IEC: Prod'n deferred due to Emergency power shutdown.</v>
          </cell>
        </row>
        <row r="831">
          <cell r="C831">
            <v>45839</v>
          </cell>
          <cell r="D831">
            <v>337618</v>
          </cell>
          <cell r="E831">
            <v>30478</v>
          </cell>
          <cell r="F831">
            <v>23858.87</v>
          </cell>
          <cell r="G831">
            <v>4927</v>
          </cell>
          <cell r="H831">
            <v>2042</v>
          </cell>
          <cell r="I831">
            <v>138050</v>
          </cell>
          <cell r="J831">
            <v>170343</v>
          </cell>
          <cell r="K831">
            <v>44492.97</v>
          </cell>
          <cell r="L831">
            <v>12548</v>
          </cell>
          <cell r="M831">
            <v>350543</v>
          </cell>
          <cell r="N831">
            <v>7622</v>
          </cell>
          <cell r="O831">
            <v>4795</v>
          </cell>
          <cell r="P831">
            <v>0</v>
          </cell>
          <cell r="Q831">
            <v>0</v>
          </cell>
          <cell r="R831">
            <v>142138.86299999998</v>
          </cell>
          <cell r="S831">
            <v>7.7350225260302388</v>
          </cell>
          <cell r="T831">
            <v>0.44255699999999998</v>
          </cell>
          <cell r="U831">
            <v>3.4079575927305102E-3</v>
          </cell>
          <cell r="V831">
            <v>2.5000000000000001E-2</v>
          </cell>
          <cell r="W831">
            <v>0.26449</v>
          </cell>
          <cell r="X831">
            <v>12.37857</v>
          </cell>
          <cell r="Y831">
            <v>10.56</v>
          </cell>
          <cell r="Z831">
            <v>0</v>
          </cell>
          <cell r="AA831">
            <v>0</v>
          </cell>
          <cell r="AB831">
            <v>0</v>
          </cell>
          <cell r="AC831">
            <v>0.19510288916513518</v>
          </cell>
          <cell r="AD831">
            <v>6.776215003950195E-2</v>
          </cell>
          <cell r="AE831">
            <v>0</v>
          </cell>
          <cell r="AF831">
            <v>13.49259656743509</v>
          </cell>
          <cell r="AG831">
            <v>8.1887369634892266</v>
          </cell>
          <cell r="AH831">
            <v>202507</v>
          </cell>
          <cell r="AJ831" t="str">
            <v xml:space="preserve">Sakhalin-1:Prod'n deferred due to ongoing replacement works of GIC and GTC in gas Train-2 in Odoptu.
LZC:Prod'n deferred due to GPF train 1 planned maintenance activity.
IEC: Prod'n deferred due to Emergency power shutdown.
B-06.1:Lan Do wells 1P and 2P are shutdown &amp; Lan Tay wells P1 and P2 are shutdown.
CPO-5:Prod'n deferred due to Indico-3 well shutdown due to facilities transition.
</v>
          </cell>
        </row>
        <row r="832">
          <cell r="C832">
            <v>45840</v>
          </cell>
          <cell r="D832">
            <v>331057</v>
          </cell>
          <cell r="E832">
            <v>31044</v>
          </cell>
          <cell r="F832">
            <v>24345.1</v>
          </cell>
          <cell r="G832">
            <v>5153</v>
          </cell>
          <cell r="H832">
            <v>2070</v>
          </cell>
          <cell r="I832">
            <v>138050</v>
          </cell>
          <cell r="J832">
            <v>169163</v>
          </cell>
          <cell r="K832">
            <v>50510.48</v>
          </cell>
          <cell r="L832">
            <v>12240</v>
          </cell>
          <cell r="M832">
            <v>364406</v>
          </cell>
          <cell r="N832">
            <v>7594</v>
          </cell>
          <cell r="O832">
            <v>4687</v>
          </cell>
          <cell r="P832">
            <v>0</v>
          </cell>
          <cell r="Q832">
            <v>0</v>
          </cell>
          <cell r="R832">
            <v>144212.64724999998</v>
          </cell>
          <cell r="S832">
            <v>7.6237374237923587</v>
          </cell>
          <cell r="T832">
            <v>0.44201800000000002</v>
          </cell>
          <cell r="U832">
            <v>3.4079575927305102E-3</v>
          </cell>
          <cell r="V832">
            <v>2.5999999999999999E-2</v>
          </cell>
          <cell r="W832">
            <v>0.28372000000000003</v>
          </cell>
          <cell r="X832">
            <v>12.37857</v>
          </cell>
          <cell r="Y832">
            <v>10.51</v>
          </cell>
          <cell r="Z832">
            <v>0</v>
          </cell>
          <cell r="AA832">
            <v>0</v>
          </cell>
          <cell r="AB832">
            <v>0</v>
          </cell>
          <cell r="AC832">
            <v>0.19708506655868518</v>
          </cell>
          <cell r="AD832">
            <v>6.5525121266781255E-2</v>
          </cell>
          <cell r="AE832">
            <v>0</v>
          </cell>
          <cell r="AF832">
            <v>13.503470226279706</v>
          </cell>
          <cell r="AG832">
            <v>8.1932380942565555</v>
          </cell>
          <cell r="AH832">
            <v>202507</v>
          </cell>
          <cell r="AJ832" t="str">
            <v>Sakhalin-1:New prod'n data received from the operator.
LZC:Prod'n deferred due to GPF train 1 planned maintenance activity.
IEC: Prod'n deferred due to Emergency power shutdown.
B-06.1:Lan Do wells &amp; Lan Tay wells are shutdown.
CPO-5: Indico-3 well s/d due to facilities transition.
GPOC: Prod'n deferred due to ~2.5 hr power trip on 01.07.25 affecting Unity (West Feeder), Munga wells down ~11 hrs from power trip; UBR-01, UBR-02, UBR-05 &amp; UBR-06 remain offline.</v>
          </cell>
        </row>
        <row r="833">
          <cell r="C833">
            <v>45841</v>
          </cell>
          <cell r="D833">
            <v>323213</v>
          </cell>
          <cell r="E833">
            <v>30774</v>
          </cell>
          <cell r="F833">
            <v>24516.62</v>
          </cell>
          <cell r="G833">
            <v>5018</v>
          </cell>
          <cell r="H833">
            <v>1928</v>
          </cell>
          <cell r="I833">
            <v>138050</v>
          </cell>
          <cell r="J833">
            <v>167611</v>
          </cell>
          <cell r="K833">
            <v>51784.59</v>
          </cell>
          <cell r="L833">
            <v>10955</v>
          </cell>
          <cell r="M833">
            <v>363385</v>
          </cell>
          <cell r="N833">
            <v>7863</v>
          </cell>
          <cell r="O833">
            <v>4725</v>
          </cell>
          <cell r="P833">
            <v>0</v>
          </cell>
          <cell r="Q833">
            <v>0</v>
          </cell>
          <cell r="R833">
            <v>143429.82550000001</v>
          </cell>
          <cell r="S833">
            <v>7.8647135612082222</v>
          </cell>
          <cell r="T833">
            <v>0.44353599999999999</v>
          </cell>
          <cell r="U833">
            <v>3.4079575927305102E-3</v>
          </cell>
          <cell r="V833">
            <v>2.4E-2</v>
          </cell>
          <cell r="W833">
            <v>0.23583999999999999</v>
          </cell>
          <cell r="X833">
            <v>12.37857</v>
          </cell>
          <cell r="Y833">
            <v>10.59</v>
          </cell>
          <cell r="Z833">
            <v>0</v>
          </cell>
          <cell r="AA833">
            <v>0</v>
          </cell>
          <cell r="AB833">
            <v>0</v>
          </cell>
          <cell r="AC833">
            <v>0.20019991674854948</v>
          </cell>
          <cell r="AD833">
            <v>6.7309080920976247E-2</v>
          </cell>
          <cell r="AE833">
            <v>0</v>
          </cell>
          <cell r="AF833">
            <v>13.975653198243224</v>
          </cell>
          <cell r="AG833">
            <v>8.2539438288923304</v>
          </cell>
          <cell r="AH833">
            <v>202507</v>
          </cell>
          <cell r="AJ833" t="str">
            <v>Sakhalin-1:Prod'n deferred due to ongoing replacement works of GIC and GTC in gas Train-2 in Odoptu.
LZC:Prod'n deferred due to GPF train 1 planned maintenance activity.
IEC: Prod'n deferred due to Emergency power shutdown.
B-06.1:Lan Do wells &amp; Lan Tay wells are shutdown.</v>
          </cell>
        </row>
        <row r="834">
          <cell r="C834">
            <v>45842</v>
          </cell>
          <cell r="D834">
            <v>322599</v>
          </cell>
          <cell r="E834">
            <v>31126</v>
          </cell>
          <cell r="F834">
            <v>24475</v>
          </cell>
          <cell r="G834">
            <v>4916</v>
          </cell>
          <cell r="H834">
            <v>2107</v>
          </cell>
          <cell r="I834">
            <v>135650</v>
          </cell>
          <cell r="J834">
            <v>166190</v>
          </cell>
          <cell r="K834">
            <v>51159.61</v>
          </cell>
          <cell r="L834">
            <v>11285</v>
          </cell>
          <cell r="M834">
            <v>362328</v>
          </cell>
          <cell r="N834">
            <v>7708</v>
          </cell>
          <cell r="O834">
            <v>4800</v>
          </cell>
          <cell r="P834">
            <v>0</v>
          </cell>
          <cell r="Q834">
            <v>0</v>
          </cell>
          <cell r="R834">
            <v>142650.34950000001</v>
          </cell>
          <cell r="S834">
            <v>7.9400363021631204</v>
          </cell>
          <cell r="T834">
            <v>0.44294499999999998</v>
          </cell>
          <cell r="U834">
            <v>3.4079575927305102E-3</v>
          </cell>
          <cell r="V834">
            <v>2.5000000000000001E-2</v>
          </cell>
          <cell r="W834">
            <v>0.25956000000000001</v>
          </cell>
          <cell r="X834">
            <v>12.37857</v>
          </cell>
          <cell r="Y834">
            <v>10.66</v>
          </cell>
          <cell r="Z834">
            <v>0</v>
          </cell>
          <cell r="AA834">
            <v>0</v>
          </cell>
          <cell r="AB834">
            <v>0</v>
          </cell>
          <cell r="AC834">
            <v>0.20388110333657089</v>
          </cell>
          <cell r="AD834">
            <v>6.7337397740884111E-2</v>
          </cell>
          <cell r="AE834">
            <v>0</v>
          </cell>
          <cell r="AF834">
            <v>14.549153751837052</v>
          </cell>
          <cell r="AG834">
            <v>8.3963188004288583</v>
          </cell>
          <cell r="AH834">
            <v>202507</v>
          </cell>
          <cell r="AJ834" t="str">
            <v>Sakhalin-1:Prod'n deferred due to ongoing replacement works of GIC and GTC in gas Train-2 in Odoptu.
LZC:Prod'n deferred due to GPF train 1 planned maintenance activity.
B-06.1:Lan Do wells &amp; Lan Tay wells are shutdown.</v>
          </cell>
        </row>
        <row r="835">
          <cell r="C835">
            <v>45843</v>
          </cell>
          <cell r="D835">
            <v>319603</v>
          </cell>
          <cell r="E835">
            <v>30786</v>
          </cell>
          <cell r="F835">
            <v>24481.61</v>
          </cell>
          <cell r="G835">
            <v>4972</v>
          </cell>
          <cell r="H835">
            <v>2122</v>
          </cell>
          <cell r="I835">
            <v>135650</v>
          </cell>
          <cell r="J835">
            <v>167269</v>
          </cell>
          <cell r="K835">
            <v>50358.91</v>
          </cell>
          <cell r="L835">
            <v>14442</v>
          </cell>
          <cell r="M835">
            <v>400850</v>
          </cell>
          <cell r="N835">
            <v>7720</v>
          </cell>
          <cell r="O835">
            <v>5006</v>
          </cell>
          <cell r="P835">
            <v>0</v>
          </cell>
          <cell r="Q835">
            <v>0</v>
          </cell>
          <cell r="R835">
            <v>144985.13475000003</v>
          </cell>
          <cell r="S835">
            <v>8.2894658598260751</v>
          </cell>
          <cell r="T835">
            <v>0.44208199999999997</v>
          </cell>
          <cell r="U835">
            <v>3.4079575927305102E-3</v>
          </cell>
          <cell r="V835">
            <v>2.5999999999999999E-2</v>
          </cell>
          <cell r="W835">
            <v>0.27300999999999997</v>
          </cell>
          <cell r="X835">
            <v>12.37857</v>
          </cell>
          <cell r="Y835">
            <v>10.77</v>
          </cell>
          <cell r="Z835">
            <v>0</v>
          </cell>
          <cell r="AA835">
            <v>0</v>
          </cell>
          <cell r="AB835">
            <v>0</v>
          </cell>
          <cell r="AC835">
            <v>0.19850090755407804</v>
          </cell>
          <cell r="AD835">
            <v>6.2240370157469832E-2</v>
          </cell>
          <cell r="AE835">
            <v>0</v>
          </cell>
          <cell r="AF835">
            <v>14.540517121765157</v>
          </cell>
          <cell r="AG835">
            <v>8.4447577453088378</v>
          </cell>
          <cell r="AH835">
            <v>202507</v>
          </cell>
          <cell r="AJ835" t="str">
            <v>Sakhalin-1:Prod'n deferred due to ongoing replacement works of GIC and GTC in gas Train-2 in Odoptu.
LZC:Prod'n deferred due to GPF train 1 planned maintenance activity.
B-06.1:Lan Do wells &amp; Lan Tay wells are shutdown.</v>
          </cell>
        </row>
        <row r="836">
          <cell r="C836">
            <v>45844</v>
          </cell>
          <cell r="D836">
            <v>322562</v>
          </cell>
          <cell r="E836">
            <v>30748</v>
          </cell>
          <cell r="F836">
            <v>24517.820000000003</v>
          </cell>
          <cell r="G836">
            <v>4922</v>
          </cell>
          <cell r="H836">
            <v>1882</v>
          </cell>
          <cell r="I836">
            <v>135650</v>
          </cell>
          <cell r="J836">
            <v>169403</v>
          </cell>
          <cell r="K836">
            <v>50222.85</v>
          </cell>
          <cell r="L836">
            <v>11418</v>
          </cell>
          <cell r="M836">
            <v>391861</v>
          </cell>
          <cell r="N836">
            <v>7531</v>
          </cell>
          <cell r="O836">
            <v>4884</v>
          </cell>
          <cell r="P836">
            <v>0</v>
          </cell>
          <cell r="Q836">
            <v>0</v>
          </cell>
          <cell r="R836">
            <v>144183.9075</v>
          </cell>
          <cell r="S836">
            <v>8.2175411372601257</v>
          </cell>
          <cell r="T836">
            <v>0.43922499999999998</v>
          </cell>
          <cell r="U836">
            <v>3.4079575927305102E-3</v>
          </cell>
          <cell r="V836">
            <v>2.5000000000000001E-2</v>
          </cell>
          <cell r="W836">
            <v>0.22184999999999999</v>
          </cell>
          <cell r="X836">
            <v>12.37857</v>
          </cell>
          <cell r="Y836">
            <v>10.82</v>
          </cell>
          <cell r="Z836">
            <v>0</v>
          </cell>
          <cell r="AA836">
            <v>0</v>
          </cell>
          <cell r="AB836">
            <v>0</v>
          </cell>
          <cell r="AC836">
            <v>0.20048308494762804</v>
          </cell>
          <cell r="AD836">
            <v>6.6431259503832676E-2</v>
          </cell>
          <cell r="AE836">
            <v>0</v>
          </cell>
          <cell r="AF836">
            <v>14.528227621925145</v>
          </cell>
          <cell r="AG836">
            <v>8.4030277374528168</v>
          </cell>
          <cell r="AH836">
            <v>202507</v>
          </cell>
          <cell r="AJ836" t="str">
            <v>Sakhalin-1:Prod'n deferred due to ongoing replacement works of GIC and GTC in gas Train-2 in Odoptu.
LZC:Prod'n deferred due to GPF train 1 planned maintenance activity.
B-06.1:Lan Do wells &amp; Lan Tay wells are shutdown.
IEC: APGT Shut down from 08:40 AM to 05:00 PM for cleaning to remove chocking of heat exchangers E 400 and E 401</v>
          </cell>
        </row>
        <row r="837">
          <cell r="C837">
            <v>45845</v>
          </cell>
          <cell r="D837">
            <v>322172</v>
          </cell>
          <cell r="E837">
            <v>30258</v>
          </cell>
          <cell r="F837">
            <v>19831.07</v>
          </cell>
          <cell r="G837">
            <v>4760</v>
          </cell>
          <cell r="H837">
            <v>2142</v>
          </cell>
          <cell r="I837">
            <v>135650</v>
          </cell>
          <cell r="J837">
            <v>169555</v>
          </cell>
          <cell r="K837">
            <v>48081.120000000003</v>
          </cell>
          <cell r="L837">
            <v>10953</v>
          </cell>
          <cell r="M837">
            <v>348836</v>
          </cell>
          <cell r="N837">
            <v>7299</v>
          </cell>
          <cell r="O837">
            <v>4862</v>
          </cell>
          <cell r="P837">
            <v>0</v>
          </cell>
          <cell r="R837">
            <v>138575.06125</v>
          </cell>
          <cell r="S837">
            <v>8.4936301313617282</v>
          </cell>
          <cell r="T837">
            <v>0.43949199999999999</v>
          </cell>
          <cell r="U837">
            <v>3.4079575927305102E-3</v>
          </cell>
          <cell r="V837">
            <v>2.5000000000000001E-2</v>
          </cell>
          <cell r="W837">
            <v>0.27327999999999997</v>
          </cell>
          <cell r="X837">
            <v>12.37857</v>
          </cell>
          <cell r="Y837">
            <v>10.79</v>
          </cell>
          <cell r="Z837">
            <v>0</v>
          </cell>
          <cell r="AA837">
            <v>0</v>
          </cell>
          <cell r="AB837">
            <v>0</v>
          </cell>
          <cell r="AC837">
            <v>0.19566922556329233</v>
          </cell>
          <cell r="AD837">
            <v>7.1131851608536953E-2</v>
          </cell>
          <cell r="AE837">
            <v>0</v>
          </cell>
          <cell r="AF837">
            <v>14.532871580390037</v>
          </cell>
          <cell r="AG837">
            <v>8.4569456157789258</v>
          </cell>
          <cell r="AH837">
            <v>202507</v>
          </cell>
          <cell r="AJ837" t="str">
            <v>Sakhalin-1:Prod'n deferred due to ongoing replacement works of GIC and GTC in gas Train-2 in Odoptu.
LZC:Prod'n deferred due to GPF train 1 planned maintenance activity.
B-06.1:Lan Do wells &amp; Lan Tay wells are shutdown.
ACG:Prod'n deferred due to low prod'n in Central and Western Azeri.
CPO-5:Prod'n down due to Indico-6 and Indico-7 in community blockade.</v>
          </cell>
        </row>
        <row r="838">
          <cell r="C838">
            <v>45846</v>
          </cell>
          <cell r="D838">
            <v>323441</v>
          </cell>
          <cell r="E838">
            <v>30321</v>
          </cell>
          <cell r="F838">
            <v>13298.22</v>
          </cell>
          <cell r="G838">
            <v>4682</v>
          </cell>
          <cell r="H838">
            <v>1788</v>
          </cell>
          <cell r="I838">
            <v>135650</v>
          </cell>
          <cell r="J838">
            <v>167716</v>
          </cell>
          <cell r="K838">
            <v>48209.52</v>
          </cell>
          <cell r="L838">
            <v>11575</v>
          </cell>
          <cell r="M838">
            <v>379451</v>
          </cell>
          <cell r="N838">
            <v>7305</v>
          </cell>
          <cell r="O838">
            <v>4794</v>
          </cell>
          <cell r="P838">
            <v>0</v>
          </cell>
          <cell r="R838">
            <v>134565.272</v>
          </cell>
          <cell r="S838">
            <v>8.153828292467443</v>
          </cell>
          <cell r="T838">
            <v>0.436529</v>
          </cell>
          <cell r="U838">
            <v>3.4079575927305102E-3</v>
          </cell>
          <cell r="V838">
            <v>2.4E-2</v>
          </cell>
          <cell r="W838">
            <v>0.12789</v>
          </cell>
          <cell r="X838">
            <v>12.37857</v>
          </cell>
          <cell r="Y838">
            <v>10.88</v>
          </cell>
          <cell r="Z838">
            <v>0</v>
          </cell>
          <cell r="AA838">
            <v>0</v>
          </cell>
          <cell r="AB838">
            <v>0</v>
          </cell>
          <cell r="AC838">
            <v>0.2047306079338066</v>
          </cell>
          <cell r="AD838">
            <v>7.5889077353056944E-2</v>
          </cell>
          <cell r="AE838">
            <v>0</v>
          </cell>
          <cell r="AF838">
            <v>14.673804393071441</v>
          </cell>
          <cell r="AG838">
            <v>8.3505746225056718</v>
          </cell>
          <cell r="AH838">
            <v>202507</v>
          </cell>
          <cell r="AJ838" t="str">
            <v>Sakhalin-1:New prod'n data received from the operator.
LZC:Prod'n deferred due to GPF train 1 planned maintenance activity.
ACG:Prod'n deferred due to low prod'n in Central and Western Azeri.
CPO-5:Prod'n deferred due to a community blockade at Indico-1X, Indico-6, and Indico-7.
IEC:Prod'n deferred due to APGT planned shut down.</v>
          </cell>
        </row>
        <row r="839">
          <cell r="C839">
            <v>45847</v>
          </cell>
          <cell r="D839">
            <v>321896</v>
          </cell>
          <cell r="E839">
            <v>30497</v>
          </cell>
          <cell r="F839">
            <v>24514.720000000001</v>
          </cell>
          <cell r="G839">
            <v>4214</v>
          </cell>
          <cell r="H839">
            <v>1796</v>
          </cell>
          <cell r="I839">
            <v>135650</v>
          </cell>
          <cell r="J839">
            <v>167421</v>
          </cell>
          <cell r="K839">
            <v>48491.18</v>
          </cell>
          <cell r="L839">
            <v>11591</v>
          </cell>
          <cell r="M839">
            <v>430970</v>
          </cell>
          <cell r="N839">
            <v>7308</v>
          </cell>
          <cell r="O839">
            <v>4657</v>
          </cell>
          <cell r="P839">
            <v>0</v>
          </cell>
          <cell r="R839">
            <v>144197.01574999999</v>
          </cell>
          <cell r="S839">
            <v>8.9254616349565481</v>
          </cell>
          <cell r="T839">
            <v>0.44082500000000002</v>
          </cell>
          <cell r="U839">
            <v>3.4079575927305102E-3</v>
          </cell>
          <cell r="V839">
            <v>2.5000000000000001E-2</v>
          </cell>
          <cell r="W839">
            <v>0.15502000000000002</v>
          </cell>
          <cell r="X839">
            <v>12.37857</v>
          </cell>
          <cell r="Y839">
            <v>10.76</v>
          </cell>
          <cell r="Z839">
            <v>0</v>
          </cell>
          <cell r="AA839">
            <v>0</v>
          </cell>
          <cell r="AB839">
            <v>0</v>
          </cell>
          <cell r="AC839">
            <v>0.20048308494762804</v>
          </cell>
          <cell r="AD839">
            <v>7.2037989845588374E-2</v>
          </cell>
          <cell r="AE839">
            <v>0</v>
          </cell>
          <cell r="AF839">
            <v>14.673889343531162</v>
          </cell>
          <cell r="AG839">
            <v>8.3687415968201631</v>
          </cell>
          <cell r="AH839">
            <v>202507</v>
          </cell>
          <cell r="AJ839" t="str">
            <v>ACG:Prod'n deferred due to low prod'n in Central and Western Azeri.
CPO-5:Prod'n deferred due to a community blockade at Indico-1X, Indico-6, and Indico-7.
Sakhalin-1:Prod'n deferred due to lower gas compression caused by high ambient temperature impacting fluid handling capacity.
IEC:Prod'n deferred due to APGT planned shut down.
Vankor:Prod'n deferred due to repair of critical section of oil-gathering pipelines.</v>
          </cell>
        </row>
        <row r="840">
          <cell r="C840">
            <v>45848</v>
          </cell>
          <cell r="D840">
            <v>331008</v>
          </cell>
          <cell r="E840">
            <v>30623</v>
          </cell>
          <cell r="F840">
            <v>24416.02</v>
          </cell>
          <cell r="G840">
            <v>4519</v>
          </cell>
          <cell r="H840">
            <v>2140</v>
          </cell>
          <cell r="I840">
            <v>135650</v>
          </cell>
          <cell r="J840">
            <v>160524</v>
          </cell>
          <cell r="K840">
            <v>49185.22</v>
          </cell>
          <cell r="L840">
            <v>12189</v>
          </cell>
          <cell r="M840">
            <v>430510</v>
          </cell>
          <cell r="N840">
            <v>6995</v>
          </cell>
          <cell r="O840">
            <v>4829</v>
          </cell>
          <cell r="P840">
            <v>0</v>
          </cell>
          <cell r="Q840">
            <v>0</v>
          </cell>
          <cell r="R840">
            <v>143465.49924999999</v>
          </cell>
          <cell r="S840">
            <v>9.2411941769291506</v>
          </cell>
          <cell r="T840">
            <v>0.449604</v>
          </cell>
          <cell r="U840">
            <v>3.4079575927305102E-3</v>
          </cell>
          <cell r="V840">
            <v>2.5999999999999999E-2</v>
          </cell>
          <cell r="W840">
            <v>0.28660000000000002</v>
          </cell>
          <cell r="X840">
            <v>12.37857</v>
          </cell>
          <cell r="Y840">
            <v>10.73</v>
          </cell>
          <cell r="Z840">
            <v>0</v>
          </cell>
          <cell r="AA840">
            <v>0</v>
          </cell>
          <cell r="AB840">
            <v>0</v>
          </cell>
          <cell r="AC840">
            <v>0.1928375435725066</v>
          </cell>
          <cell r="AD840">
            <v>6.6884328622358394E-2</v>
          </cell>
          <cell r="AE840">
            <v>0</v>
          </cell>
          <cell r="AF840">
            <v>14.673181423033466</v>
          </cell>
          <cell r="AG840">
            <v>8.5016042831476977</v>
          </cell>
          <cell r="AH840">
            <v>202507</v>
          </cell>
          <cell r="AJ840" t="str">
            <v xml:space="preserve">ACG:Prod'n deferred due to low prod'n in Central and Western Azeri.
Sakhalin-1:Prod'n deferred due to lower gas compression caused by high ambient temperature impacting fluid handling capacity.
Vankor:Prod'n deferred due to repair of critical section of oil-gathering pipelines._x000D_
</v>
          </cell>
        </row>
        <row r="841">
          <cell r="C841">
            <v>45849</v>
          </cell>
          <cell r="D841">
            <v>335732</v>
          </cell>
          <cell r="E841">
            <v>31044</v>
          </cell>
          <cell r="F841">
            <v>24382.329999999998</v>
          </cell>
          <cell r="G841">
            <v>4574</v>
          </cell>
          <cell r="H841">
            <v>2119</v>
          </cell>
          <cell r="I841">
            <v>135548</v>
          </cell>
          <cell r="J841">
            <v>166580</v>
          </cell>
          <cell r="K841">
            <v>50950.12</v>
          </cell>
          <cell r="L841">
            <v>11330</v>
          </cell>
          <cell r="M841">
            <v>423218</v>
          </cell>
          <cell r="N841">
            <v>7300</v>
          </cell>
          <cell r="O841">
            <v>5081</v>
          </cell>
          <cell r="P841">
            <v>0</v>
          </cell>
          <cell r="Q841">
            <v>0</v>
          </cell>
          <cell r="R841">
            <v>145331.0845</v>
          </cell>
          <cell r="S841">
            <v>9.2029664700535498</v>
          </cell>
          <cell r="T841">
            <v>0.445272</v>
          </cell>
          <cell r="U841">
            <v>3.4079575927305102E-3</v>
          </cell>
          <cell r="V841">
            <v>2.5999999999999999E-2</v>
          </cell>
          <cell r="W841">
            <v>0.27582999999999996</v>
          </cell>
          <cell r="X841">
            <v>12.37857</v>
          </cell>
          <cell r="Y841">
            <v>10.72</v>
          </cell>
          <cell r="Z841">
            <v>0</v>
          </cell>
          <cell r="AA841">
            <v>0</v>
          </cell>
          <cell r="AB841">
            <v>0</v>
          </cell>
          <cell r="AC841">
            <v>0.19708506655868518</v>
          </cell>
          <cell r="AD841">
            <v>7.2037989845588374E-2</v>
          </cell>
          <cell r="AE841">
            <v>0</v>
          </cell>
          <cell r="AF841">
            <v>14.672020433417245</v>
          </cell>
          <cell r="AG841">
            <v>8.4882778065046018</v>
          </cell>
          <cell r="AH841">
            <v>202507</v>
          </cell>
          <cell r="AJ841" t="str">
            <v xml:space="preserve">ACG:Prod'n deferred due to low prod'n in Central and Western Azeri.
Sakhalin-1:Prod'n deferred due to lower gas compression caused by high ambient temperature impacting fluid handling capacity.
Vankor:Prod'n deferred due to repair of critical section of oil-gathering pipelines._x000D_
</v>
          </cell>
        </row>
        <row r="842">
          <cell r="C842">
            <v>45850</v>
          </cell>
          <cell r="D842">
            <v>310494</v>
          </cell>
          <cell r="E842">
            <v>30774</v>
          </cell>
          <cell r="F842">
            <v>24373.25</v>
          </cell>
          <cell r="G842">
            <v>4579</v>
          </cell>
          <cell r="H842">
            <v>2085</v>
          </cell>
          <cell r="I842">
            <v>135548</v>
          </cell>
          <cell r="J842">
            <v>163676</v>
          </cell>
          <cell r="K842">
            <v>50678.49</v>
          </cell>
          <cell r="L842">
            <v>12163</v>
          </cell>
          <cell r="M842">
            <v>392818</v>
          </cell>
          <cell r="N842">
            <v>7347</v>
          </cell>
          <cell r="O842">
            <v>4849</v>
          </cell>
          <cell r="P842">
            <v>0</v>
          </cell>
          <cell r="Q842">
            <v>0</v>
          </cell>
          <cell r="R842">
            <v>142556.50075000001</v>
          </cell>
          <cell r="S842">
            <v>9.8958790531988061</v>
          </cell>
          <cell r="T842">
            <v>0.44567699999999999</v>
          </cell>
          <cell r="U842">
            <v>3.4079575927305102E-3</v>
          </cell>
          <cell r="V842">
            <v>2.8000000000000001E-2</v>
          </cell>
          <cell r="W842">
            <v>0.27359</v>
          </cell>
          <cell r="X842">
            <v>12.37857</v>
          </cell>
          <cell r="Y842">
            <v>11.05</v>
          </cell>
          <cell r="Z842">
            <v>0</v>
          </cell>
          <cell r="AA842">
            <v>0</v>
          </cell>
          <cell r="AB842">
            <v>0</v>
          </cell>
          <cell r="AC842">
            <v>0.20727912172551374</v>
          </cell>
          <cell r="AD842">
            <v>7.2660959883561221E-2</v>
          </cell>
          <cell r="AE842">
            <v>0</v>
          </cell>
          <cell r="AF842">
            <v>14.307271476184138</v>
          </cell>
          <cell r="AG842">
            <v>8.5325780609155117</v>
          </cell>
          <cell r="AH842">
            <v>202507</v>
          </cell>
          <cell r="AJ842" t="str">
            <v xml:space="preserve">ACG:Prod'n deferred due to all the wells of ACE K01, K02, K03 are closed.
Sakhalin-1:Prod'n deferred due to lower gas compression caused by high ambient temperature impacting fluid handling capacity.
Vankor:Prod'n deferred due to repair of critical section of oil-gathering pipelines.
LZC:Prod'n deferred due to GPF train 1 planned maintenance activity.
</v>
          </cell>
        </row>
        <row r="843">
          <cell r="C843">
            <v>45851</v>
          </cell>
          <cell r="D843">
            <v>309836</v>
          </cell>
          <cell r="E843">
            <v>31151</v>
          </cell>
          <cell r="F843">
            <v>24327.43</v>
          </cell>
          <cell r="G843">
            <v>4672</v>
          </cell>
          <cell r="H843">
            <v>2113</v>
          </cell>
          <cell r="I843">
            <v>135548</v>
          </cell>
          <cell r="J843">
            <v>164803</v>
          </cell>
          <cell r="K843">
            <v>49966.37</v>
          </cell>
          <cell r="L843">
            <v>12152</v>
          </cell>
          <cell r="M843">
            <v>432039</v>
          </cell>
          <cell r="N843">
            <v>7347</v>
          </cell>
          <cell r="O843">
            <v>4872</v>
          </cell>
          <cell r="P843">
            <v>0</v>
          </cell>
          <cell r="Q843">
            <v>0</v>
          </cell>
          <cell r="R843">
            <v>144371.84650000001</v>
          </cell>
          <cell r="S843">
            <v>10.30392442807103</v>
          </cell>
          <cell r="T843">
            <v>0.43739</v>
          </cell>
          <cell r="U843">
            <v>3.4079575927305102E-3</v>
          </cell>
          <cell r="V843">
            <v>2.9000000000000001E-2</v>
          </cell>
          <cell r="W843">
            <v>0.27350999999999998</v>
          </cell>
          <cell r="X843">
            <v>12.37857</v>
          </cell>
          <cell r="Y843">
            <v>11.01</v>
          </cell>
          <cell r="Z843">
            <v>0</v>
          </cell>
          <cell r="AA843">
            <v>0</v>
          </cell>
          <cell r="AB843">
            <v>0</v>
          </cell>
          <cell r="AC843">
            <v>0.20926129911906372</v>
          </cell>
          <cell r="AD843">
            <v>7.2632643063653371E-2</v>
          </cell>
          <cell r="AE843">
            <v>0</v>
          </cell>
          <cell r="AF843">
            <v>14.733467932617295</v>
          </cell>
          <cell r="AG843">
            <v>8.6049560085094861</v>
          </cell>
          <cell r="AH843">
            <v>202507</v>
          </cell>
          <cell r="AJ843" t="str">
            <v xml:space="preserve">ACG:Prod'n deferred due to all the wells of ACE K01, K02, K03 are closed.
Sakhalin-1:Prod'n deferred due to lower gas compression caused by high ambient temperature impacting fluid handling capacity.
Vankor:Prod'n deferred due to repair of critical section of oil-gathering pipelines.
</v>
          </cell>
        </row>
        <row r="844">
          <cell r="C844">
            <v>45852</v>
          </cell>
          <cell r="D844">
            <v>307145</v>
          </cell>
          <cell r="E844">
            <v>31352</v>
          </cell>
          <cell r="F844">
            <v>24334.14</v>
          </cell>
          <cell r="G844">
            <v>4604</v>
          </cell>
          <cell r="H844">
            <v>2164</v>
          </cell>
          <cell r="I844">
            <v>135548</v>
          </cell>
          <cell r="J844">
            <v>165474</v>
          </cell>
          <cell r="K844">
            <v>48924.74</v>
          </cell>
          <cell r="L844">
            <v>12243</v>
          </cell>
          <cell r="M844">
            <v>442608</v>
          </cell>
          <cell r="N844">
            <v>7220</v>
          </cell>
          <cell r="O844">
            <v>4961</v>
          </cell>
          <cell r="P844">
            <v>0</v>
          </cell>
          <cell r="Q844">
            <v>0</v>
          </cell>
          <cell r="R844">
            <v>144749.49800000002</v>
          </cell>
          <cell r="S844">
            <v>10.532441164727437</v>
          </cell>
          <cell r="T844">
            <v>0.43481999999999998</v>
          </cell>
          <cell r="U844">
            <v>3.4079575927305102E-3</v>
          </cell>
          <cell r="V844">
            <v>2.8000000000000001E-2</v>
          </cell>
          <cell r="W844">
            <v>0.27288999999999997</v>
          </cell>
          <cell r="X844">
            <v>12.37857</v>
          </cell>
          <cell r="Y844">
            <v>10.81</v>
          </cell>
          <cell r="Z844">
            <v>0</v>
          </cell>
          <cell r="AA844">
            <v>0</v>
          </cell>
          <cell r="AB844">
            <v>0</v>
          </cell>
          <cell r="AC844">
            <v>0.1987840757531566</v>
          </cell>
          <cell r="AD844">
            <v>7.3680365400244086E-2</v>
          </cell>
          <cell r="AE844">
            <v>0</v>
          </cell>
          <cell r="AF844">
            <v>14.680373895290062</v>
          </cell>
          <cell r="AG844">
            <v>8.5480668310754453</v>
          </cell>
          <cell r="AH844">
            <v>202507</v>
          </cell>
          <cell r="AJ844" t="str">
            <v>ACG:Prod'n deferred due to all the wells of ACE K01, K02, K03 are closed.
Sakhalin-1:Prod'n deferred due to lower gas compression caused by high ambient temperature impacting fluid handling capacity.
Vankor:Prod'n deferred due to replacement of critical shut-off valves in the oil-gathering pipeline.</v>
          </cell>
        </row>
        <row r="845">
          <cell r="C845">
            <v>45853</v>
          </cell>
          <cell r="D845">
            <v>325269</v>
          </cell>
          <cell r="E845">
            <v>32717</v>
          </cell>
          <cell r="F845">
            <v>24259.47</v>
          </cell>
          <cell r="G845">
            <v>4561</v>
          </cell>
          <cell r="H845">
            <v>2156</v>
          </cell>
          <cell r="I845">
            <v>135548</v>
          </cell>
          <cell r="J845">
            <v>168216</v>
          </cell>
          <cell r="K845">
            <v>48563.87</v>
          </cell>
          <cell r="L845">
            <v>10502</v>
          </cell>
          <cell r="M845">
            <v>445133</v>
          </cell>
          <cell r="N845">
            <v>7413</v>
          </cell>
          <cell r="O845">
            <v>4045</v>
          </cell>
          <cell r="P845">
            <v>0</v>
          </cell>
          <cell r="Q845">
            <v>0</v>
          </cell>
          <cell r="R845">
            <v>145524.92225</v>
          </cell>
          <cell r="S845">
            <v>10.708005448156145</v>
          </cell>
          <cell r="T845">
            <v>0.43240400000000001</v>
          </cell>
          <cell r="U845">
            <v>3.4079575927305102E-3</v>
          </cell>
          <cell r="V845">
            <v>2.9000000000000001E-2</v>
          </cell>
          <cell r="W845">
            <v>0.27329000000000003</v>
          </cell>
          <cell r="X845">
            <v>12.37857</v>
          </cell>
          <cell r="Y845">
            <v>10.86</v>
          </cell>
          <cell r="Z845">
            <v>0</v>
          </cell>
          <cell r="AA845">
            <v>0</v>
          </cell>
          <cell r="AB845">
            <v>0</v>
          </cell>
          <cell r="AC845">
            <v>0.23049891404995654</v>
          </cell>
          <cell r="AD845">
            <v>7.3425514021073376E-2</v>
          </cell>
          <cell r="AE845">
            <v>0</v>
          </cell>
          <cell r="AF845">
            <v>14.683120626821124</v>
          </cell>
          <cell r="AG845">
            <v>8.570303402386994</v>
          </cell>
          <cell r="AH845">
            <v>202507</v>
          </cell>
          <cell r="AJ845" t="str">
            <v>Sakhalin-1:Prod'n deferred due to lower gas compression caused by high ambient temperature impacting fluid handling capacity.
ACG: Prod'n deferred due to 3 wells shutdown in Azeri Central East.</v>
          </cell>
        </row>
        <row r="846">
          <cell r="C846">
            <v>45854</v>
          </cell>
          <cell r="D846">
            <v>325859</v>
          </cell>
          <cell r="E846">
            <v>31157</v>
          </cell>
          <cell r="F846">
            <v>24200.57</v>
          </cell>
          <cell r="G846">
            <v>4539</v>
          </cell>
          <cell r="H846">
            <v>2106</v>
          </cell>
          <cell r="I846">
            <v>135548</v>
          </cell>
          <cell r="J846">
            <v>167640</v>
          </cell>
          <cell r="K846">
            <v>46330.71</v>
          </cell>
          <cell r="L846">
            <v>11332</v>
          </cell>
          <cell r="M846">
            <v>443906</v>
          </cell>
          <cell r="N846">
            <v>7397</v>
          </cell>
          <cell r="O846">
            <v>5681</v>
          </cell>
          <cell r="P846">
            <v>0</v>
          </cell>
          <cell r="Q846">
            <v>0</v>
          </cell>
          <cell r="R846">
            <v>145114.49725000001</v>
          </cell>
          <cell r="S846">
            <v>10.477789702305268</v>
          </cell>
          <cell r="T846">
            <v>0.43285000000000001</v>
          </cell>
          <cell r="U846">
            <v>3.4079575927305102E-3</v>
          </cell>
          <cell r="V846">
            <v>2.9000000000000001E-2</v>
          </cell>
          <cell r="W846">
            <v>0.27233999999999997</v>
          </cell>
          <cell r="X846">
            <v>12.37857</v>
          </cell>
          <cell r="Y846">
            <v>10.8</v>
          </cell>
          <cell r="Z846">
            <v>0</v>
          </cell>
          <cell r="AA846">
            <v>0</v>
          </cell>
          <cell r="AB846">
            <v>0</v>
          </cell>
          <cell r="AC846">
            <v>0.20982763551722086</v>
          </cell>
          <cell r="AD846">
            <v>7.900392754292121E-2</v>
          </cell>
          <cell r="AE846">
            <v>0</v>
          </cell>
          <cell r="AF846">
            <v>14.700280619685286</v>
          </cell>
          <cell r="AG846">
            <v>8.5500147353779017</v>
          </cell>
          <cell r="AH846">
            <v>202507</v>
          </cell>
          <cell r="AJ846" t="str">
            <v>Sakhalin-1:New prod'n data received from the operator.
Sakhalin-1:Reason awaited from the operator.
ACG: Prod'n deferred due to 3 wells shutdown in Azeri Central East.</v>
          </cell>
        </row>
        <row r="847">
          <cell r="C847">
            <v>45855</v>
          </cell>
          <cell r="D847">
            <v>332001</v>
          </cell>
          <cell r="E847">
            <v>28736</v>
          </cell>
          <cell r="F847">
            <v>24188.959999999999</v>
          </cell>
          <cell r="G847">
            <v>4587</v>
          </cell>
          <cell r="H847">
            <v>2107</v>
          </cell>
          <cell r="I847">
            <v>135548</v>
          </cell>
          <cell r="J847">
            <v>165435</v>
          </cell>
          <cell r="K847">
            <v>46251.41</v>
          </cell>
          <cell r="L847">
            <v>14117</v>
          </cell>
          <cell r="M847">
            <v>452526</v>
          </cell>
          <cell r="N847">
            <v>7405</v>
          </cell>
          <cell r="O847">
            <v>4909</v>
          </cell>
          <cell r="P847">
            <v>0</v>
          </cell>
          <cell r="Q847">
            <v>0</v>
          </cell>
          <cell r="R847">
            <v>144772.99000000002</v>
          </cell>
          <cell r="S847">
            <v>10.324312538404687</v>
          </cell>
          <cell r="T847">
            <v>0.43325799999999998</v>
          </cell>
          <cell r="U847">
            <v>3.4079575927305102E-3</v>
          </cell>
          <cell r="V847">
            <v>2.9000000000000001E-2</v>
          </cell>
          <cell r="W847">
            <v>0.27168000000000003</v>
          </cell>
          <cell r="X847">
            <v>12.37857</v>
          </cell>
          <cell r="Y847">
            <v>10.83</v>
          </cell>
          <cell r="Z847">
            <v>0</v>
          </cell>
          <cell r="AA847">
            <v>0</v>
          </cell>
          <cell r="AB847">
            <v>0</v>
          </cell>
          <cell r="AC847">
            <v>0.2075622899245923</v>
          </cell>
          <cell r="AD847">
            <v>8.3704519647625486E-2</v>
          </cell>
          <cell r="AE847">
            <v>0</v>
          </cell>
          <cell r="AF847">
            <v>14.699855867386667</v>
          </cell>
          <cell r="AG847">
            <v>8.5543345292697364</v>
          </cell>
          <cell r="AH847">
            <v>202507</v>
          </cell>
          <cell r="AJ847" t="str">
            <v xml:space="preserve">Sakhalin-1:Reason awaited from the operator.
</v>
          </cell>
        </row>
        <row r="848">
          <cell r="C848">
            <v>45856</v>
          </cell>
          <cell r="D848">
            <v>307077</v>
          </cell>
          <cell r="E848">
            <v>31535</v>
          </cell>
          <cell r="F848">
            <v>24159.690000000002</v>
          </cell>
          <cell r="G848">
            <v>4607</v>
          </cell>
          <cell r="H848">
            <v>2112</v>
          </cell>
          <cell r="I848">
            <v>132217</v>
          </cell>
          <cell r="J848">
            <v>168162</v>
          </cell>
          <cell r="K848">
            <v>45298.58</v>
          </cell>
          <cell r="L848">
            <v>3702</v>
          </cell>
          <cell r="M848">
            <v>440177</v>
          </cell>
          <cell r="N848">
            <v>7407</v>
          </cell>
          <cell r="O848">
            <v>5004</v>
          </cell>
          <cell r="P848">
            <v>0</v>
          </cell>
          <cell r="Q848">
            <v>0</v>
          </cell>
          <cell r="R848">
            <v>141630.45775</v>
          </cell>
          <cell r="S848">
            <v>11.073292424967507</v>
          </cell>
          <cell r="T848">
            <v>0.433558</v>
          </cell>
          <cell r="U848">
            <v>3.4079575927305102E-3</v>
          </cell>
          <cell r="V848">
            <v>2.9000000000000001E-2</v>
          </cell>
          <cell r="W848">
            <v>0.27076999999999996</v>
          </cell>
          <cell r="X848">
            <v>12.37857</v>
          </cell>
          <cell r="Y848">
            <v>11.1</v>
          </cell>
          <cell r="Z848">
            <v>0</v>
          </cell>
          <cell r="AA848">
            <v>0</v>
          </cell>
          <cell r="AB848">
            <v>0</v>
          </cell>
          <cell r="AC848">
            <v>0.20926129911906372</v>
          </cell>
          <cell r="AD848">
            <v>9.0387289145879762E-2</v>
          </cell>
          <cell r="AE848">
            <v>0</v>
          </cell>
          <cell r="AF848">
            <v>14.659107963539263</v>
          </cell>
          <cell r="AG848">
            <v>8.6415460461083349</v>
          </cell>
          <cell r="AH848">
            <v>202507</v>
          </cell>
          <cell r="AJ848" t="str">
            <v>Sakhalin-1:Reason awaited from the operator.
ACG: Prod'n deferred due to 3 wells shutdown in Azeri Central East.
SPOC:Prod'n deferred due to power trip.
GPOC:Prod'n deferred due to power tripped at Toma South &amp; El Toor.</v>
          </cell>
        </row>
        <row r="849">
          <cell r="C849">
            <v>45857</v>
          </cell>
          <cell r="D849">
            <v>352582</v>
          </cell>
          <cell r="E849">
            <v>31478</v>
          </cell>
          <cell r="F849">
            <v>24176.16</v>
          </cell>
          <cell r="G849">
            <v>4591</v>
          </cell>
          <cell r="H849">
            <v>2103</v>
          </cell>
          <cell r="I849">
            <v>132217</v>
          </cell>
          <cell r="J849">
            <v>168520</v>
          </cell>
          <cell r="K849">
            <v>44741.24</v>
          </cell>
          <cell r="L849">
            <v>9138</v>
          </cell>
          <cell r="M849">
            <v>451135</v>
          </cell>
          <cell r="N849">
            <v>7412</v>
          </cell>
          <cell r="O849">
            <v>4897</v>
          </cell>
          <cell r="P849">
            <v>0</v>
          </cell>
          <cell r="Q849">
            <v>0</v>
          </cell>
          <cell r="R849">
            <v>144601.86800000002</v>
          </cell>
          <cell r="S849">
            <v>12.017375200695463</v>
          </cell>
          <cell r="T849">
            <v>0.437967</v>
          </cell>
          <cell r="U849">
            <v>3.4079575927305102E-3</v>
          </cell>
          <cell r="V849">
            <v>0.03</v>
          </cell>
          <cell r="W849">
            <v>0.27109</v>
          </cell>
          <cell r="X849">
            <v>12.37857</v>
          </cell>
          <cell r="Y849">
            <v>11.06</v>
          </cell>
          <cell r="Z849">
            <v>0</v>
          </cell>
          <cell r="AA849">
            <v>0</v>
          </cell>
          <cell r="AB849">
            <v>0</v>
          </cell>
          <cell r="AC849">
            <v>0.20586328073012086</v>
          </cell>
          <cell r="AD849">
            <v>8.684768665739763E-2</v>
          </cell>
          <cell r="AE849">
            <v>0</v>
          </cell>
          <cell r="AF849">
            <v>14.143798474856078</v>
          </cell>
          <cell r="AG849">
            <v>8.5713786612040614</v>
          </cell>
          <cell r="AH849">
            <v>202507</v>
          </cell>
          <cell r="AJ849" t="str">
            <v>Sakhalin-1:Reason awaited from the operator.
GPOC:Prod'n deferred due to power tripped at Toma South &amp; El Toor.</v>
          </cell>
        </row>
        <row r="850">
          <cell r="C850">
            <v>45858</v>
          </cell>
          <cell r="D850">
            <v>343772</v>
          </cell>
          <cell r="E850">
            <v>31629</v>
          </cell>
          <cell r="F850">
            <v>24199.600000000002</v>
          </cell>
          <cell r="G850">
            <v>4548</v>
          </cell>
          <cell r="H850">
            <v>2120</v>
          </cell>
          <cell r="I850">
            <v>132217</v>
          </cell>
          <cell r="J850">
            <v>169575</v>
          </cell>
          <cell r="K850">
            <v>46868.09</v>
          </cell>
          <cell r="L850">
            <v>14020</v>
          </cell>
          <cell r="M850">
            <v>450583</v>
          </cell>
          <cell r="N850">
            <v>7411</v>
          </cell>
          <cell r="O850">
            <v>5015</v>
          </cell>
          <cell r="P850">
            <v>0</v>
          </cell>
          <cell r="Q850">
            <v>0</v>
          </cell>
          <cell r="R850">
            <v>146405.65849999999</v>
          </cell>
          <cell r="S850">
            <v>9.9072057811619487</v>
          </cell>
          <cell r="T850">
            <v>0.43732300000000002</v>
          </cell>
          <cell r="U850">
            <v>3.4079575927305102E-3</v>
          </cell>
          <cell r="V850">
            <v>0.03</v>
          </cell>
          <cell r="W850">
            <v>0.27015</v>
          </cell>
          <cell r="X850">
            <v>12.37857</v>
          </cell>
          <cell r="Y850">
            <v>11.14</v>
          </cell>
          <cell r="Z850">
            <v>0</v>
          </cell>
          <cell r="AA850">
            <v>0</v>
          </cell>
          <cell r="AB850">
            <v>0</v>
          </cell>
          <cell r="AC850">
            <v>0.20781714130376303</v>
          </cell>
          <cell r="AD850">
            <v>8.3449668268454777E-2</v>
          </cell>
          <cell r="AE850">
            <v>0</v>
          </cell>
          <cell r="AF850">
            <v>14.662222813729127</v>
          </cell>
          <cell r="AG850">
            <v>8.616330180598645</v>
          </cell>
          <cell r="AH850">
            <v>202507</v>
          </cell>
          <cell r="AJ850" t="str">
            <v>Sakhalin-1:Reason awaited from the operator.
GPOC:Prod'n deferred due to power tripped at Toma South &amp; El Toor.</v>
          </cell>
        </row>
        <row r="851">
          <cell r="C851">
            <v>45859</v>
          </cell>
          <cell r="D851">
            <v>322428</v>
          </cell>
          <cell r="E851">
            <v>31421</v>
          </cell>
          <cell r="F851">
            <v>24122.58</v>
          </cell>
          <cell r="G851">
            <v>4550</v>
          </cell>
          <cell r="H851">
            <v>2083</v>
          </cell>
          <cell r="I851">
            <v>132217</v>
          </cell>
          <cell r="J851">
            <v>165499</v>
          </cell>
          <cell r="K851">
            <v>47078.080000000002</v>
          </cell>
          <cell r="L851">
            <v>12517</v>
          </cell>
          <cell r="M851">
            <v>441942</v>
          </cell>
          <cell r="N851">
            <v>7408</v>
          </cell>
          <cell r="O851">
            <v>5026</v>
          </cell>
          <cell r="P851">
            <v>0</v>
          </cell>
          <cell r="Q851">
            <v>0</v>
          </cell>
          <cell r="R851">
            <v>143923.84124999997</v>
          </cell>
          <cell r="S851">
            <v>8.8014339637601342</v>
          </cell>
          <cell r="T851">
            <v>0.43159399999999998</v>
          </cell>
          <cell r="U851">
            <v>3.4079575927305102E-3</v>
          </cell>
          <cell r="V851">
            <v>0.03</v>
          </cell>
          <cell r="W851">
            <v>0.26935999999999999</v>
          </cell>
          <cell r="X851">
            <v>12.37857</v>
          </cell>
          <cell r="Y851">
            <v>10.97</v>
          </cell>
          <cell r="Z851">
            <v>0</v>
          </cell>
          <cell r="AA851">
            <v>0</v>
          </cell>
          <cell r="AB851">
            <v>0</v>
          </cell>
          <cell r="AC851">
            <v>0.20812862632274942</v>
          </cell>
          <cell r="AD851">
            <v>9.4040158913993324E-2</v>
          </cell>
          <cell r="AE851">
            <v>0</v>
          </cell>
          <cell r="AF851">
            <v>14.655058658292438</v>
          </cell>
          <cell r="AG851">
            <v>8.5405020781257086</v>
          </cell>
          <cell r="AH851">
            <v>202507</v>
          </cell>
          <cell r="AJ851" t="str">
            <v>Sakhalin-1:Reason awaited from the operator.</v>
          </cell>
        </row>
        <row r="852">
          <cell r="C852">
            <v>45860</v>
          </cell>
          <cell r="D852">
            <v>322224</v>
          </cell>
          <cell r="E852">
            <v>31503</v>
          </cell>
          <cell r="F852">
            <v>24132.95</v>
          </cell>
          <cell r="G852">
            <v>4609</v>
          </cell>
          <cell r="H852">
            <v>2124</v>
          </cell>
          <cell r="I852">
            <v>132217</v>
          </cell>
          <cell r="J852">
            <v>166465</v>
          </cell>
          <cell r="K852">
            <v>47997.82</v>
          </cell>
          <cell r="L852">
            <v>9244</v>
          </cell>
          <cell r="M852">
            <v>438128</v>
          </cell>
          <cell r="N852">
            <v>7406</v>
          </cell>
          <cell r="O852">
            <v>5089</v>
          </cell>
          <cell r="P852">
            <v>0</v>
          </cell>
          <cell r="Q852">
            <v>0</v>
          </cell>
          <cell r="R852">
            <v>143581.677</v>
          </cell>
          <cell r="S852">
            <v>8.6122776067756508</v>
          </cell>
          <cell r="T852">
            <v>0.43734699999999999</v>
          </cell>
          <cell r="U852">
            <v>3.4079575927305102E-3</v>
          </cell>
          <cell r="V852">
            <v>3.1E-2</v>
          </cell>
          <cell r="W852">
            <v>0.26863999999999999</v>
          </cell>
          <cell r="X852">
            <v>12.37857</v>
          </cell>
          <cell r="Y852">
            <v>10.55</v>
          </cell>
          <cell r="Z852">
            <v>0</v>
          </cell>
          <cell r="AA852">
            <v>0</v>
          </cell>
          <cell r="AB852">
            <v>0</v>
          </cell>
          <cell r="AC852">
            <v>0.2075622899245923</v>
          </cell>
          <cell r="AD852">
            <v>9.2992436577402596E-2</v>
          </cell>
          <cell r="AE852">
            <v>0</v>
          </cell>
          <cell r="AF852">
            <v>14.639314506423668</v>
          </cell>
          <cell r="AG852">
            <v>8.4239446729277887</v>
          </cell>
          <cell r="AH852">
            <v>202507</v>
          </cell>
          <cell r="AJ852" t="str">
            <v>Sakhalin-1:Reason awaited from the operator.
SPOC:Prod'n deferred due to ME-3 well shut in for high torque.
ACG:Prod'n deferred due to low prod'n in Central Azeri.</v>
          </cell>
        </row>
        <row r="853">
          <cell r="C853">
            <v>45861</v>
          </cell>
          <cell r="D853">
            <v>325446</v>
          </cell>
          <cell r="E853">
            <v>31560</v>
          </cell>
          <cell r="F853">
            <v>24086.560000000001</v>
          </cell>
          <cell r="G853">
            <v>4535</v>
          </cell>
          <cell r="H853">
            <v>2161</v>
          </cell>
          <cell r="I853">
            <v>132217</v>
          </cell>
          <cell r="J853">
            <v>169323</v>
          </cell>
          <cell r="K853">
            <v>49334.96</v>
          </cell>
          <cell r="L853">
            <v>11678</v>
          </cell>
          <cell r="M853">
            <v>439930</v>
          </cell>
          <cell r="N853">
            <v>6835</v>
          </cell>
          <cell r="O853">
            <v>5168</v>
          </cell>
          <cell r="P853">
            <v>0</v>
          </cell>
          <cell r="Q853">
            <v>0</v>
          </cell>
          <cell r="R853">
            <v>145364.27500000002</v>
          </cell>
          <cell r="S853">
            <v>8.3741331513505699</v>
          </cell>
          <cell r="T853">
            <v>0.43367299999999998</v>
          </cell>
          <cell r="U853">
            <v>3.4079575927305102E-3</v>
          </cell>
          <cell r="V853">
            <v>0.03</v>
          </cell>
          <cell r="W853">
            <v>0.26811000000000001</v>
          </cell>
          <cell r="X853">
            <v>12.37857</v>
          </cell>
          <cell r="Y853">
            <v>10.83</v>
          </cell>
          <cell r="Z853">
            <v>0</v>
          </cell>
          <cell r="AA853">
            <v>0</v>
          </cell>
          <cell r="AB853">
            <v>0</v>
          </cell>
          <cell r="AC853">
            <v>0.19397021636882089</v>
          </cell>
          <cell r="AD853">
            <v>8.0929471296655495E-2</v>
          </cell>
          <cell r="AE853">
            <v>0</v>
          </cell>
          <cell r="AF853">
            <v>14.637445596309751</v>
          </cell>
          <cell r="AG853">
            <v>8.4811189386838066</v>
          </cell>
          <cell r="AH853">
            <v>202507</v>
          </cell>
          <cell r="AJ853" t="str">
            <v>Sakhalin-1:Reason awaited from the operator.
ACG:Prod'n deferred due to low prod'n in Central Azeri.
Vankor:Reason awaited from the operator.
PCB:Prod'n deferred due to power outages in the National Electric System, affecting plant equipment and 16 producing wells.</v>
          </cell>
        </row>
        <row r="854">
          <cell r="C854">
            <v>45862</v>
          </cell>
          <cell r="D854">
            <v>318375</v>
          </cell>
          <cell r="E854">
            <v>31283</v>
          </cell>
          <cell r="F854">
            <v>24081.46</v>
          </cell>
          <cell r="G854">
            <v>4585</v>
          </cell>
          <cell r="H854">
            <v>2164</v>
          </cell>
          <cell r="I854">
            <v>132217</v>
          </cell>
          <cell r="J854">
            <v>170485</v>
          </cell>
          <cell r="K854">
            <v>47848.89</v>
          </cell>
          <cell r="L854">
            <v>11393</v>
          </cell>
          <cell r="M854">
            <v>450016</v>
          </cell>
          <cell r="N854">
            <v>7407</v>
          </cell>
          <cell r="O854">
            <v>4895</v>
          </cell>
          <cell r="P854">
            <v>0</v>
          </cell>
          <cell r="Q854">
            <v>0</v>
          </cell>
          <cell r="R854">
            <v>145326.09449999998</v>
          </cell>
          <cell r="S854">
            <v>8.528742988047469</v>
          </cell>
          <cell r="T854">
            <v>0.43111899999999997</v>
          </cell>
          <cell r="U854">
            <v>3.4079575927305102E-3</v>
          </cell>
          <cell r="V854">
            <v>3.1E-2</v>
          </cell>
          <cell r="W854">
            <v>0.26822000000000001</v>
          </cell>
          <cell r="X854">
            <v>12.37857</v>
          </cell>
          <cell r="Y854">
            <v>10.96</v>
          </cell>
          <cell r="Z854">
            <v>0</v>
          </cell>
          <cell r="AA854">
            <v>0</v>
          </cell>
          <cell r="AB854">
            <v>0</v>
          </cell>
          <cell r="AC854">
            <v>0.20416427153564945</v>
          </cell>
          <cell r="AD854">
            <v>8.2345312292048348E-2</v>
          </cell>
          <cell r="AE854">
            <v>0</v>
          </cell>
          <cell r="AF854">
            <v>14.63891807094496</v>
          </cell>
          <cell r="AG854">
            <v>8.5212996995616859</v>
          </cell>
          <cell r="AH854">
            <v>202507</v>
          </cell>
          <cell r="AJ854" t="str">
            <v>Sakhalin-1:Reason awaited from the operator.
ACG:Prod'n deferred due to low prod'n in Central Azeri.</v>
          </cell>
        </row>
        <row r="855">
          <cell r="C855">
            <v>45863</v>
          </cell>
          <cell r="D855">
            <v>323447</v>
          </cell>
          <cell r="E855">
            <v>31428</v>
          </cell>
          <cell r="F855">
            <v>24058.89</v>
          </cell>
          <cell r="G855">
            <v>4534</v>
          </cell>
          <cell r="H855">
            <v>2115</v>
          </cell>
          <cell r="I855">
            <v>122172</v>
          </cell>
          <cell r="J855">
            <v>166737</v>
          </cell>
          <cell r="K855">
            <v>48681.06</v>
          </cell>
          <cell r="L855">
            <v>4270</v>
          </cell>
          <cell r="M855">
            <v>440798</v>
          </cell>
          <cell r="N855">
            <v>7206</v>
          </cell>
          <cell r="O855">
            <v>4829</v>
          </cell>
          <cell r="P855">
            <v>0</v>
          </cell>
          <cell r="Q855">
            <v>0</v>
          </cell>
          <cell r="R855">
            <v>140512.21025</v>
          </cell>
          <cell r="S855">
            <v>8.3863093839109517</v>
          </cell>
          <cell r="T855">
            <v>0.433892</v>
          </cell>
          <cell r="U855">
            <v>3.4079575927305102E-3</v>
          </cell>
          <cell r="V855">
            <v>3.1E-2</v>
          </cell>
          <cell r="W855">
            <v>0.26752999999999999</v>
          </cell>
          <cell r="X855">
            <v>12.37857</v>
          </cell>
          <cell r="Y855">
            <v>10.96</v>
          </cell>
          <cell r="Z855">
            <v>0</v>
          </cell>
          <cell r="AA855">
            <v>0</v>
          </cell>
          <cell r="AB855">
            <v>0</v>
          </cell>
          <cell r="AC855">
            <v>0.19368704816974233</v>
          </cell>
          <cell r="AD855">
            <v>8.1382540415181212E-2</v>
          </cell>
          <cell r="AE855">
            <v>0</v>
          </cell>
          <cell r="AF855">
            <v>14.641664802476022</v>
          </cell>
          <cell r="AG855">
            <v>8.5161215676799742</v>
          </cell>
          <cell r="AH855">
            <v>202507</v>
          </cell>
          <cell r="AJ855" t="str">
            <v>Sakhalin-1:Sakhalin:Prod'n deferment is observed due to rampdown for the planned shutdown in August 2025..
ACG:Prod'n deferred due to low prod'n in Central Azeri.
SPOC:Prod'n deferred due to Central Power Plant blackout no power supply to TJ FSF wells.</v>
          </cell>
        </row>
        <row r="856">
          <cell r="C856">
            <v>45864</v>
          </cell>
          <cell r="D856">
            <v>325625</v>
          </cell>
          <cell r="E856">
            <v>31616</v>
          </cell>
          <cell r="F856">
            <v>23967.88</v>
          </cell>
          <cell r="G856">
            <v>3925</v>
          </cell>
          <cell r="H856">
            <v>2056</v>
          </cell>
          <cell r="I856">
            <v>122172</v>
          </cell>
          <cell r="J856">
            <v>168005</v>
          </cell>
          <cell r="K856">
            <v>49270.51</v>
          </cell>
          <cell r="L856">
            <v>8304</v>
          </cell>
          <cell r="M856">
            <v>442776</v>
          </cell>
          <cell r="N856">
            <v>7195</v>
          </cell>
          <cell r="O856">
            <v>5018</v>
          </cell>
          <cell r="P856">
            <v>0</v>
          </cell>
          <cell r="Q856">
            <v>0</v>
          </cell>
          <cell r="R856">
            <v>141803.22475000002</v>
          </cell>
          <cell r="S856">
            <v>8.4565350972824334</v>
          </cell>
          <cell r="T856">
            <v>0.43349199999999999</v>
          </cell>
          <cell r="U856">
            <v>3.4079575927305102E-3</v>
          </cell>
          <cell r="V856">
            <v>2.9000000000000001E-2</v>
          </cell>
          <cell r="W856">
            <v>0.26618999999999998</v>
          </cell>
          <cell r="X856">
            <v>12.37857</v>
          </cell>
          <cell r="Y856">
            <v>10.83</v>
          </cell>
          <cell r="Z856">
            <v>0</v>
          </cell>
          <cell r="AA856">
            <v>0</v>
          </cell>
          <cell r="AB856">
            <v>0</v>
          </cell>
          <cell r="AC856">
            <v>0.19623556196144945</v>
          </cell>
          <cell r="AD856">
            <v>8.0787887197116215E-2</v>
          </cell>
          <cell r="AE856">
            <v>0</v>
          </cell>
          <cell r="AF856">
            <v>14.642910742551969</v>
          </cell>
          <cell r="AG856">
            <v>8.4821819548388646</v>
          </cell>
          <cell r="AH856">
            <v>202507</v>
          </cell>
          <cell r="AJ856" t="str">
            <v>Sakhalin-1:Sakhalin:Prod'n deferment is observed due to rampdown for the planned shutdown in August 2025..
ACG:Prod'n deferred due to low prod'n in Central Azeri.
SPOC:Prod'n deferred due to TJH-12 well shutdown due to VSD issue.</v>
          </cell>
        </row>
        <row r="857">
          <cell r="C857">
            <v>45865</v>
          </cell>
          <cell r="D857">
            <v>330134</v>
          </cell>
          <cell r="E857">
            <v>31377</v>
          </cell>
          <cell r="F857">
            <v>23913.33</v>
          </cell>
          <cell r="G857">
            <v>4710</v>
          </cell>
          <cell r="H857">
            <v>2073</v>
          </cell>
          <cell r="I857">
            <v>122172</v>
          </cell>
          <cell r="J857">
            <v>164630</v>
          </cell>
          <cell r="K857">
            <v>48699.54</v>
          </cell>
          <cell r="L857">
            <v>11881</v>
          </cell>
          <cell r="M857">
            <v>443497</v>
          </cell>
          <cell r="N857">
            <v>7439</v>
          </cell>
          <cell r="O857">
            <v>4824</v>
          </cell>
          <cell r="P857">
            <v>0</v>
          </cell>
          <cell r="Q857">
            <v>0</v>
          </cell>
          <cell r="R857">
            <v>142062.68675000002</v>
          </cell>
          <cell r="S857">
            <v>12.057585084964616</v>
          </cell>
          <cell r="T857">
            <v>0.432369</v>
          </cell>
          <cell r="U857">
            <v>3.4079575927305102E-3</v>
          </cell>
          <cell r="V857">
            <v>3.2000000000000001E-2</v>
          </cell>
          <cell r="W857">
            <v>0.26868000000000003</v>
          </cell>
          <cell r="X857">
            <v>12.37857</v>
          </cell>
          <cell r="Y857">
            <v>10.83</v>
          </cell>
          <cell r="Z857">
            <v>0</v>
          </cell>
          <cell r="AA857">
            <v>0</v>
          </cell>
          <cell r="AB857">
            <v>0</v>
          </cell>
          <cell r="AC857">
            <v>0.20926129911906372</v>
          </cell>
          <cell r="AD857">
            <v>9.7806295961738315E-2</v>
          </cell>
          <cell r="AE857">
            <v>0</v>
          </cell>
          <cell r="AF857">
            <v>14.64285410891215</v>
          </cell>
          <cell r="AG857">
            <v>8.5994300238529853</v>
          </cell>
          <cell r="AH857">
            <v>202507</v>
          </cell>
          <cell r="AJ857" t="str">
            <v>Sakhalin-1:Sakhalin:Prod'n deferment is observed due to rampdown for the planned shutdown in August 2025..</v>
          </cell>
        </row>
        <row r="858">
          <cell r="C858">
            <v>45866</v>
          </cell>
          <cell r="D858">
            <v>343999</v>
          </cell>
          <cell r="E858">
            <v>31648</v>
          </cell>
          <cell r="F858">
            <v>23965.190000000002</v>
          </cell>
          <cell r="G858">
            <v>4649</v>
          </cell>
          <cell r="H858">
            <v>2061</v>
          </cell>
          <cell r="I858">
            <v>122172</v>
          </cell>
          <cell r="J858">
            <v>163514</v>
          </cell>
          <cell r="K858">
            <v>48987.13</v>
          </cell>
          <cell r="L858">
            <v>14703</v>
          </cell>
          <cell r="M858">
            <v>450006</v>
          </cell>
          <cell r="N858">
            <v>7387</v>
          </cell>
          <cell r="O858">
            <v>5090</v>
          </cell>
          <cell r="P858">
            <v>0</v>
          </cell>
          <cell r="Q858">
            <v>0</v>
          </cell>
          <cell r="R858">
            <v>143358.79500000001</v>
          </cell>
          <cell r="S858">
            <v>12.635814547483056</v>
          </cell>
          <cell r="T858">
            <v>0.434643</v>
          </cell>
          <cell r="U858">
            <v>3.4079575927305102E-3</v>
          </cell>
          <cell r="V858">
            <v>3.2000000000000001E-2</v>
          </cell>
          <cell r="W858">
            <v>0.26716000000000001</v>
          </cell>
          <cell r="X858">
            <v>12.37857</v>
          </cell>
          <cell r="Y858">
            <v>10.93</v>
          </cell>
          <cell r="Z858">
            <v>0</v>
          </cell>
          <cell r="AA858">
            <v>0</v>
          </cell>
          <cell r="AB858">
            <v>0</v>
          </cell>
          <cell r="AC858">
            <v>0.21265931750800657</v>
          </cell>
          <cell r="AD858">
            <v>8.6762736197674051E-2</v>
          </cell>
          <cell r="AE858">
            <v>0</v>
          </cell>
          <cell r="AF858">
            <v>14.644100048988099</v>
          </cell>
          <cell r="AG858">
            <v>8.6376053835617181</v>
          </cell>
          <cell r="AH858">
            <v>202507</v>
          </cell>
          <cell r="AJ858" t="str">
            <v>Sakhalin-1:New prod'n data received from the operator.
Sakhalin:Sakhalin:Prod'n deferment is observed due to rampdown for the planned shutdown in August 2025.</v>
          </cell>
        </row>
        <row r="859">
          <cell r="C859">
            <v>45867</v>
          </cell>
          <cell r="D859">
            <v>342355</v>
          </cell>
          <cell r="E859">
            <v>31459</v>
          </cell>
          <cell r="F859">
            <v>24012.25</v>
          </cell>
          <cell r="G859">
            <v>4680</v>
          </cell>
          <cell r="H859">
            <v>2117</v>
          </cell>
          <cell r="I859">
            <v>122172</v>
          </cell>
          <cell r="J859">
            <v>165783</v>
          </cell>
          <cell r="K859">
            <v>49431.02</v>
          </cell>
          <cell r="L859">
            <v>9304</v>
          </cell>
          <cell r="M859">
            <v>452651</v>
          </cell>
          <cell r="N859">
            <v>7410</v>
          </cell>
          <cell r="O859">
            <v>4827</v>
          </cell>
          <cell r="P859">
            <v>0</v>
          </cell>
          <cell r="Q859">
            <v>0</v>
          </cell>
          <cell r="R859">
            <v>142765.65375</v>
          </cell>
          <cell r="S859">
            <v>9.890215689217241</v>
          </cell>
          <cell r="T859">
            <v>0.43298700000000001</v>
          </cell>
          <cell r="U859">
            <v>3.4079575927305102E-3</v>
          </cell>
          <cell r="V859">
            <v>3.2000000000000001E-2</v>
          </cell>
          <cell r="W859">
            <v>0.26935000000000003</v>
          </cell>
          <cell r="X859">
            <v>12.37857</v>
          </cell>
          <cell r="Y859">
            <v>10.87</v>
          </cell>
          <cell r="Z859">
            <v>0</v>
          </cell>
          <cell r="AA859">
            <v>0</v>
          </cell>
          <cell r="AB859">
            <v>0</v>
          </cell>
          <cell r="AC859">
            <v>0.20784545812367086</v>
          </cell>
          <cell r="AD859">
            <v>7.2037989845588374E-2</v>
          </cell>
          <cell r="AE859">
            <v>0</v>
          </cell>
          <cell r="AF859">
            <v>14.645091137684872</v>
          </cell>
          <cell r="AG859">
            <v>8.5371885589627841</v>
          </cell>
          <cell r="AH859">
            <v>202507</v>
          </cell>
          <cell r="AJ859" t="str">
            <v>Sakhalin:Prod'n deferment is observed due to rampdown for the planned shutdown in August 2025..</v>
          </cell>
        </row>
        <row r="860">
          <cell r="C860">
            <v>45868</v>
          </cell>
          <cell r="D860">
            <v>342780</v>
          </cell>
          <cell r="E860">
            <v>31591</v>
          </cell>
          <cell r="F860">
            <v>23982.519999999997</v>
          </cell>
          <cell r="G860">
            <v>4761</v>
          </cell>
          <cell r="H860">
            <v>2096</v>
          </cell>
          <cell r="I860">
            <v>122172</v>
          </cell>
          <cell r="J860">
            <v>165155</v>
          </cell>
          <cell r="K860">
            <v>49422.31</v>
          </cell>
          <cell r="L860">
            <v>12094</v>
          </cell>
          <cell r="M860">
            <v>447899</v>
          </cell>
          <cell r="N860">
            <v>7405</v>
          </cell>
          <cell r="O860">
            <v>4906</v>
          </cell>
          <cell r="P860">
            <v>0</v>
          </cell>
          <cell r="Q860">
            <v>0</v>
          </cell>
          <cell r="R860">
            <v>143161.01399999997</v>
          </cell>
          <cell r="S860">
            <v>8.323729211914582</v>
          </cell>
          <cell r="T860">
            <v>0.20066300000000001</v>
          </cell>
          <cell r="U860">
            <v>3.4079575927305102E-3</v>
          </cell>
          <cell r="V860">
            <v>3.1E-2</v>
          </cell>
          <cell r="W860">
            <v>0.26859</v>
          </cell>
          <cell r="X860">
            <v>12.37857</v>
          </cell>
          <cell r="Y860">
            <v>10.71</v>
          </cell>
          <cell r="Z860">
            <v>0</v>
          </cell>
          <cell r="AA860">
            <v>0</v>
          </cell>
          <cell r="AB860">
            <v>0</v>
          </cell>
          <cell r="AC860">
            <v>0.20784545812367086</v>
          </cell>
          <cell r="AD860">
            <v>7.4331652258124797E-2</v>
          </cell>
          <cell r="AE860">
            <v>0</v>
          </cell>
          <cell r="AF860">
            <v>14.644751335845976</v>
          </cell>
          <cell r="AG860">
            <v>8.3866410481540825</v>
          </cell>
          <cell r="AH860">
            <v>202507</v>
          </cell>
          <cell r="AJ860" t="str">
            <v>Sakhalin:Sakhalin:Prod'n deferment is observed due to rampdown for the planned shutdown in August 2025.</v>
          </cell>
        </row>
        <row r="861">
          <cell r="C861">
            <v>45869</v>
          </cell>
          <cell r="D861">
            <v>330492</v>
          </cell>
          <cell r="E861">
            <v>31629</v>
          </cell>
          <cell r="F861">
            <v>23903.149999999998</v>
          </cell>
          <cell r="G861">
            <v>4902</v>
          </cell>
          <cell r="H861">
            <v>2073</v>
          </cell>
          <cell r="I861">
            <v>122172</v>
          </cell>
          <cell r="J861">
            <v>165230</v>
          </cell>
          <cell r="K861">
            <v>49617.82</v>
          </cell>
          <cell r="L861">
            <v>14340</v>
          </cell>
          <cell r="M861">
            <v>460630</v>
          </cell>
          <cell r="N861">
            <v>7382</v>
          </cell>
          <cell r="O861">
            <v>5140</v>
          </cell>
          <cell r="P861">
            <v>0</v>
          </cell>
          <cell r="Q861">
            <v>0</v>
          </cell>
          <cell r="R861">
            <v>144014.32599999997</v>
          </cell>
          <cell r="S861">
            <v>9.3672040255191167</v>
          </cell>
          <cell r="T861">
            <v>0.43263000000000001</v>
          </cell>
          <cell r="U861">
            <v>3.4079575927305102E-3</v>
          </cell>
          <cell r="V861">
            <v>3.2000000000000001E-2</v>
          </cell>
          <cell r="W861">
            <v>0.26806999999999997</v>
          </cell>
          <cell r="X861">
            <v>12.37857</v>
          </cell>
          <cell r="Y861">
            <v>10.54</v>
          </cell>
          <cell r="Z861">
            <v>0</v>
          </cell>
          <cell r="AA861">
            <v>0</v>
          </cell>
          <cell r="AB861">
            <v>0</v>
          </cell>
          <cell r="AC861">
            <v>0.21605733589694942</v>
          </cell>
          <cell r="AD861">
            <v>7.3793632679875515E-2</v>
          </cell>
          <cell r="AE861">
            <v>0</v>
          </cell>
          <cell r="AF861">
            <v>14.66652697035512</v>
          </cell>
          <cell r="AG861">
            <v>8.4399637330423296</v>
          </cell>
          <cell r="AH861">
            <v>202507</v>
          </cell>
          <cell r="AJ861" t="str">
            <v>Sakhalin:Sakhalin:Prod'n deferment is observed due to rampdown for the planned shutdown in August 2025.</v>
          </cell>
        </row>
        <row r="862">
          <cell r="C862">
            <v>45870</v>
          </cell>
          <cell r="D862">
            <v>330347</v>
          </cell>
          <cell r="E862">
            <v>31453</v>
          </cell>
          <cell r="F862">
            <v>23934.32</v>
          </cell>
          <cell r="G862">
            <v>5236</v>
          </cell>
          <cell r="H862">
            <v>2171</v>
          </cell>
          <cell r="I862">
            <v>0</v>
          </cell>
          <cell r="J862">
            <v>166065</v>
          </cell>
          <cell r="K862">
            <v>50309.77</v>
          </cell>
          <cell r="L862">
            <v>8872</v>
          </cell>
          <cell r="M862">
            <v>390684</v>
          </cell>
          <cell r="N862">
            <v>7402</v>
          </cell>
          <cell r="O862">
            <v>4967</v>
          </cell>
          <cell r="P862">
            <v>0</v>
          </cell>
          <cell r="Q862">
            <v>0</v>
          </cell>
          <cell r="R862">
            <v>116021.07625000001</v>
          </cell>
          <cell r="S862">
            <v>11.699660481329303</v>
          </cell>
          <cell r="T862">
            <v>0.432863</v>
          </cell>
          <cell r="U862">
            <v>3.4079575927305102E-3</v>
          </cell>
          <cell r="V862">
            <v>3.1E-2</v>
          </cell>
          <cell r="W862">
            <v>0.29422999999999999</v>
          </cell>
          <cell r="X862">
            <v>0</v>
          </cell>
          <cell r="Y862">
            <v>10.8</v>
          </cell>
          <cell r="Z862">
            <v>0</v>
          </cell>
          <cell r="AA862">
            <v>0</v>
          </cell>
          <cell r="AB862">
            <v>0</v>
          </cell>
          <cell r="AC862">
            <v>0.21152664471169227</v>
          </cell>
          <cell r="AD862">
            <v>7.5605909153978371E-2</v>
          </cell>
          <cell r="AE862">
            <v>0</v>
          </cell>
          <cell r="AF862">
            <v>14.662421031468481</v>
          </cell>
          <cell r="AG862">
            <v>6.1253255193233134</v>
          </cell>
          <cell r="AH862">
            <v>202508</v>
          </cell>
          <cell r="AJ862" t="str">
            <v>Sakhalin:Sakhalin:Prod'n deferment is observed due to rampdown for the planned shutdown in August 2025.
SPOC:Prod'n deferred due to power tripped in TJ-25, TJ-7, TJH-20, TJH-23, TJ-1 flowing wells supply affected. 
LZC:Prod'n deferred due to GPF Train-1 PM &amp; Rig activities.</v>
          </cell>
        </row>
        <row r="863">
          <cell r="C863">
            <v>45871</v>
          </cell>
          <cell r="D863">
            <v>310464</v>
          </cell>
          <cell r="E863">
            <v>31484</v>
          </cell>
          <cell r="F863">
            <v>23917.79</v>
          </cell>
          <cell r="G863">
            <v>5278</v>
          </cell>
          <cell r="H863">
            <v>2137</v>
          </cell>
          <cell r="I863">
            <v>0</v>
          </cell>
          <cell r="J863">
            <v>166317</v>
          </cell>
          <cell r="K863">
            <v>49592.59</v>
          </cell>
          <cell r="L863">
            <v>11394</v>
          </cell>
          <cell r="M863">
            <v>379802</v>
          </cell>
          <cell r="N863">
            <v>7402</v>
          </cell>
          <cell r="O863">
            <v>5152</v>
          </cell>
          <cell r="P863">
            <v>0</v>
          </cell>
          <cell r="Q863">
            <v>0</v>
          </cell>
          <cell r="R863">
            <v>115556.675</v>
          </cell>
          <cell r="S863">
            <v>9.1712516317567498</v>
          </cell>
          <cell r="T863">
            <v>0.43354999999999999</v>
          </cell>
          <cell r="U863">
            <v>3.4079575927305102E-3</v>
          </cell>
          <cell r="V863">
            <v>3.1E-2</v>
          </cell>
          <cell r="W863">
            <v>0.29943000000000003</v>
          </cell>
          <cell r="X863">
            <v>0</v>
          </cell>
          <cell r="Y863">
            <v>10.8</v>
          </cell>
          <cell r="Z863">
            <v>0</v>
          </cell>
          <cell r="AA863">
            <v>0</v>
          </cell>
          <cell r="AB863">
            <v>0</v>
          </cell>
          <cell r="AC863">
            <v>0.21464149490155657</v>
          </cell>
          <cell r="AD863">
            <v>7.5605909153978371E-2</v>
          </cell>
          <cell r="AE863">
            <v>0</v>
          </cell>
          <cell r="AF863">
            <v>14.680515479389602</v>
          </cell>
          <cell r="AG863">
            <v>6.060173740140792</v>
          </cell>
          <cell r="AH863">
            <v>202508</v>
          </cell>
          <cell r="AJ863" t="str">
            <v>Sakhalin:Sakhalin:Prod'n deferment is observed due to rampdown for the planned shutdown in August 2025.
LZC:Prod'n deferred due to GPF Train-1 PM &amp; Rig activities.
ACG:Prod'n deferred due to  time out for safety(TOFS) reasons.</v>
          </cell>
        </row>
        <row r="864">
          <cell r="C864">
            <v>45872</v>
          </cell>
          <cell r="D864">
            <v>307874</v>
          </cell>
          <cell r="E864">
            <v>31415</v>
          </cell>
          <cell r="F864">
            <v>23945.07</v>
          </cell>
          <cell r="G864">
            <v>5332</v>
          </cell>
          <cell r="H864">
            <v>2178</v>
          </cell>
          <cell r="I864">
            <v>0</v>
          </cell>
          <cell r="J864">
            <v>166651</v>
          </cell>
          <cell r="K864">
            <v>49933.53</v>
          </cell>
          <cell r="L864">
            <v>13067</v>
          </cell>
          <cell r="M864">
            <v>410720</v>
          </cell>
          <cell r="N864">
            <v>7594</v>
          </cell>
          <cell r="O864">
            <v>5029</v>
          </cell>
          <cell r="P864">
            <v>0</v>
          </cell>
          <cell r="Q864">
            <v>0</v>
          </cell>
          <cell r="R864">
            <v>117333.70975000002</v>
          </cell>
          <cell r="S864">
            <v>9.0053150670967046</v>
          </cell>
          <cell r="T864">
            <v>0.43113499999999999</v>
          </cell>
          <cell r="U864">
            <v>3.4079575927305102E-3</v>
          </cell>
          <cell r="V864">
            <v>0.03</v>
          </cell>
          <cell r="W864">
            <v>0.29431999999999997</v>
          </cell>
          <cell r="X864">
            <v>0</v>
          </cell>
          <cell r="Y864">
            <v>10.78</v>
          </cell>
          <cell r="Z864">
            <v>0</v>
          </cell>
          <cell r="AA864">
            <v>0</v>
          </cell>
          <cell r="AB864">
            <v>0</v>
          </cell>
          <cell r="AC864">
            <v>0.21039397191537801</v>
          </cell>
          <cell r="AD864">
            <v>7.3652048580336235E-2</v>
          </cell>
          <cell r="AE864">
            <v>0</v>
          </cell>
          <cell r="AF864">
            <v>14.662421031468481</v>
          </cell>
          <cell r="AG864">
            <v>6.0395332177199581</v>
          </cell>
          <cell r="AH864">
            <v>202508</v>
          </cell>
          <cell r="AJ864" t="str">
            <v>Sakhalin:Sakhalin:Prod'n deferment is observed due to rampdown for the planned shutdown in August 2025.
ACG:Prod'n deferred due to  time out for safety(TOFS) reasons.</v>
          </cell>
        </row>
        <row r="865">
          <cell r="C865">
            <v>45873</v>
          </cell>
          <cell r="D865">
            <v>311013</v>
          </cell>
          <cell r="E865">
            <v>31302</v>
          </cell>
          <cell r="F865">
            <v>23862.429999999997</v>
          </cell>
          <cell r="G865">
            <v>5344</v>
          </cell>
          <cell r="H865">
            <v>2131</v>
          </cell>
          <cell r="I865">
            <v>0</v>
          </cell>
          <cell r="J865">
            <v>166585</v>
          </cell>
          <cell r="K865">
            <v>45766.91</v>
          </cell>
          <cell r="L865">
            <v>7060</v>
          </cell>
          <cell r="M865">
            <v>403996</v>
          </cell>
          <cell r="N865">
            <v>7248</v>
          </cell>
          <cell r="O865">
            <v>5046</v>
          </cell>
          <cell r="P865">
            <v>0</v>
          </cell>
          <cell r="Q865">
            <v>0</v>
          </cell>
          <cell r="R865">
            <v>114487.94375000001</v>
          </cell>
          <cell r="S865">
            <v>9.2397783359337602</v>
          </cell>
          <cell r="T865">
            <v>0.37453599999999998</v>
          </cell>
          <cell r="U865">
            <v>3.4079575927305102E-3</v>
          </cell>
          <cell r="V865">
            <v>2.9000000000000001E-2</v>
          </cell>
          <cell r="W865">
            <v>0.28456999999999999</v>
          </cell>
          <cell r="X865">
            <v>0</v>
          </cell>
          <cell r="Y865">
            <v>3.31</v>
          </cell>
          <cell r="Z865">
            <v>0</v>
          </cell>
          <cell r="AA865">
            <v>0</v>
          </cell>
          <cell r="AB865">
            <v>0</v>
          </cell>
          <cell r="AC865">
            <v>0.21011080371629942</v>
          </cell>
          <cell r="AD865">
            <v>7.7984522026238359E-2</v>
          </cell>
          <cell r="AE865">
            <v>0</v>
          </cell>
          <cell r="AF865">
            <v>14.555581669956135</v>
          </cell>
          <cell r="AG865">
            <v>4.0621986877528053</v>
          </cell>
          <cell r="AH865">
            <v>202508</v>
          </cell>
          <cell r="AJ865" t="str">
            <v>Sakhalin:Sakhalin:Prod'n deferment is observed due to rampdown for the planned shutdown in August 2025.
ACG:Prod'n deferred due to  time out for safety(TOFS) reasons.
SPOC:Prod'n deferred due to TJH-10, TJH-12, and TJH-14 wells shutdown due to VSD issue.
Vankor:Reason awaited from the operator.</v>
          </cell>
        </row>
        <row r="866">
          <cell r="C866">
            <v>45874</v>
          </cell>
          <cell r="D866">
            <v>305593</v>
          </cell>
          <cell r="E866">
            <v>28044</v>
          </cell>
          <cell r="F866">
            <v>23922.84</v>
          </cell>
          <cell r="G866">
            <v>5321</v>
          </cell>
          <cell r="H866">
            <v>2217</v>
          </cell>
          <cell r="I866">
            <v>0</v>
          </cell>
          <cell r="J866">
            <v>167555</v>
          </cell>
          <cell r="K866">
            <v>47230.400000000001</v>
          </cell>
          <cell r="L866">
            <v>10316</v>
          </cell>
          <cell r="M866">
            <v>425174</v>
          </cell>
          <cell r="N866">
            <v>7138</v>
          </cell>
          <cell r="O866">
            <v>1500</v>
          </cell>
          <cell r="P866">
            <v>0</v>
          </cell>
          <cell r="Q866">
            <v>0</v>
          </cell>
          <cell r="R866">
            <v>114386.73824999999</v>
          </cell>
          <cell r="S866">
            <v>9.4991604062897359</v>
          </cell>
          <cell r="T866">
            <v>0.43176999999999999</v>
          </cell>
          <cell r="U866">
            <v>3.4079575927305102E-3</v>
          </cell>
          <cell r="V866">
            <v>2.9000000000000001E-2</v>
          </cell>
          <cell r="W866">
            <v>0.27705000000000002</v>
          </cell>
          <cell r="X866">
            <v>0</v>
          </cell>
          <cell r="Y866">
            <v>2.95</v>
          </cell>
          <cell r="Z866">
            <v>0</v>
          </cell>
          <cell r="AA866">
            <v>0</v>
          </cell>
          <cell r="AB866">
            <v>0</v>
          </cell>
          <cell r="AC866">
            <v>0.20189892594302089</v>
          </cell>
          <cell r="AD866">
            <v>8.1071055396194774E-2</v>
          </cell>
          <cell r="AE866">
            <v>0</v>
          </cell>
          <cell r="AF866">
            <v>14.551305830150049</v>
          </cell>
          <cell r="AG866">
            <v>3.9837232073366051</v>
          </cell>
          <cell r="AH866">
            <v>202508</v>
          </cell>
          <cell r="AJ866" t="str">
            <v>Sakhalin-1:New prod'n data received from the operator.
Sakhalin:Prod'n deferment is observed due to rampdown for the planned shutdown in August 2025.
ACG:Prod'n deferred due to  time out for safety(TOFS) reasons.
SCB:Prod'n deferred due to clogging in the crude heater, which disrupted the dispatch of process crude oil.
Vankor:Reason awaited from the operator.</v>
          </cell>
        </row>
        <row r="867">
          <cell r="C867">
            <v>45875</v>
          </cell>
          <cell r="D867">
            <v>326872</v>
          </cell>
          <cell r="E867">
            <v>29013</v>
          </cell>
          <cell r="F867">
            <v>23891.120000000003</v>
          </cell>
          <cell r="G867">
            <v>5256</v>
          </cell>
          <cell r="H867">
            <v>2132</v>
          </cell>
          <cell r="I867">
            <v>0</v>
          </cell>
          <cell r="J867">
            <v>165905</v>
          </cell>
          <cell r="K867">
            <v>46584.66</v>
          </cell>
          <cell r="L867">
            <v>13779</v>
          </cell>
          <cell r="M867">
            <v>429029</v>
          </cell>
          <cell r="N867">
            <v>7604</v>
          </cell>
          <cell r="O867">
            <v>6725</v>
          </cell>
          <cell r="P867">
            <v>0</v>
          </cell>
          <cell r="Q867">
            <v>0</v>
          </cell>
          <cell r="R867">
            <v>117671.54875000002</v>
          </cell>
          <cell r="S867">
            <v>9.114051655542875</v>
          </cell>
          <cell r="T867">
            <v>0.43079899999999999</v>
          </cell>
          <cell r="U867">
            <v>3.4079575927305102E-3</v>
          </cell>
          <cell r="V867">
            <v>2.9000000000000001E-2</v>
          </cell>
          <cell r="W867">
            <v>0.27454000000000001</v>
          </cell>
          <cell r="X867">
            <v>0</v>
          </cell>
          <cell r="Y867">
            <v>2.4900000000000002</v>
          </cell>
          <cell r="Z867">
            <v>0</v>
          </cell>
          <cell r="AA867">
            <v>0</v>
          </cell>
          <cell r="AB867">
            <v>0</v>
          </cell>
          <cell r="AC867">
            <v>0.20727912172551374</v>
          </cell>
          <cell r="AD867">
            <v>9.1378377842654748E-2</v>
          </cell>
          <cell r="AE867">
            <v>0</v>
          </cell>
          <cell r="AF867">
            <v>14.550371375093091</v>
          </cell>
          <cell r="AG867">
            <v>3.8546424995322344</v>
          </cell>
          <cell r="AH867">
            <v>202508</v>
          </cell>
          <cell r="AJ867" t="str">
            <v>Sakhalin:Prod'n from Sakhalin-1 project as Nil from 02.08.2025 due to planned field shut down.
ACG:Prod'n deferred due to  time out for safety(TOFS) reasons.
Vankor:Reason awaited from the operator.</v>
          </cell>
        </row>
        <row r="868">
          <cell r="C868">
            <v>45876</v>
          </cell>
          <cell r="D868">
            <v>364173</v>
          </cell>
          <cell r="E868">
            <v>31270</v>
          </cell>
          <cell r="F868">
            <v>23859.25</v>
          </cell>
          <cell r="G868">
            <v>5221</v>
          </cell>
          <cell r="H868">
            <v>2122</v>
          </cell>
          <cell r="I868">
            <v>0</v>
          </cell>
          <cell r="J868">
            <v>165667</v>
          </cell>
          <cell r="K868">
            <v>49453.24</v>
          </cell>
          <cell r="L868">
            <v>15838</v>
          </cell>
          <cell r="M868">
            <v>429628</v>
          </cell>
          <cell r="N868">
            <v>7607</v>
          </cell>
          <cell r="O868">
            <v>6447</v>
          </cell>
          <cell r="P868">
            <v>0</v>
          </cell>
          <cell r="Q868">
            <v>0</v>
          </cell>
          <cell r="R868">
            <v>120387.27274999999</v>
          </cell>
          <cell r="S868">
            <v>9.7979028563176271</v>
          </cell>
          <cell r="T868">
            <v>0.432195</v>
          </cell>
          <cell r="U868">
            <v>3.4079575927305102E-3</v>
          </cell>
          <cell r="V868">
            <v>0.03</v>
          </cell>
          <cell r="W868">
            <v>0.27282000000000001</v>
          </cell>
          <cell r="X868">
            <v>0</v>
          </cell>
          <cell r="Y868">
            <v>2.4300000000000002</v>
          </cell>
          <cell r="Z868">
            <v>0</v>
          </cell>
          <cell r="AA868">
            <v>0</v>
          </cell>
          <cell r="AB868">
            <v>0</v>
          </cell>
          <cell r="AC868">
            <v>0.20784545812367086</v>
          </cell>
          <cell r="AD868">
            <v>9.8004513701093296E-2</v>
          </cell>
          <cell r="AE868">
            <v>0</v>
          </cell>
          <cell r="AF868">
            <v>14.552778304785258</v>
          </cell>
          <cell r="AG868">
            <v>3.861323996549737</v>
          </cell>
          <cell r="AH868">
            <v>202508</v>
          </cell>
          <cell r="AJ868" t="str">
            <v>Sakhalin:Prod'n from Sakhalin-1 project as Nil from 02.08.2025 due to planned field shut down.
Vankor: Prod'n deferred due to gas injection during annual preventive maintenance.
GPOC:Prod'n deferred due to downhole problems.</v>
          </cell>
        </row>
        <row r="869">
          <cell r="C869">
            <v>45877</v>
          </cell>
          <cell r="D869">
            <v>319223</v>
          </cell>
          <cell r="E869">
            <v>27698</v>
          </cell>
          <cell r="F869">
            <v>23851.489999999998</v>
          </cell>
          <cell r="G869">
            <v>5103</v>
          </cell>
          <cell r="H869">
            <v>2096</v>
          </cell>
          <cell r="I869">
            <v>0</v>
          </cell>
          <cell r="J869">
            <v>166135</v>
          </cell>
          <cell r="K869">
            <v>48536.69</v>
          </cell>
          <cell r="L869">
            <v>11660</v>
          </cell>
          <cell r="M869">
            <v>435293</v>
          </cell>
          <cell r="N869">
            <v>7639</v>
          </cell>
          <cell r="O869">
            <v>5147</v>
          </cell>
          <cell r="P869">
            <v>0</v>
          </cell>
          <cell r="Q869">
            <v>0</v>
          </cell>
          <cell r="R869">
            <v>116612.33325000001</v>
          </cell>
          <cell r="S869">
            <v>8.9803962655777898</v>
          </cell>
          <cell r="T869">
            <v>0.41602899999999998</v>
          </cell>
          <cell r="U869">
            <v>3.4079575927305102E-3</v>
          </cell>
          <cell r="V869">
            <v>0.03</v>
          </cell>
          <cell r="W869">
            <v>0.27177999999999997</v>
          </cell>
          <cell r="X869">
            <v>0</v>
          </cell>
          <cell r="Y869">
            <v>2.41</v>
          </cell>
          <cell r="Z869">
            <v>0</v>
          </cell>
          <cell r="AA869">
            <v>0</v>
          </cell>
          <cell r="AB869">
            <v>0</v>
          </cell>
          <cell r="AC869">
            <v>0.21152664471169227</v>
          </cell>
          <cell r="AD869">
            <v>7.3057395362271238E-2</v>
          </cell>
          <cell r="AE869">
            <v>0</v>
          </cell>
          <cell r="AF869">
            <v>14.576960868986568</v>
          </cell>
          <cell r="AG869">
            <v>3.8213442278739729</v>
          </cell>
          <cell r="AH869">
            <v>202508</v>
          </cell>
          <cell r="AJ869" t="str">
            <v>Sakhalin:Prod'n from Sakhalin-1 project as Nil from 02.08.2025 due to planned field shut down.
Vankor: Prod'n deferred due to gas injection during annual preventive maintenance.
GPOC:Prod'n deferred due to downhole problems.</v>
          </cell>
        </row>
        <row r="870">
          <cell r="C870">
            <v>45878</v>
          </cell>
          <cell r="D870">
            <v>335991</v>
          </cell>
          <cell r="E870">
            <v>19730</v>
          </cell>
          <cell r="F870">
            <v>23849.26</v>
          </cell>
          <cell r="G870">
            <v>5034</v>
          </cell>
          <cell r="H870">
            <v>2135</v>
          </cell>
          <cell r="I870">
            <v>0</v>
          </cell>
          <cell r="J870">
            <v>166325</v>
          </cell>
          <cell r="K870">
            <v>48334.64</v>
          </cell>
          <cell r="L870">
            <v>10021</v>
          </cell>
          <cell r="M870">
            <v>428000</v>
          </cell>
          <cell r="N870">
            <v>7735</v>
          </cell>
          <cell r="O870">
            <v>5020</v>
          </cell>
          <cell r="P870">
            <v>0</v>
          </cell>
          <cell r="Q870">
            <v>0</v>
          </cell>
          <cell r="R870">
            <v>114225.89500000002</v>
          </cell>
          <cell r="S870">
            <v>9.150580353224008</v>
          </cell>
          <cell r="T870">
            <v>0.332791</v>
          </cell>
          <cell r="U870">
            <v>3.4079575927305102E-3</v>
          </cell>
          <cell r="V870">
            <v>2.9000000000000001E-2</v>
          </cell>
          <cell r="W870">
            <v>0.26891000000000004</v>
          </cell>
          <cell r="X870">
            <v>0</v>
          </cell>
          <cell r="Y870">
            <v>4.12</v>
          </cell>
          <cell r="Z870">
            <v>0</v>
          </cell>
          <cell r="AA870">
            <v>0</v>
          </cell>
          <cell r="AB870">
            <v>0</v>
          </cell>
          <cell r="AC870">
            <v>0.21634050409602798</v>
          </cell>
          <cell r="AD870">
            <v>9.1066892823668324E-2</v>
          </cell>
          <cell r="AE870">
            <v>0</v>
          </cell>
          <cell r="AF870">
            <v>14.619662633407616</v>
          </cell>
          <cell r="AG870">
            <v>4.2600704759060388</v>
          </cell>
          <cell r="AH870">
            <v>202508</v>
          </cell>
          <cell r="AJ870" t="str">
            <v>Sakhalin:Prod'n from Sakhalin-1 project as Nil from 02.08.2025 due to planned field shut down.
Vankor: Prod'n deferred due to gas injection during annual preventive maintenance.
GPOC:Prod'n deferred due to downhole problems.
BC-10:Prod'n deferred due to ALM 2 Train B being offline.</v>
          </cell>
        </row>
        <row r="871">
          <cell r="C871">
            <v>45879</v>
          </cell>
          <cell r="D871">
            <v>326447</v>
          </cell>
          <cell r="E871">
            <v>21377</v>
          </cell>
          <cell r="F871">
            <v>23832.799999999999</v>
          </cell>
          <cell r="G871">
            <v>5048</v>
          </cell>
          <cell r="H871">
            <v>2071</v>
          </cell>
          <cell r="I871">
            <v>0</v>
          </cell>
          <cell r="J871">
            <v>164620</v>
          </cell>
          <cell r="K871">
            <v>49315.09</v>
          </cell>
          <cell r="L871">
            <v>8024</v>
          </cell>
          <cell r="M871">
            <v>426576</v>
          </cell>
          <cell r="N871">
            <v>7720</v>
          </cell>
          <cell r="O871">
            <v>4922</v>
          </cell>
          <cell r="P871">
            <v>0</v>
          </cell>
          <cell r="Q871">
            <v>0</v>
          </cell>
          <cell r="R871">
            <v>113545.12724999999</v>
          </cell>
          <cell r="S871">
            <v>9.2536535776886133</v>
          </cell>
          <cell r="T871">
            <v>0.35518699999999997</v>
          </cell>
          <cell r="U871">
            <v>3.4079575927305102E-3</v>
          </cell>
          <cell r="V871">
            <v>2.9000000000000001E-2</v>
          </cell>
          <cell r="W871">
            <v>0.26389999999999997</v>
          </cell>
          <cell r="X871">
            <v>0</v>
          </cell>
          <cell r="Y871">
            <v>7.01</v>
          </cell>
          <cell r="Z871">
            <v>0</v>
          </cell>
          <cell r="AA871">
            <v>0</v>
          </cell>
          <cell r="AB871">
            <v>0</v>
          </cell>
          <cell r="AC871">
            <v>0.21322565390616371</v>
          </cell>
          <cell r="AD871">
            <v>9.9335404236762584E-2</v>
          </cell>
          <cell r="AE871">
            <v>0</v>
          </cell>
          <cell r="AF871">
            <v>14.610997686515811</v>
          </cell>
          <cell r="AG871">
            <v>5.0170140177943745</v>
          </cell>
          <cell r="AH871">
            <v>202508</v>
          </cell>
          <cell r="AJ871" t="str">
            <v>Sakhalin:Prod'n from Sakhalin-1 project as Nil from 02.08.2025 due to planned field shut down.
Vankor: Prod'n deferred due to gas injection during annual preventive maintenance.
GPOC:Prod'n deferred due to downhole problems.
BC-10:Prod'n deferred due to ALM 2 Train B being offline.
SPOC:Prod'n deferred due to water draining.</v>
          </cell>
        </row>
        <row r="872">
          <cell r="C872">
            <v>45880</v>
          </cell>
          <cell r="D872">
            <v>333887</v>
          </cell>
          <cell r="E872">
            <v>27943</v>
          </cell>
          <cell r="F872">
            <v>23798.02</v>
          </cell>
          <cell r="G872">
            <v>5019</v>
          </cell>
          <cell r="H872">
            <v>2104</v>
          </cell>
          <cell r="I872">
            <v>0</v>
          </cell>
          <cell r="J872">
            <v>165663</v>
          </cell>
          <cell r="K872">
            <v>48276.19</v>
          </cell>
          <cell r="L872">
            <v>15247</v>
          </cell>
          <cell r="M872">
            <v>435799</v>
          </cell>
          <cell r="N872">
            <v>7912</v>
          </cell>
          <cell r="O872">
            <v>4939</v>
          </cell>
          <cell r="P872">
            <v>0</v>
          </cell>
          <cell r="Q872">
            <v>0</v>
          </cell>
          <cell r="R872">
            <v>117680.565</v>
          </cell>
          <cell r="S872">
            <v>9.6894494360705288</v>
          </cell>
          <cell r="T872">
            <v>0.37791200000000003</v>
          </cell>
          <cell r="U872">
            <v>3.4079575927305102E-3</v>
          </cell>
          <cell r="V872">
            <v>2.9000000000000001E-2</v>
          </cell>
          <cell r="W872">
            <v>0.26038</v>
          </cell>
          <cell r="X872">
            <v>0</v>
          </cell>
          <cell r="Y872">
            <v>10.78</v>
          </cell>
          <cell r="Z872">
            <v>0</v>
          </cell>
          <cell r="AA872">
            <v>0</v>
          </cell>
          <cell r="AB872">
            <v>0</v>
          </cell>
          <cell r="AC872">
            <v>0.21747317689234227</v>
          </cell>
          <cell r="AD872">
            <v>0.11669361484027899</v>
          </cell>
          <cell r="AE872">
            <v>0</v>
          </cell>
          <cell r="AF872">
            <v>14.599104622154512</v>
          </cell>
          <cell r="AG872">
            <v>6.0179654874805113</v>
          </cell>
          <cell r="AH872">
            <v>202508</v>
          </cell>
          <cell r="AJ872" t="str">
            <v>Sakhalin:Prod'n from Sakhalin-1 project as Nil from 02.08.2025 due to planned field shut down.
Vankor: Prod'n deferred due to gas injection during annual preventive maintenance.
GPOC:Prod'n deferred due to downhole problems.</v>
          </cell>
        </row>
        <row r="873">
          <cell r="C873">
            <v>45881</v>
          </cell>
          <cell r="D873">
            <v>335849</v>
          </cell>
          <cell r="E873">
            <v>29075</v>
          </cell>
          <cell r="F873">
            <v>23800.400000000001</v>
          </cell>
          <cell r="G873">
            <v>4985</v>
          </cell>
          <cell r="H873">
            <v>2100</v>
          </cell>
          <cell r="I873">
            <v>0</v>
          </cell>
          <cell r="J873">
            <v>166676</v>
          </cell>
          <cell r="K873">
            <v>48036.82</v>
          </cell>
          <cell r="L873">
            <v>13971</v>
          </cell>
          <cell r="M873">
            <v>452346</v>
          </cell>
          <cell r="N873">
            <v>7929</v>
          </cell>
          <cell r="O873">
            <v>0</v>
          </cell>
          <cell r="P873">
            <v>0</v>
          </cell>
          <cell r="Q873">
            <v>0</v>
          </cell>
          <cell r="R873">
            <v>116608.11200000001</v>
          </cell>
          <cell r="S873">
            <v>10.54518373368597</v>
          </cell>
          <cell r="T873">
            <v>0.42145100000000002</v>
          </cell>
          <cell r="U873">
            <v>3.4079575927305102E-3</v>
          </cell>
          <cell r="V873">
            <v>3.1E-2</v>
          </cell>
          <cell r="W873">
            <v>0.27379999999999999</v>
          </cell>
          <cell r="X873">
            <v>0</v>
          </cell>
          <cell r="Y873">
            <v>10.79</v>
          </cell>
          <cell r="Z873">
            <v>0</v>
          </cell>
          <cell r="AA873">
            <v>0</v>
          </cell>
          <cell r="AB873">
            <v>0</v>
          </cell>
          <cell r="AC873">
            <v>0.21945535428589227</v>
          </cell>
          <cell r="AD873">
            <v>6.8243535977935532E-2</v>
          </cell>
          <cell r="AE873">
            <v>0</v>
          </cell>
          <cell r="AF873">
            <v>14.599104622154512</v>
          </cell>
          <cell r="AG873">
            <v>6.052609253654115</v>
          </cell>
          <cell r="AH873">
            <v>202508</v>
          </cell>
          <cell r="AJ873" t="str">
            <v>Sakhalin:Prod'n deferred due to the scheduled shutdown in August 2025 for the replacement of the gas flare tip at Chayvo and maintenance/replacement activities across all Sakhalin-1 facilities, which commenced on 1st August 2025.
GPOC:Prod'n deferred due to downhole problems.
SCB:Prod'n deferred due to high water level in storage tank, can't fiscalize volume.</v>
          </cell>
        </row>
        <row r="874">
          <cell r="C874">
            <v>45882</v>
          </cell>
          <cell r="D874">
            <v>307873</v>
          </cell>
          <cell r="E874">
            <v>21377</v>
          </cell>
          <cell r="F874">
            <v>23691.24</v>
          </cell>
          <cell r="G874">
            <v>4972</v>
          </cell>
          <cell r="H874">
            <v>2085</v>
          </cell>
          <cell r="I874">
            <v>0</v>
          </cell>
          <cell r="J874">
            <v>167022</v>
          </cell>
          <cell r="K874">
            <v>48637.08</v>
          </cell>
          <cell r="L874">
            <v>10834</v>
          </cell>
          <cell r="M874">
            <v>433779</v>
          </cell>
          <cell r="N874">
            <v>7955</v>
          </cell>
          <cell r="O874">
            <v>6751</v>
          </cell>
          <cell r="P874">
            <v>0</v>
          </cell>
          <cell r="Q874">
            <v>0</v>
          </cell>
          <cell r="R874">
            <v>115057.24575</v>
          </cell>
          <cell r="S874">
            <v>9.2335486355540333</v>
          </cell>
          <cell r="T874">
            <v>0.23988000000000001</v>
          </cell>
          <cell r="U874">
            <v>3.4079575927305102E-3</v>
          </cell>
          <cell r="V874">
            <v>3.1E-2</v>
          </cell>
          <cell r="W874">
            <v>0.27171000000000001</v>
          </cell>
          <cell r="X874">
            <v>0</v>
          </cell>
          <cell r="Y874">
            <v>10.84</v>
          </cell>
          <cell r="Z874">
            <v>0</v>
          </cell>
          <cell r="AA874">
            <v>0</v>
          </cell>
          <cell r="AB874">
            <v>0</v>
          </cell>
          <cell r="AC874">
            <v>0.22172069987852083</v>
          </cell>
          <cell r="AD874">
            <v>9.6928474544594745E-2</v>
          </cell>
          <cell r="AE874">
            <v>0</v>
          </cell>
          <cell r="AF874">
            <v>14.99066960784036</v>
          </cell>
          <cell r="AG874">
            <v>6.0544189680422038</v>
          </cell>
          <cell r="AH874">
            <v>202508</v>
          </cell>
          <cell r="AJ874" t="str">
            <v>Sakhalin:Prod'n deferred due to the scheduled shutdown in August 2025 for the replacement of the gas flare tip at Chayvo and maintenance/replacement activities across all Sakhalin-1 facilities, which commenced on 1st August 2025.
GPOC:Prod'n deferred due to downhole problems.
BC-10:Prod'n deferred due to ALM 1  train C is offline.</v>
          </cell>
        </row>
        <row r="875">
          <cell r="C875">
            <v>45883</v>
          </cell>
          <cell r="D875">
            <v>322077</v>
          </cell>
          <cell r="E875">
            <v>25453</v>
          </cell>
          <cell r="F875">
            <v>23747.33</v>
          </cell>
          <cell r="G875">
            <v>4901</v>
          </cell>
          <cell r="H875">
            <v>2074</v>
          </cell>
          <cell r="I875">
            <v>0</v>
          </cell>
          <cell r="J875">
            <v>167676</v>
          </cell>
          <cell r="K875">
            <v>48506.68</v>
          </cell>
          <cell r="L875">
            <v>13359</v>
          </cell>
          <cell r="M875">
            <v>422615</v>
          </cell>
          <cell r="N875">
            <v>7901</v>
          </cell>
          <cell r="O875">
            <v>6762</v>
          </cell>
          <cell r="P875">
            <v>0</v>
          </cell>
          <cell r="Q875">
            <v>0</v>
          </cell>
          <cell r="R875">
            <v>116864.492</v>
          </cell>
          <cell r="S875">
            <v>9.5235128714104871</v>
          </cell>
          <cell r="T875">
            <v>0.16711899999999999</v>
          </cell>
          <cell r="U875">
            <v>3.4079575927305102E-3</v>
          </cell>
          <cell r="V875">
            <v>3.2000000000000001E-2</v>
          </cell>
          <cell r="W875">
            <v>0.26738999999999996</v>
          </cell>
          <cell r="X875">
            <v>0</v>
          </cell>
          <cell r="Y875">
            <v>10.65</v>
          </cell>
          <cell r="Z875">
            <v>0</v>
          </cell>
          <cell r="AA875">
            <v>0</v>
          </cell>
          <cell r="AB875">
            <v>0</v>
          </cell>
          <cell r="AC875">
            <v>0.21917218608681371</v>
          </cell>
          <cell r="AD875">
            <v>7.27459103432848E-2</v>
          </cell>
          <cell r="AE875">
            <v>0</v>
          </cell>
          <cell r="AF875">
            <v>14.980418919033715</v>
          </cell>
          <cell r="AG875">
            <v>5.978338972646263</v>
          </cell>
          <cell r="AH875">
            <v>202508</v>
          </cell>
          <cell r="AJ875" t="str">
            <v>Sakhalin:Prod'n deferred due to the scheduled shutdown in August 2025 for the replacement of the gas flare tip at Chayvo and maintenance/replacement activities across all Sakhalin-1 facilities, which commenced on 1st August 2025.
GPOC:Prod'n deferred due to downhole problems.
BC-10:Prod'n deferred due to AW-1 well closed in Abalone field.</v>
          </cell>
        </row>
        <row r="876">
          <cell r="C876">
            <v>45884</v>
          </cell>
          <cell r="D876">
            <v>321490</v>
          </cell>
          <cell r="E876">
            <v>27465</v>
          </cell>
          <cell r="F876">
            <v>23632.12</v>
          </cell>
          <cell r="G876">
            <v>4825</v>
          </cell>
          <cell r="H876">
            <v>2076</v>
          </cell>
          <cell r="I876">
            <v>0</v>
          </cell>
          <cell r="J876">
            <v>166959</v>
          </cell>
          <cell r="K876">
            <v>49521.48</v>
          </cell>
          <cell r="L876">
            <v>11074</v>
          </cell>
          <cell r="M876">
            <v>445103</v>
          </cell>
          <cell r="N876">
            <v>7891</v>
          </cell>
          <cell r="O876">
            <v>6615</v>
          </cell>
          <cell r="P876">
            <v>0</v>
          </cell>
          <cell r="Q876">
            <v>0</v>
          </cell>
          <cell r="R876">
            <v>117629.55899999998</v>
          </cell>
          <cell r="S876">
            <v>9.2604496144664949</v>
          </cell>
          <cell r="T876">
            <v>0.23857300000000001</v>
          </cell>
          <cell r="U876">
            <v>3.4079575927305102E-3</v>
          </cell>
          <cell r="V876">
            <v>0.03</v>
          </cell>
          <cell r="W876">
            <v>0.26550999999999997</v>
          </cell>
          <cell r="X876">
            <v>0</v>
          </cell>
          <cell r="Y876">
            <v>10.78</v>
          </cell>
          <cell r="Z876">
            <v>0</v>
          </cell>
          <cell r="AA876">
            <v>0</v>
          </cell>
          <cell r="AB876">
            <v>0</v>
          </cell>
          <cell r="AC876">
            <v>0.21265931750800657</v>
          </cell>
          <cell r="AD876">
            <v>7.1811455286325515E-2</v>
          </cell>
          <cell r="AE876">
            <v>0</v>
          </cell>
          <cell r="AF876">
            <v>14.867066688942563</v>
          </cell>
          <cell r="AG876">
            <v>6.0004968756987029</v>
          </cell>
          <cell r="AH876">
            <v>202508</v>
          </cell>
          <cell r="AJ876" t="str">
            <v>Sakhalin:Prod'n deferred due to the scheduled shutdown in August 2025 for the replacement of the gas flare tip at Chayvo and maintenance/replacement activities across all Sakhalin-1 facilities, which commenced on 1st August 2025.
GPOC:Prod'n deferred due to downhole problems.
BC-10:Prod'n deferred due to AW-1 well closed in Abalone field.</v>
          </cell>
        </row>
        <row r="877">
          <cell r="C877">
            <v>45885</v>
          </cell>
          <cell r="D877">
            <v>327886</v>
          </cell>
          <cell r="E877">
            <v>27126</v>
          </cell>
          <cell r="F877">
            <v>23684.16</v>
          </cell>
          <cell r="G877">
            <v>4815</v>
          </cell>
          <cell r="H877">
            <v>2100</v>
          </cell>
          <cell r="I877">
            <v>0</v>
          </cell>
          <cell r="J877">
            <v>165260</v>
          </cell>
          <cell r="K877">
            <v>48705.42</v>
          </cell>
          <cell r="L877">
            <v>12959</v>
          </cell>
          <cell r="M877">
            <v>440499</v>
          </cell>
          <cell r="N877">
            <v>7845</v>
          </cell>
          <cell r="O877">
            <v>5130</v>
          </cell>
          <cell r="P877">
            <v>0</v>
          </cell>
          <cell r="Q877">
            <v>0</v>
          </cell>
          <cell r="R877">
            <v>116806.32124999999</v>
          </cell>
          <cell r="S877">
            <v>9.5903405663930297</v>
          </cell>
          <cell r="T877">
            <v>0.28809899999999999</v>
          </cell>
          <cell r="U877">
            <v>3.4079575927305102E-3</v>
          </cell>
          <cell r="V877">
            <v>0.03</v>
          </cell>
          <cell r="W877">
            <v>0.26599</v>
          </cell>
          <cell r="X877">
            <v>0</v>
          </cell>
          <cell r="Y877">
            <v>10.86</v>
          </cell>
          <cell r="Z877">
            <v>0</v>
          </cell>
          <cell r="AA877">
            <v>0</v>
          </cell>
          <cell r="AB877">
            <v>0</v>
          </cell>
          <cell r="AC877">
            <v>0.21973852248497083</v>
          </cell>
          <cell r="AD877">
            <v>7.3482147660889091E-2</v>
          </cell>
          <cell r="AE877">
            <v>0</v>
          </cell>
          <cell r="AF877">
            <v>14.866387085264774</v>
          </cell>
          <cell r="AG877">
            <v>6.0461296629146215</v>
          </cell>
          <cell r="AH877">
            <v>202508</v>
          </cell>
          <cell r="AJ877" t="str">
            <v>Sakhalin:Prod'n deferred due to the scheduled shutdown in August 2025 for the replacement of the gas flare tip at Chayvo and maintenance/replacement activities across all Sakhalin-1 facilities, which commenced on 1st August 2025.
GPOC:Prod'n deferred due to downhole problems.
BC-10:Prod'n deferred due to AW-1 well closed in Abalone field.</v>
          </cell>
        </row>
        <row r="878">
          <cell r="C878">
            <v>45886</v>
          </cell>
          <cell r="D878">
            <v>324750</v>
          </cell>
          <cell r="E878">
            <v>30189</v>
          </cell>
          <cell r="F878">
            <v>23705.329999999998</v>
          </cell>
          <cell r="G878">
            <v>4859</v>
          </cell>
          <cell r="H878">
            <v>2052</v>
          </cell>
          <cell r="I878">
            <v>0</v>
          </cell>
          <cell r="J878">
            <v>166908</v>
          </cell>
          <cell r="K878">
            <v>47964.11</v>
          </cell>
          <cell r="L878">
            <v>12749</v>
          </cell>
          <cell r="M878">
            <v>458547</v>
          </cell>
          <cell r="N878">
            <v>7564</v>
          </cell>
          <cell r="O878">
            <v>5180</v>
          </cell>
          <cell r="P878">
            <v>0</v>
          </cell>
          <cell r="Q878">
            <v>0</v>
          </cell>
          <cell r="R878">
            <v>118433.92224999999</v>
          </cell>
          <cell r="S878">
            <v>8.9945546755317221</v>
          </cell>
          <cell r="T878">
            <v>0.29333300000000001</v>
          </cell>
          <cell r="U878">
            <v>3.4079575927305102E-3</v>
          </cell>
          <cell r="V878">
            <v>0.03</v>
          </cell>
          <cell r="W878">
            <v>0.26657999999999998</v>
          </cell>
          <cell r="X878">
            <v>0</v>
          </cell>
          <cell r="Y878">
            <v>10.89</v>
          </cell>
          <cell r="Z878">
            <v>0</v>
          </cell>
          <cell r="AA878">
            <v>0</v>
          </cell>
          <cell r="AB878">
            <v>0</v>
          </cell>
          <cell r="AC878">
            <v>0.21832268148957798</v>
          </cell>
          <cell r="AD878">
            <v>7.685184922992408E-2</v>
          </cell>
          <cell r="AE878">
            <v>0</v>
          </cell>
          <cell r="AF878">
            <v>14.866415402084685</v>
          </cell>
          <cell r="AG878">
            <v>6.0397030575844344</v>
          </cell>
          <cell r="AH878">
            <v>202508</v>
          </cell>
          <cell r="AJ878" t="str">
            <v>Sakhalin:Prod'n deferred due to the scheduled shutdown in August 2025 for the replacement of the gas flare tip at Chayvo and maintenance/replacement activities across all Sakhalin-1 facilities, which commenced on 1st August 2025.
GPOC:Prod'n deferred due to downhole problems.</v>
          </cell>
        </row>
        <row r="879">
          <cell r="C879">
            <v>45887</v>
          </cell>
          <cell r="D879">
            <v>334872</v>
          </cell>
          <cell r="E879">
            <v>29799</v>
          </cell>
          <cell r="F879">
            <v>23695.73</v>
          </cell>
          <cell r="G879">
            <v>4802</v>
          </cell>
          <cell r="H879">
            <v>2081</v>
          </cell>
          <cell r="I879">
            <v>0</v>
          </cell>
          <cell r="J879">
            <v>166916</v>
          </cell>
          <cell r="K879">
            <v>38861.839999999997</v>
          </cell>
          <cell r="L879">
            <v>10316</v>
          </cell>
          <cell r="M879">
            <v>435849</v>
          </cell>
          <cell r="N879">
            <v>7495</v>
          </cell>
          <cell r="O879">
            <v>5124</v>
          </cell>
          <cell r="P879">
            <v>0</v>
          </cell>
          <cell r="Q879">
            <v>0</v>
          </cell>
          <cell r="R879">
            <v>114820.11200000001</v>
          </cell>
          <cell r="S879">
            <v>9.1163170011355064</v>
          </cell>
          <cell r="T879">
            <v>0.29314499999999999</v>
          </cell>
          <cell r="U879">
            <v>3.4079575927305102E-3</v>
          </cell>
          <cell r="V879">
            <v>0.03</v>
          </cell>
          <cell r="W879">
            <v>0.26587</v>
          </cell>
          <cell r="X879">
            <v>0</v>
          </cell>
          <cell r="Y879">
            <v>10.91</v>
          </cell>
          <cell r="Z879">
            <v>0</v>
          </cell>
          <cell r="AA879">
            <v>0</v>
          </cell>
          <cell r="AB879">
            <v>0</v>
          </cell>
          <cell r="AC879">
            <v>0.21407515850339942</v>
          </cell>
          <cell r="AD879">
            <v>7.685184922992408E-2</v>
          </cell>
          <cell r="AE879">
            <v>0</v>
          </cell>
          <cell r="AF879">
            <v>14.867434807601366</v>
          </cell>
          <cell r="AG879">
            <v>6.0474099170177009</v>
          </cell>
          <cell r="AH879">
            <v>202508</v>
          </cell>
          <cell r="AJ879" t="str">
            <v>Sakhalin:Prod'n deferred due to the scheduled shutdown in August 2025 for the replacement of the gas flare tip at Chayvo and maintenance/replacement activities across all Sakhalin-1 facilities, which commenced on 1st August 2025.
GPOC:Prod'n deferred due to downhole problems.</v>
          </cell>
        </row>
        <row r="880">
          <cell r="C880">
            <v>45888</v>
          </cell>
          <cell r="D880">
            <v>343556</v>
          </cell>
          <cell r="E880">
            <v>25239</v>
          </cell>
          <cell r="F880">
            <v>23683.51</v>
          </cell>
          <cell r="G880">
            <v>4740</v>
          </cell>
          <cell r="H880">
            <v>2057</v>
          </cell>
          <cell r="I880">
            <v>0</v>
          </cell>
          <cell r="J880">
            <v>160555</v>
          </cell>
          <cell r="K880">
            <v>53780</v>
          </cell>
          <cell r="L880">
            <v>13767</v>
          </cell>
          <cell r="M880">
            <v>436522</v>
          </cell>
          <cell r="N880">
            <v>7006</v>
          </cell>
          <cell r="O880">
            <v>0</v>
          </cell>
          <cell r="P880">
            <v>0</v>
          </cell>
          <cell r="Q880">
            <v>0</v>
          </cell>
          <cell r="R880">
            <v>114611.12875</v>
          </cell>
          <cell r="S880">
            <v>9.1168833375336646</v>
          </cell>
          <cell r="T880">
            <v>0.28613300000000003</v>
          </cell>
          <cell r="U880">
            <v>3.4079575927305102E-3</v>
          </cell>
          <cell r="V880">
            <v>2.7E-2</v>
          </cell>
          <cell r="W880">
            <v>0.26516000000000001</v>
          </cell>
          <cell r="X880">
            <v>0</v>
          </cell>
          <cell r="Y880">
            <v>10.83</v>
          </cell>
          <cell r="Z880">
            <v>0</v>
          </cell>
          <cell r="AA880">
            <v>0</v>
          </cell>
          <cell r="AB880">
            <v>0</v>
          </cell>
          <cell r="AC880">
            <v>0.21832268148957798</v>
          </cell>
          <cell r="AD880">
            <v>8.1439174054996927E-2</v>
          </cell>
          <cell r="AE880">
            <v>0</v>
          </cell>
          <cell r="AF880">
            <v>14.869388668175008</v>
          </cell>
          <cell r="AG880">
            <v>6.0251575561133759</v>
          </cell>
          <cell r="AH880">
            <v>202508</v>
          </cell>
          <cell r="AJ880" t="str">
            <v>Sakhalin:Prod'n deferred due to the scheduled shutdown in August 2025 for the replacement of the gas flare tip at Chayvo and maintenance/replacement activities across all Sakhalin-1 facilities, which commenced on 1st August 2025.
GPOC:Prod'n deferred due to downhole problems.
BC-10:Prod'n deferred due to AW-1 well closed in Abalone field.
Vankor:Shudown due to optimising the operation under well works and switching over to backup control station for organising activities &amp; surface infrastructure.</v>
          </cell>
        </row>
        <row r="881">
          <cell r="C881">
            <v>45889</v>
          </cell>
          <cell r="D881">
            <v>338997</v>
          </cell>
          <cell r="E881">
            <v>24792</v>
          </cell>
          <cell r="F881">
            <v>23687.350000000002</v>
          </cell>
          <cell r="G881">
            <v>4789</v>
          </cell>
          <cell r="H881">
            <v>2030</v>
          </cell>
          <cell r="I881">
            <v>0</v>
          </cell>
          <cell r="J881">
            <v>161069</v>
          </cell>
          <cell r="K881">
            <v>51241.94</v>
          </cell>
          <cell r="L881">
            <v>13134</v>
          </cell>
          <cell r="M881">
            <v>442400</v>
          </cell>
          <cell r="N881">
            <v>7380</v>
          </cell>
          <cell r="O881">
            <v>6573</v>
          </cell>
          <cell r="P881">
            <v>0</v>
          </cell>
          <cell r="Q881">
            <v>0</v>
          </cell>
          <cell r="R881">
            <v>116609.14975</v>
          </cell>
          <cell r="S881">
            <v>9.3303921596389063</v>
          </cell>
          <cell r="T881">
            <v>0.29022700000000001</v>
          </cell>
          <cell r="U881">
            <v>3.4079575927305102E-3</v>
          </cell>
          <cell r="V881">
            <v>2.7E-2</v>
          </cell>
          <cell r="W881">
            <v>0.26339999999999997</v>
          </cell>
          <cell r="X881">
            <v>0</v>
          </cell>
          <cell r="Y881">
            <v>10.65</v>
          </cell>
          <cell r="Z881">
            <v>0</v>
          </cell>
          <cell r="AA881">
            <v>0</v>
          </cell>
          <cell r="AB881">
            <v>0</v>
          </cell>
          <cell r="AC881">
            <v>0.21832268148957798</v>
          </cell>
          <cell r="AD881">
            <v>7.8126106125777639E-2</v>
          </cell>
          <cell r="AE881">
            <v>0</v>
          </cell>
          <cell r="AF881">
            <v>14.868539163577772</v>
          </cell>
          <cell r="AG881">
            <v>5.9824784262067361</v>
          </cell>
          <cell r="AH881">
            <v>202508</v>
          </cell>
          <cell r="AJ881" t="str">
            <v>Sakhalin:Prod'n deferred due to the scheduled shutdown in August 2025 for the replacement of the gas flare tip at Chayvo and maintenance/replacement activities across all Sakhalin-1 facilities, which commenced on 1st August 2025.
BC-10:Prod'n deferred due to AW-1 well closed in Abalone field.
Vankor:Shudown due to optimising the operation under well works and switching over to backup control station for organising activities &amp; surface infrastructure.</v>
          </cell>
        </row>
        <row r="882">
          <cell r="C882">
            <v>45890</v>
          </cell>
          <cell r="D882">
            <v>336521</v>
          </cell>
          <cell r="E882">
            <v>26226</v>
          </cell>
          <cell r="F882">
            <v>23685.73</v>
          </cell>
          <cell r="G882">
            <v>4812</v>
          </cell>
          <cell r="H882">
            <v>2069</v>
          </cell>
          <cell r="I882">
            <v>0</v>
          </cell>
          <cell r="J882">
            <v>163701</v>
          </cell>
          <cell r="K882">
            <v>49098.09</v>
          </cell>
          <cell r="L882">
            <v>10912</v>
          </cell>
          <cell r="M882">
            <v>455598</v>
          </cell>
          <cell r="N882">
            <v>7304</v>
          </cell>
          <cell r="O882">
            <v>6187</v>
          </cell>
          <cell r="P882">
            <v>0</v>
          </cell>
          <cell r="Q882">
            <v>0</v>
          </cell>
          <cell r="R882">
            <v>116950.73275000001</v>
          </cell>
          <cell r="S882">
            <v>9.0857348356350158</v>
          </cell>
          <cell r="T882">
            <v>0.28703200000000001</v>
          </cell>
          <cell r="U882">
            <v>3.4079575927305102E-3</v>
          </cell>
          <cell r="V882">
            <v>2.5999999999999999E-2</v>
          </cell>
          <cell r="W882">
            <v>0.26312999999999998</v>
          </cell>
          <cell r="X882">
            <v>0</v>
          </cell>
          <cell r="Y882">
            <v>10.66</v>
          </cell>
          <cell r="Z882">
            <v>0</v>
          </cell>
          <cell r="AA882">
            <v>0</v>
          </cell>
          <cell r="AB882">
            <v>0</v>
          </cell>
          <cell r="AC882">
            <v>0.21747317689234227</v>
          </cell>
          <cell r="AD882">
            <v>8.4044321486519774E-2</v>
          </cell>
          <cell r="AE882">
            <v>0</v>
          </cell>
          <cell r="AF882">
            <v>13.401586308251238</v>
          </cell>
          <cell r="AG882">
            <v>5.7291814047127119</v>
          </cell>
          <cell r="AH882">
            <v>202508</v>
          </cell>
          <cell r="AJ882" t="str">
            <v>Sakhalin:Prod'n deferred due to the scheduled shutdown in August 2025 for the replacement of the gas flare tip at Chayvo and maintenance/replacement activities across all Sakhalin-1 facilities, which commenced on 1st August 2025.
BC-10:Prod'n deferred due to AW-1 well closed in Abalone field.
Vankor:Shudown due to optimising the operation under well works and switching over to backup control station for organising activities &amp; surface infrastructure.</v>
          </cell>
        </row>
        <row r="883">
          <cell r="C883">
            <v>45891</v>
          </cell>
          <cell r="D883">
            <v>330484</v>
          </cell>
          <cell r="E883">
            <v>30560</v>
          </cell>
          <cell r="F883">
            <v>23557.65</v>
          </cell>
          <cell r="G883">
            <v>4871</v>
          </cell>
          <cell r="H883">
            <v>2026</v>
          </cell>
          <cell r="I883">
            <v>75200</v>
          </cell>
          <cell r="J883">
            <v>165453</v>
          </cell>
          <cell r="K883">
            <v>47581.26</v>
          </cell>
          <cell r="L883">
            <v>10640</v>
          </cell>
          <cell r="M883">
            <v>441772</v>
          </cell>
          <cell r="N883">
            <v>6696</v>
          </cell>
          <cell r="O883">
            <v>6743</v>
          </cell>
          <cell r="P883">
            <v>0</v>
          </cell>
          <cell r="Q883">
            <v>0</v>
          </cell>
          <cell r="R883">
            <v>132494.34700000001</v>
          </cell>
          <cell r="S883">
            <v>8.9968200211243445</v>
          </cell>
          <cell r="T883">
            <v>0.29366199999999998</v>
          </cell>
          <cell r="U883">
            <v>3.4079575927305102E-3</v>
          </cell>
          <cell r="V883">
            <v>2.5999999999999999E-2</v>
          </cell>
          <cell r="W883">
            <v>0.26168000000000002</v>
          </cell>
          <cell r="X883">
            <v>0</v>
          </cell>
          <cell r="Y883">
            <v>10.64</v>
          </cell>
          <cell r="Z883">
            <v>0</v>
          </cell>
          <cell r="AA883">
            <v>0</v>
          </cell>
          <cell r="AB883">
            <v>0</v>
          </cell>
          <cell r="AC883">
            <v>0.22172069987852083</v>
          </cell>
          <cell r="AD883">
            <v>9.6956791364502595E-2</v>
          </cell>
          <cell r="AE883">
            <v>0</v>
          </cell>
          <cell r="AF883">
            <v>13.40087838775354</v>
          </cell>
          <cell r="AG883">
            <v>5.7272326153833397</v>
          </cell>
          <cell r="AH883">
            <v>202508</v>
          </cell>
          <cell r="AJ883" t="str">
            <v>Sakhalin:Prod'n deferred due to the scheduled shutdown in August 2025 for the replacement of the gas flare tip at Chayvo and maintenance/replacement activities across all Sakhalin-1 facilities, which commenced on 1st August 2025.
GPOC:Prod'n deferred due to downhole problems.
Vankor:Shudown due to optimising the operation under well works and switching over to backup control station for organising activities &amp; surface infrastructure.
IEC:Prod'n deferred due to workover and well deviation.</v>
          </cell>
        </row>
        <row r="884">
          <cell r="C884">
            <v>45892</v>
          </cell>
          <cell r="D884">
            <v>335497</v>
          </cell>
          <cell r="E884">
            <v>28252</v>
          </cell>
          <cell r="F884">
            <v>23652.47</v>
          </cell>
          <cell r="G884">
            <v>4896</v>
          </cell>
          <cell r="H884">
            <v>2029</v>
          </cell>
          <cell r="I884">
            <v>75200</v>
          </cell>
          <cell r="J884">
            <v>166885</v>
          </cell>
          <cell r="K884">
            <v>48606.53</v>
          </cell>
          <cell r="L884">
            <v>14006</v>
          </cell>
          <cell r="M884">
            <v>450501</v>
          </cell>
          <cell r="N884">
            <v>7031</v>
          </cell>
          <cell r="O884">
            <v>6337</v>
          </cell>
          <cell r="P884">
            <v>0</v>
          </cell>
          <cell r="Q884">
            <v>0</v>
          </cell>
          <cell r="R884">
            <v>133763.98624999999</v>
          </cell>
          <cell r="S884">
            <v>12.920115419357947</v>
          </cell>
          <cell r="T884">
            <v>0.33295799999999998</v>
          </cell>
          <cell r="U884">
            <v>3.4079575927305102E-3</v>
          </cell>
          <cell r="V884">
            <v>2.9000000000000001E-2</v>
          </cell>
          <cell r="W884">
            <v>0.26157999999999998</v>
          </cell>
          <cell r="X884">
            <v>0</v>
          </cell>
          <cell r="Y884">
            <v>10.66</v>
          </cell>
          <cell r="Z884">
            <v>0</v>
          </cell>
          <cell r="AA884">
            <v>0</v>
          </cell>
          <cell r="AB884">
            <v>0</v>
          </cell>
          <cell r="AC884">
            <v>0.21265931750800657</v>
          </cell>
          <cell r="AD884">
            <v>9.6673623165424036E-2</v>
          </cell>
          <cell r="AE884">
            <v>0</v>
          </cell>
          <cell r="AF884">
            <v>13.402690664227643</v>
          </cell>
          <cell r="AG884">
            <v>5.8583969934418816</v>
          </cell>
          <cell r="AH884">
            <v>202508</v>
          </cell>
          <cell r="AJ884" t="str">
            <v>Sakhalin:Prod'n deferred due to the scheduled shutdown in August 2025 for the replacement of the gas flare tip at Chayvo and maintenance/replacement activities across all Sakhalin-1 facilities, which commenced on 1st August 2025.
GPOC:Prod'n deferred due to downhole problems.
Vankor:Shudown due to optimising the operation under well works and switching over to backup control station for organising activities &amp; surface infrastructure.
IEC:Prod'n deferred due to workover and well deviation.</v>
          </cell>
        </row>
        <row r="885">
          <cell r="C885">
            <v>45893</v>
          </cell>
          <cell r="D885">
            <v>330730</v>
          </cell>
          <cell r="E885">
            <v>29434</v>
          </cell>
          <cell r="F885">
            <v>23651.86</v>
          </cell>
          <cell r="G885">
            <v>4839</v>
          </cell>
          <cell r="H885">
            <v>2026</v>
          </cell>
          <cell r="I885">
            <v>75200</v>
          </cell>
          <cell r="J885">
            <v>166928</v>
          </cell>
          <cell r="K885">
            <v>47913.67</v>
          </cell>
          <cell r="L885">
            <v>12317</v>
          </cell>
          <cell r="M885">
            <v>456234</v>
          </cell>
          <cell r="N885">
            <v>7028</v>
          </cell>
          <cell r="O885">
            <v>5104</v>
          </cell>
          <cell r="P885">
            <v>0</v>
          </cell>
          <cell r="Q885">
            <v>0</v>
          </cell>
          <cell r="R885">
            <v>133078.04824999999</v>
          </cell>
          <cell r="S885">
            <v>8.9234794575629941</v>
          </cell>
          <cell r="T885">
            <v>0.45821899999999999</v>
          </cell>
          <cell r="U885">
            <v>3.4079575927305102E-3</v>
          </cell>
          <cell r="V885">
            <v>2.9000000000000001E-2</v>
          </cell>
          <cell r="W885">
            <v>0.25979000000000002</v>
          </cell>
          <cell r="X885">
            <v>0</v>
          </cell>
          <cell r="Y885">
            <v>10.72</v>
          </cell>
          <cell r="Z885">
            <v>0</v>
          </cell>
          <cell r="AA885">
            <v>0</v>
          </cell>
          <cell r="AB885">
            <v>0</v>
          </cell>
          <cell r="AC885">
            <v>0.20303159873933516</v>
          </cell>
          <cell r="AD885">
            <v>0.10250688806644258</v>
          </cell>
          <cell r="AE885">
            <v>0</v>
          </cell>
          <cell r="AF885">
            <v>13.409939770124055</v>
          </cell>
          <cell r="AG885">
            <v>5.7916324664576226</v>
          </cell>
          <cell r="AH885">
            <v>202508</v>
          </cell>
          <cell r="AJ885" t="str">
            <v xml:space="preserve">Sakhalin:Prod'n deferred due to the scheduled shutdown in August 2025 for the replacement of the gas flare tip at Chayvo and maintenance/replacement activities across all Sakhalin-1 facilities, which commenced on 1st August 2025.
GPOC:Prod'n deferred due to downhole problems.
IEC:Prod'n deferred due to workover and well deviation.
Vankor:Shudown due to optimising the operation under well works and switching over to backup control station for organising activities &amp; surface infrastructure.
</v>
          </cell>
        </row>
        <row r="886">
          <cell r="C886">
            <v>45894</v>
          </cell>
          <cell r="D886">
            <v>331111</v>
          </cell>
          <cell r="E886">
            <v>30006</v>
          </cell>
          <cell r="F886">
            <v>23651.420000000002</v>
          </cell>
          <cell r="G886">
            <v>4848</v>
          </cell>
          <cell r="H886">
            <v>2118</v>
          </cell>
          <cell r="I886">
            <v>75200</v>
          </cell>
          <cell r="J886">
            <v>167812</v>
          </cell>
          <cell r="K886">
            <v>49500.08</v>
          </cell>
          <cell r="L886">
            <v>12857</v>
          </cell>
          <cell r="M886">
            <v>457590</v>
          </cell>
          <cell r="N886">
            <v>7033</v>
          </cell>
          <cell r="O886">
            <v>5453</v>
          </cell>
          <cell r="P886">
            <v>0</v>
          </cell>
          <cell r="Q886">
            <v>0</v>
          </cell>
          <cell r="R886">
            <v>134290.93200000003</v>
          </cell>
          <cell r="S886">
            <v>8.9687863694155716</v>
          </cell>
          <cell r="T886">
            <v>0.49921900000000002</v>
          </cell>
          <cell r="U886">
            <v>3.4079575927305102E-3</v>
          </cell>
          <cell r="V886">
            <v>0.03</v>
          </cell>
          <cell r="W886">
            <v>0.29108000000000001</v>
          </cell>
          <cell r="X886">
            <v>0</v>
          </cell>
          <cell r="Y886">
            <v>10.77</v>
          </cell>
          <cell r="Z886">
            <v>0</v>
          </cell>
          <cell r="AA886">
            <v>0</v>
          </cell>
          <cell r="AB886">
            <v>0</v>
          </cell>
          <cell r="AC886">
            <v>0.21152664471169227</v>
          </cell>
          <cell r="AD886">
            <v>0.10015659201409044</v>
          </cell>
          <cell r="AE886">
            <v>0</v>
          </cell>
          <cell r="AF886">
            <v>13.405465712578614</v>
          </cell>
          <cell r="AG886">
            <v>5.8480514404826032</v>
          </cell>
          <cell r="AH886">
            <v>202508</v>
          </cell>
          <cell r="AJ886" t="str">
            <v xml:space="preserve">Sakhalin:Prod'n deferred due to the scheduled shutdown in August 2025 for the replacement of the gas flare tip at Chayvo and maintenance/replacement activities across all Sakhalin-1 facilities, which commenced on 1st August 2025.
GPOC:Prod'n deferred due to downhole problems.
</v>
          </cell>
        </row>
        <row r="887">
          <cell r="C887">
            <v>45895</v>
          </cell>
          <cell r="D887">
            <v>352549</v>
          </cell>
          <cell r="E887">
            <v>31258</v>
          </cell>
          <cell r="F887">
            <v>23597.38</v>
          </cell>
          <cell r="G887">
            <v>4880</v>
          </cell>
          <cell r="H887">
            <v>2180</v>
          </cell>
          <cell r="I887">
            <v>75200</v>
          </cell>
          <cell r="J887">
            <v>167015</v>
          </cell>
          <cell r="K887">
            <v>47128.18</v>
          </cell>
          <cell r="L887">
            <v>12387</v>
          </cell>
          <cell r="M887">
            <v>456908</v>
          </cell>
          <cell r="N887">
            <v>7302</v>
          </cell>
          <cell r="O887">
            <v>5071</v>
          </cell>
          <cell r="P887">
            <v>0</v>
          </cell>
          <cell r="Q887">
            <v>0</v>
          </cell>
          <cell r="R887">
            <v>134232.133</v>
          </cell>
          <cell r="S887">
            <v>9.0146596176662985</v>
          </cell>
          <cell r="T887">
            <v>0.49991000000000002</v>
          </cell>
          <cell r="U887">
            <v>3.4079575927305102E-3</v>
          </cell>
          <cell r="V887">
            <v>3.4000000000000002E-2</v>
          </cell>
          <cell r="W887">
            <v>0.29719000000000001</v>
          </cell>
          <cell r="X887">
            <v>0</v>
          </cell>
          <cell r="Y887">
            <v>10.68</v>
          </cell>
          <cell r="Z887">
            <v>0</v>
          </cell>
          <cell r="AA887">
            <v>0</v>
          </cell>
          <cell r="AB887">
            <v>0</v>
          </cell>
          <cell r="AC887">
            <v>0.21124347651261371</v>
          </cell>
          <cell r="AD887">
            <v>8.2288678652232633E-2</v>
          </cell>
          <cell r="AE887">
            <v>0</v>
          </cell>
          <cell r="AF887">
            <v>13.400057199976214</v>
          </cell>
          <cell r="AG887">
            <v>5.8261920420048874</v>
          </cell>
          <cell r="AH887">
            <v>202508</v>
          </cell>
          <cell r="AJ887" t="str">
            <v xml:space="preserve">Sakhalin:Prod'n deferred due to the scheduled shutdown in August 2025 for the replacement of the gas flare tip at Chayvo and maintenance/replacement activities across all Sakhalin-1 facilities, which commenced on 1st August 2025.
GPOC:Prod'n deferred due to downhole problems.
</v>
          </cell>
        </row>
        <row r="888">
          <cell r="C888">
            <v>45896</v>
          </cell>
          <cell r="D888">
            <v>344923</v>
          </cell>
          <cell r="E888">
            <v>31031</v>
          </cell>
          <cell r="F888">
            <v>23489.280000000002</v>
          </cell>
          <cell r="G888">
            <v>4894</v>
          </cell>
          <cell r="H888">
            <v>2200</v>
          </cell>
          <cell r="I888">
            <v>75200</v>
          </cell>
          <cell r="J888">
            <v>165227</v>
          </cell>
          <cell r="K888">
            <v>48343.39</v>
          </cell>
          <cell r="L888">
            <v>11971</v>
          </cell>
          <cell r="M888">
            <v>454319</v>
          </cell>
          <cell r="N888">
            <v>7207</v>
          </cell>
          <cell r="O888">
            <v>4749</v>
          </cell>
          <cell r="P888">
            <v>0</v>
          </cell>
          <cell r="Q888">
            <v>0</v>
          </cell>
          <cell r="R888">
            <v>133394.86500000002</v>
          </cell>
          <cell r="S888">
            <v>8.9265943077528647</v>
          </cell>
          <cell r="T888">
            <v>0.49928899999999998</v>
          </cell>
          <cell r="U888">
            <v>3.4079575927305102E-3</v>
          </cell>
          <cell r="V888">
            <v>3.2000000000000001E-2</v>
          </cell>
          <cell r="W888">
            <v>0.28705000000000003</v>
          </cell>
          <cell r="X888">
            <v>0</v>
          </cell>
          <cell r="Y888">
            <v>10.76</v>
          </cell>
          <cell r="Z888">
            <v>0</v>
          </cell>
          <cell r="AA888">
            <v>0</v>
          </cell>
          <cell r="AB888">
            <v>0</v>
          </cell>
          <cell r="AC888">
            <v>0.21113020923298229</v>
          </cell>
          <cell r="AD888">
            <v>7.7191651068818368E-2</v>
          </cell>
          <cell r="AE888">
            <v>0</v>
          </cell>
          <cell r="AF888">
            <v>13.347302964487875</v>
          </cell>
          <cell r="AG888">
            <v>5.8220889712227777</v>
          </cell>
          <cell r="AH888">
            <v>202508</v>
          </cell>
          <cell r="AJ888" t="str">
            <v>Sakhalin:Prod'n deferred due to the scheduled shutdown in August 2025 for the replacement of the gas flare tip at Chayvo and maintenance/replacement activities across all Sakhalin-1 facilities, which commenced on 1st August 2025.
GPOC:Prod'n deferred due to downhole problems.</v>
          </cell>
        </row>
        <row r="889">
          <cell r="C889">
            <v>45897</v>
          </cell>
          <cell r="D889">
            <v>305810</v>
          </cell>
          <cell r="E889">
            <v>31050</v>
          </cell>
          <cell r="F889">
            <v>23274.460000000003</v>
          </cell>
          <cell r="G889">
            <v>4850</v>
          </cell>
          <cell r="H889">
            <v>2170</v>
          </cell>
          <cell r="I889">
            <v>75200</v>
          </cell>
          <cell r="J889">
            <v>166433</v>
          </cell>
          <cell r="K889">
            <v>47187.45</v>
          </cell>
          <cell r="L889">
            <v>10004</v>
          </cell>
          <cell r="M889">
            <v>450968</v>
          </cell>
          <cell r="N889">
            <v>7206</v>
          </cell>
          <cell r="O889">
            <v>5368</v>
          </cell>
          <cell r="P889">
            <v>0</v>
          </cell>
          <cell r="Q889">
            <v>0</v>
          </cell>
          <cell r="R889">
            <v>131717.052</v>
          </cell>
          <cell r="S889">
            <v>8.9823784429713402</v>
          </cell>
          <cell r="T889">
            <v>0.50026099999999996</v>
          </cell>
          <cell r="U889">
            <v>3.4079575927305102E-3</v>
          </cell>
          <cell r="V889">
            <v>3.3000000000000002E-2</v>
          </cell>
          <cell r="W889">
            <v>0.28625</v>
          </cell>
          <cell r="X889">
            <v>0</v>
          </cell>
          <cell r="Y889">
            <v>10.69</v>
          </cell>
          <cell r="Z889">
            <v>0</v>
          </cell>
          <cell r="AA889">
            <v>0</v>
          </cell>
          <cell r="AB889">
            <v>0</v>
          </cell>
          <cell r="AC889">
            <v>0.2095444673181423</v>
          </cell>
          <cell r="AD889">
            <v>8.274174777075835E-2</v>
          </cell>
          <cell r="AE889">
            <v>0</v>
          </cell>
          <cell r="AF889">
            <v>13.40999640376387</v>
          </cell>
          <cell r="AG889">
            <v>5.8181865889249798</v>
          </cell>
          <cell r="AH889">
            <v>202508</v>
          </cell>
          <cell r="AJ889" t="str">
            <v>Sakhalin:Prod'n deferred due to the scheduled shutdown in August 2025 for the replacement of the gas flare tip at Chayvo and maintenance/replacement activities across all Sakhalin-1 facilities, which commenced on 1st August 2025.
Vankor:Reason awaited from the operator.
GPOC:Prod'n deferred due to downhole problems.</v>
          </cell>
        </row>
        <row r="890">
          <cell r="C890">
            <v>45898</v>
          </cell>
          <cell r="D890">
            <v>351154</v>
          </cell>
          <cell r="E890">
            <v>31478</v>
          </cell>
          <cell r="F890">
            <v>23380.73</v>
          </cell>
          <cell r="G890">
            <v>4937</v>
          </cell>
          <cell r="H890">
            <v>2151</v>
          </cell>
          <cell r="I890">
            <v>147420</v>
          </cell>
          <cell r="J890">
            <v>166312</v>
          </cell>
          <cell r="K890">
            <v>48058.96</v>
          </cell>
          <cell r="L890">
            <v>12838</v>
          </cell>
          <cell r="M890">
            <v>450524</v>
          </cell>
          <cell r="N890">
            <v>7245</v>
          </cell>
          <cell r="O890">
            <v>5231</v>
          </cell>
          <cell r="P890">
            <v>0</v>
          </cell>
          <cell r="R890">
            <v>148503.663</v>
          </cell>
          <cell r="S890">
            <v>9.0775229578617385</v>
          </cell>
          <cell r="T890">
            <v>0.50116000000000005</v>
          </cell>
          <cell r="U890">
            <v>3.4079575927305102E-3</v>
          </cell>
          <cell r="V890">
            <v>3.2000000000000001E-2</v>
          </cell>
          <cell r="W890">
            <v>0.28902</v>
          </cell>
          <cell r="X890">
            <v>0</v>
          </cell>
          <cell r="Y890">
            <v>10.6</v>
          </cell>
          <cell r="Z890">
            <v>0</v>
          </cell>
          <cell r="AA890">
            <v>0</v>
          </cell>
          <cell r="AB890">
            <v>0</v>
          </cell>
          <cell r="AC890">
            <v>0.21265931750800657</v>
          </cell>
          <cell r="AD890">
            <v>8.1297589955457633E-2</v>
          </cell>
          <cell r="AE890">
            <v>0</v>
          </cell>
          <cell r="AF890">
            <v>13.404361356602207</v>
          </cell>
          <cell r="AG890">
            <v>5.7988893083628064</v>
          </cell>
          <cell r="AH890">
            <v>202508</v>
          </cell>
          <cell r="AJ890" t="str">
            <v>Sakhalin:Prod'n deferred due to the scheduled shutdown in August 2025 for the replacement of the gas flare tip at Chayvo and maintenance/replacement activities across all Sakhalin-1 facilities, which commenced on 1st August 2025.
Vankor:Reason awaited from the operator.
GPOC:Prod'n deferred due to downhole problems.</v>
          </cell>
        </row>
        <row r="891">
          <cell r="C891">
            <v>45899</v>
          </cell>
          <cell r="D891">
            <v>317228</v>
          </cell>
          <cell r="E891">
            <v>31403</v>
          </cell>
          <cell r="F891">
            <v>23580.49</v>
          </cell>
          <cell r="G891">
            <v>5011</v>
          </cell>
          <cell r="H891">
            <v>2127</v>
          </cell>
          <cell r="I891">
            <v>147420</v>
          </cell>
          <cell r="J891">
            <v>163447</v>
          </cell>
          <cell r="K891">
            <v>48153.440000000002</v>
          </cell>
          <cell r="L891">
            <v>12478</v>
          </cell>
          <cell r="M891">
            <v>399027</v>
          </cell>
          <cell r="N891">
            <v>7422</v>
          </cell>
          <cell r="O891">
            <v>5146</v>
          </cell>
          <cell r="P891">
            <v>0</v>
          </cell>
          <cell r="R891">
            <v>144761.3695</v>
          </cell>
          <cell r="S891">
            <v>9.1058397777695976</v>
          </cell>
          <cell r="T891">
            <v>0.50230200000000003</v>
          </cell>
          <cell r="U891">
            <v>3.4079575927305102E-3</v>
          </cell>
          <cell r="V891">
            <v>3.1E-2</v>
          </cell>
          <cell r="W891">
            <v>0.28277999999999998</v>
          </cell>
          <cell r="X891">
            <v>0</v>
          </cell>
          <cell r="Y891">
            <v>10.7</v>
          </cell>
          <cell r="Z891">
            <v>0</v>
          </cell>
          <cell r="AA891">
            <v>0</v>
          </cell>
          <cell r="AB891">
            <v>0</v>
          </cell>
          <cell r="AC891">
            <v>0.20359793513749233</v>
          </cell>
          <cell r="AD891">
            <v>8.3081549609652638E-2</v>
          </cell>
          <cell r="AE891">
            <v>0</v>
          </cell>
          <cell r="AF891">
            <v>13.403313634265617</v>
          </cell>
          <cell r="AG891">
            <v>5.8188246343488128</v>
          </cell>
          <cell r="AH891">
            <v>202508</v>
          </cell>
          <cell r="AJ891" t="str">
            <v xml:space="preserve">Sakhalin:Prod'n deferred due to the scheduled shutdown in August 2025 for the replacement of the gas flare tip at Chayvo and maintenance/replacement activities across all Sakhalin-1 facilities, which commenced on 1st August 2025.
Vankor:Reason awaited from the operator.
GPOC:Prod'n deferred due to downhole problems.
</v>
          </cell>
        </row>
        <row r="892">
          <cell r="C892">
            <v>45900</v>
          </cell>
          <cell r="D892">
            <v>342838</v>
          </cell>
          <cell r="E892">
            <v>31327</v>
          </cell>
          <cell r="F892">
            <v>23602.97</v>
          </cell>
          <cell r="G892">
            <v>5073</v>
          </cell>
          <cell r="H892">
            <v>2149</v>
          </cell>
          <cell r="I892">
            <v>147420</v>
          </cell>
          <cell r="J892">
            <v>164236</v>
          </cell>
          <cell r="K892">
            <v>49647.65</v>
          </cell>
          <cell r="L892">
            <v>9969</v>
          </cell>
          <cell r="M892">
            <v>404371</v>
          </cell>
          <cell r="N892">
            <v>7213</v>
          </cell>
          <cell r="O892">
            <v>4954</v>
          </cell>
          <cell r="P892">
            <v>0</v>
          </cell>
          <cell r="R892">
            <v>145646.04425000001</v>
          </cell>
          <cell r="S892">
            <v>10.571235208001202</v>
          </cell>
          <cell r="T892">
            <v>0.50136700000000001</v>
          </cell>
          <cell r="U892">
            <v>3.4079575927305102E-3</v>
          </cell>
          <cell r="V892">
            <v>3.2000000000000001E-2</v>
          </cell>
          <cell r="W892">
            <v>0.28476999999999997</v>
          </cell>
          <cell r="X892">
            <v>0</v>
          </cell>
          <cell r="Y892">
            <v>10.64</v>
          </cell>
          <cell r="Z892">
            <v>0</v>
          </cell>
          <cell r="AA892">
            <v>0</v>
          </cell>
          <cell r="AB892">
            <v>0</v>
          </cell>
          <cell r="AC892">
            <v>0.2086949627209066</v>
          </cell>
          <cell r="AD892">
            <v>8.4695608344400486E-2</v>
          </cell>
          <cell r="AE892">
            <v>0</v>
          </cell>
          <cell r="AF892">
            <v>13.446808269644086</v>
          </cell>
          <cell r="AG892">
            <v>5.8569253852255017</v>
          </cell>
          <cell r="AH892">
            <v>202508</v>
          </cell>
          <cell r="AJ892" t="str">
            <v>Sakhalin:Prod'n deferred due to the scheduled shutdown in August 2025 for the replacement of the gas flare tip at Chayvo and maintenance/replacement activities across all Sakhalin-1 facilities, which commenced on 1st August 2025.
Vankor:Reason awaited from the operator.
GPOC:Prod'n deferred due to downhole problems.
ACG:Low prod'n in Central Azeri,Western Azeri &amp; Deepwater Gunashli PDQ platform.</v>
          </cell>
        </row>
        <row r="893">
          <cell r="C893">
            <v>45901</v>
          </cell>
          <cell r="D893">
            <v>331680</v>
          </cell>
          <cell r="E893">
            <v>31377</v>
          </cell>
          <cell r="F893">
            <v>23544.55</v>
          </cell>
          <cell r="G893">
            <v>5063</v>
          </cell>
          <cell r="H893">
            <v>2082</v>
          </cell>
          <cell r="I893">
            <v>147420</v>
          </cell>
          <cell r="J893">
            <v>166090</v>
          </cell>
          <cell r="K893">
            <v>50412.21</v>
          </cell>
          <cell r="L893">
            <v>11552</v>
          </cell>
          <cell r="M893">
            <v>363781</v>
          </cell>
          <cell r="N893">
            <v>7331</v>
          </cell>
          <cell r="O893">
            <v>5184</v>
          </cell>
          <cell r="P893">
            <v>0</v>
          </cell>
          <cell r="R893">
            <v>144756.73749999999</v>
          </cell>
          <cell r="S893">
            <v>9.1519961942194055</v>
          </cell>
          <cell r="T893">
            <v>0.50051999999999996</v>
          </cell>
          <cell r="U893">
            <v>3.4079575927305102E-3</v>
          </cell>
          <cell r="V893">
            <v>3.2000000000000001E-2</v>
          </cell>
          <cell r="W893">
            <v>0.27800000000000002</v>
          </cell>
          <cell r="X893">
            <v>0</v>
          </cell>
          <cell r="Y893">
            <v>10.84</v>
          </cell>
          <cell r="Z893">
            <v>0</v>
          </cell>
          <cell r="AA893">
            <v>0</v>
          </cell>
          <cell r="AB893">
            <v>0</v>
          </cell>
          <cell r="AC893">
            <v>0.19850090755407804</v>
          </cell>
          <cell r="AD893">
            <v>0.10771718292948827</v>
          </cell>
          <cell r="AE893">
            <v>0</v>
          </cell>
          <cell r="AF893">
            <v>11.882247336095165</v>
          </cell>
          <cell r="AG893">
            <v>5.6025258791347516</v>
          </cell>
          <cell r="AH893">
            <v>202509</v>
          </cell>
          <cell r="AJ893" t="str">
            <v>Sakhalin:Prod'n deferred due to the scheduled shutdown in August 2025 for the replacement of the gas flare tip at Chayvo and maintenance/replacement activities across all Sakhalin-1 facilities, which commenced on 1st August 2025.
Vankor:Reason awaited from the operator.
LZC:Prod'n deferred due to GPF Train-1 maintenance activity.
ACG:Low prod'n in Central Azeri,Western Azeri &amp; Deepwater Gunashli PDQ platform.
GPOC:Prod'n deferred due to downhole problems.
A1-A3:Prod'n deferred due to reduced nomination of CNUOC.</v>
          </cell>
        </row>
        <row r="894">
          <cell r="C894">
            <v>45902</v>
          </cell>
          <cell r="D894">
            <v>338180</v>
          </cell>
          <cell r="E894">
            <v>17321</v>
          </cell>
          <cell r="F894">
            <v>23563.01</v>
          </cell>
          <cell r="G894">
            <v>5089</v>
          </cell>
          <cell r="H894">
            <v>2138</v>
          </cell>
          <cell r="I894">
            <v>147420</v>
          </cell>
          <cell r="J894">
            <v>167514</v>
          </cell>
          <cell r="K894">
            <v>49903.07</v>
          </cell>
          <cell r="L894">
            <v>5573</v>
          </cell>
          <cell r="M894">
            <v>373057</v>
          </cell>
          <cell r="N894">
            <v>6759</v>
          </cell>
          <cell r="O894">
            <v>5271</v>
          </cell>
          <cell r="P894">
            <v>0</v>
          </cell>
          <cell r="Q894">
            <v>0</v>
          </cell>
          <cell r="R894">
            <v>140377.10574999999</v>
          </cell>
          <cell r="S894">
            <v>9.0047487306985463</v>
          </cell>
          <cell r="T894">
            <v>0.18110000000000001</v>
          </cell>
          <cell r="U894">
            <v>3.4079575927305102E-3</v>
          </cell>
          <cell r="V894">
            <v>3.2000000000000001E-2</v>
          </cell>
          <cell r="W894">
            <v>0.27512999999999999</v>
          </cell>
          <cell r="X894">
            <v>0</v>
          </cell>
          <cell r="Y894">
            <v>10.73</v>
          </cell>
          <cell r="Z894">
            <v>0</v>
          </cell>
          <cell r="AA894">
            <v>0</v>
          </cell>
          <cell r="AB894">
            <v>0</v>
          </cell>
          <cell r="AC894">
            <v>0.23672861442968507</v>
          </cell>
          <cell r="AD894">
            <v>9.6616989525608307E-2</v>
          </cell>
          <cell r="AE894">
            <v>0</v>
          </cell>
          <cell r="AF894">
            <v>11.882049118355811</v>
          </cell>
          <cell r="AG894">
            <v>5.4802367642058405</v>
          </cell>
          <cell r="AH894">
            <v>202509</v>
          </cell>
          <cell r="AJ894" t="str">
            <v xml:space="preserve">Sakhalin:Prod'n deferred due to the scheduled shutdown for the replacement of the gas flare tip at Chayvo and maintenance activities.
Vankor:Reason awaited from the operator.
LZC:Prod'n deferred due to GPF Train-1 maintenance activity.
A1-A3:Prod'n deferred due to reduced nomination of CNUOC.
BC-10:Prod'n deferred due to ALM 1  train C is offline.
SPOC:Prod'n deferred due to COST (crude oil storage tank) level high. </v>
          </cell>
        </row>
        <row r="895">
          <cell r="C895">
            <v>45903</v>
          </cell>
          <cell r="D895">
            <v>318215</v>
          </cell>
          <cell r="E895">
            <v>26667</v>
          </cell>
          <cell r="F895">
            <v>23545.01</v>
          </cell>
          <cell r="G895">
            <v>5075</v>
          </cell>
          <cell r="H895">
            <v>2195</v>
          </cell>
          <cell r="I895">
            <v>147420</v>
          </cell>
          <cell r="J895">
            <v>167652</v>
          </cell>
          <cell r="K895">
            <v>48695.14</v>
          </cell>
          <cell r="L895">
            <v>3039</v>
          </cell>
          <cell r="M895">
            <v>366319</v>
          </cell>
          <cell r="N895">
            <v>7304</v>
          </cell>
          <cell r="O895">
            <v>5320</v>
          </cell>
          <cell r="P895">
            <v>0</v>
          </cell>
          <cell r="Q895">
            <v>0</v>
          </cell>
          <cell r="R895">
            <v>141286.54950000002</v>
          </cell>
          <cell r="S895">
            <v>9.0378794099907349</v>
          </cell>
          <cell r="T895">
            <v>0.14670800000000001</v>
          </cell>
          <cell r="U895">
            <v>3.4079575927305102E-3</v>
          </cell>
          <cell r="V895">
            <v>3.1E-2</v>
          </cell>
          <cell r="W895">
            <v>0.27511000000000002</v>
          </cell>
          <cell r="X895">
            <v>0</v>
          </cell>
          <cell r="Y895">
            <v>10.69</v>
          </cell>
          <cell r="Z895">
            <v>0</v>
          </cell>
          <cell r="AA895">
            <v>0</v>
          </cell>
          <cell r="AB895">
            <v>0</v>
          </cell>
          <cell r="AC895">
            <v>0.20982763551722086</v>
          </cell>
          <cell r="AD895">
            <v>0.10015659201409044</v>
          </cell>
          <cell r="AE895">
            <v>0</v>
          </cell>
          <cell r="AF895">
            <v>11.883748127550282</v>
          </cell>
          <cell r="AG895">
            <v>5.459745561453218</v>
          </cell>
          <cell r="AH895">
            <v>202509</v>
          </cell>
          <cell r="AJ895" t="str">
            <v xml:space="preserve">LZC:Prod'n deferred due to GPF Train-1 maintenance activity.
A1-A3:Prod'n deferred due to reduced nomination of CNUOC.
Vankor:Reason awaited from the operator.
BC-10:Prod'n deferred due to AW-1 well closed in Abalone field.
SPOC:Prod'n deferred due to COST (crude oil storage tank) level high. </v>
          </cell>
        </row>
        <row r="896">
          <cell r="C896">
            <v>45904</v>
          </cell>
          <cell r="D896">
            <v>330336</v>
          </cell>
          <cell r="E896">
            <v>26484</v>
          </cell>
          <cell r="F896">
            <v>23123.18</v>
          </cell>
          <cell r="G896">
            <v>5094</v>
          </cell>
          <cell r="H896">
            <v>2091</v>
          </cell>
          <cell r="I896">
            <v>147420</v>
          </cell>
          <cell r="J896">
            <v>167577</v>
          </cell>
          <cell r="K896">
            <v>48997.52</v>
          </cell>
          <cell r="L896">
            <v>1692</v>
          </cell>
          <cell r="M896">
            <v>379938</v>
          </cell>
          <cell r="N896">
            <v>7450</v>
          </cell>
          <cell r="O896">
            <v>5162</v>
          </cell>
          <cell r="P896">
            <v>0</v>
          </cell>
          <cell r="Q896">
            <v>0</v>
          </cell>
          <cell r="R896">
            <v>141430.649</v>
          </cell>
          <cell r="S896">
            <v>9.0540199973382194</v>
          </cell>
          <cell r="T896">
            <v>0.21176400000000001</v>
          </cell>
          <cell r="U896">
            <v>3.4079575927305102E-3</v>
          </cell>
          <cell r="V896">
            <v>3.1E-2</v>
          </cell>
          <cell r="W896">
            <v>0.26172000000000001</v>
          </cell>
          <cell r="X896">
            <v>0</v>
          </cell>
          <cell r="Y896">
            <v>10.78</v>
          </cell>
          <cell r="Z896">
            <v>0</v>
          </cell>
          <cell r="AA896">
            <v>0</v>
          </cell>
          <cell r="AB896">
            <v>0</v>
          </cell>
          <cell r="AC896">
            <v>0.20218209414209945</v>
          </cell>
          <cell r="AD896">
            <v>0.10250688806644258</v>
          </cell>
          <cell r="AE896">
            <v>0</v>
          </cell>
          <cell r="AF896">
            <v>11.882643771573877</v>
          </cell>
          <cell r="AG896">
            <v>5.4877041619868212</v>
          </cell>
          <cell r="AH896">
            <v>202509</v>
          </cell>
          <cell r="AJ896" t="str">
            <v xml:space="preserve">Sakhalin-1: Prod'n being ramped up.
LZC:Prod'n deferred due to GPF Train-1 maintenance activity.
A1-A3:Prod'n deferred due to reduced nomination of CNUOC.
Vankor:Reason awaited from the operator.
BC-10:Prod'n deferred due to AW-1 well closed in Abalone field.
SPOC:Prod'n deferred due to COST (crude oil storage tank) level high. </v>
          </cell>
        </row>
        <row r="897">
          <cell r="C897">
            <v>45905</v>
          </cell>
          <cell r="D897">
            <v>326657</v>
          </cell>
          <cell r="E897">
            <v>23208</v>
          </cell>
          <cell r="F897">
            <v>22673.11</v>
          </cell>
          <cell r="G897">
            <v>5124</v>
          </cell>
          <cell r="H897">
            <v>2030</v>
          </cell>
          <cell r="I897">
            <v>147420</v>
          </cell>
          <cell r="J897">
            <v>167738</v>
          </cell>
          <cell r="K897">
            <v>40186.370000000003</v>
          </cell>
          <cell r="L897">
            <v>1077</v>
          </cell>
          <cell r="M897">
            <v>426863</v>
          </cell>
          <cell r="N897">
            <v>7509</v>
          </cell>
          <cell r="O897">
            <v>5184</v>
          </cell>
          <cell r="P897">
            <v>0</v>
          </cell>
          <cell r="Q897">
            <v>0</v>
          </cell>
          <cell r="R897">
            <v>139660.46299999999</v>
          </cell>
          <cell r="S897">
            <v>9.0248536728331263</v>
          </cell>
          <cell r="T897">
            <v>0.245729</v>
          </cell>
          <cell r="U897">
            <v>3.4079575927305102E-3</v>
          </cell>
          <cell r="V897">
            <v>3.2000000000000001E-2</v>
          </cell>
          <cell r="W897">
            <v>0.25917000000000001</v>
          </cell>
          <cell r="X897">
            <v>0</v>
          </cell>
          <cell r="Y897">
            <v>10.62</v>
          </cell>
          <cell r="Z897">
            <v>0</v>
          </cell>
          <cell r="AA897">
            <v>0</v>
          </cell>
          <cell r="AB897">
            <v>0</v>
          </cell>
          <cell r="AC897">
            <v>0.19170487077619233</v>
          </cell>
          <cell r="AD897">
            <v>8.8858180870855466E-2</v>
          </cell>
          <cell r="AE897">
            <v>0</v>
          </cell>
          <cell r="AF897">
            <v>11.627933976502701</v>
          </cell>
          <cell r="AG897">
            <v>5.4024589543844632</v>
          </cell>
          <cell r="AH897">
            <v>202509</v>
          </cell>
          <cell r="AJ897" t="str">
            <v xml:space="preserve">Sakhalin-1: Prod'n being ramped up.
A1-A3:Prod'n deferred due to reduced nomination of CNUOC.
Vankor:Reason awaited from the operator.
BC-10:Prod'n deferred due to AW-1 well closed in Abalone field.
GPOC:Prod'n deferred due to downhole problems.
SPOC:Prod'n deferred due to COST (crude oil storage tank) level high. </v>
          </cell>
        </row>
        <row r="898">
          <cell r="C898">
            <v>45906</v>
          </cell>
          <cell r="D898">
            <v>309596</v>
          </cell>
          <cell r="E898">
            <v>24396</v>
          </cell>
          <cell r="F898">
            <v>23471.040000000001</v>
          </cell>
          <cell r="G898">
            <v>5085</v>
          </cell>
          <cell r="H898">
            <v>2132</v>
          </cell>
          <cell r="I898">
            <v>147420</v>
          </cell>
          <cell r="J898">
            <v>166156</v>
          </cell>
          <cell r="K898">
            <v>37893.61</v>
          </cell>
          <cell r="L898">
            <v>1099</v>
          </cell>
          <cell r="M898">
            <v>417554</v>
          </cell>
          <cell r="N898">
            <v>7504</v>
          </cell>
          <cell r="O898">
            <v>5031</v>
          </cell>
          <cell r="P898">
            <v>0</v>
          </cell>
          <cell r="Q898">
            <v>0</v>
          </cell>
          <cell r="R898">
            <v>138709.92724999998</v>
          </cell>
          <cell r="S898">
            <v>8.8982774878450055</v>
          </cell>
          <cell r="T898">
            <v>0.35239300000000001</v>
          </cell>
          <cell r="U898">
            <v>3.4079575927305102E-3</v>
          </cell>
          <cell r="V898">
            <v>3.2000000000000001E-2</v>
          </cell>
          <cell r="W898">
            <v>0.26123000000000002</v>
          </cell>
          <cell r="X898">
            <v>0</v>
          </cell>
          <cell r="Y898">
            <v>10.75</v>
          </cell>
          <cell r="Z898">
            <v>0</v>
          </cell>
          <cell r="AA898">
            <v>0</v>
          </cell>
          <cell r="AB898">
            <v>0</v>
          </cell>
          <cell r="AC898">
            <v>0.18802368418817092</v>
          </cell>
          <cell r="AD898">
            <v>8.7498973515278328E-2</v>
          </cell>
          <cell r="AE898">
            <v>0</v>
          </cell>
          <cell r="AF898">
            <v>12.190645821711637</v>
          </cell>
          <cell r="AG898">
            <v>5.5581282811921664</v>
          </cell>
          <cell r="AH898">
            <v>202509</v>
          </cell>
          <cell r="AJ898" t="str">
            <v xml:space="preserve">Sakhalin-1: Prod'n being ramped up.
A1-A3:Prod'n deferred due to reduced nomination of CNUOC.
Vankor:Reason awaited from the operator.
BC-10:Prod'n deferred due to AW-1 well closed in Abalone field.
GPOC:Prod'n deferred due to downhole problems.
SPOC:Prod'n deferred due to COST (crude oil storage tank) level high. </v>
          </cell>
        </row>
        <row r="899">
          <cell r="C899">
            <v>45907</v>
          </cell>
          <cell r="D899">
            <v>332080</v>
          </cell>
          <cell r="E899">
            <v>23931</v>
          </cell>
          <cell r="F899">
            <v>23463.93</v>
          </cell>
          <cell r="G899">
            <v>5131</v>
          </cell>
          <cell r="H899">
            <v>2053</v>
          </cell>
          <cell r="I899">
            <v>147420</v>
          </cell>
          <cell r="J899">
            <v>168187</v>
          </cell>
          <cell r="K899">
            <v>43958.33</v>
          </cell>
          <cell r="L899">
            <v>1106</v>
          </cell>
          <cell r="M899">
            <v>418223</v>
          </cell>
          <cell r="N899">
            <v>7600</v>
          </cell>
          <cell r="O899">
            <v>5078</v>
          </cell>
          <cell r="P899">
            <v>0</v>
          </cell>
          <cell r="Q899">
            <v>0</v>
          </cell>
          <cell r="R899">
            <v>141283.10600000003</v>
          </cell>
          <cell r="S899">
            <v>9.5979861077681541</v>
          </cell>
          <cell r="T899">
            <v>0.34955599999999998</v>
          </cell>
          <cell r="U899">
            <v>3.4079575927305102E-3</v>
          </cell>
          <cell r="V899">
            <v>3.2000000000000001E-2</v>
          </cell>
          <cell r="W899">
            <v>0.27417000000000002</v>
          </cell>
          <cell r="X899">
            <v>0</v>
          </cell>
          <cell r="Y899">
            <v>10.69</v>
          </cell>
          <cell r="Z899">
            <v>0</v>
          </cell>
          <cell r="AA899">
            <v>0</v>
          </cell>
          <cell r="AB899">
            <v>0</v>
          </cell>
          <cell r="AC899">
            <v>0.1775464608222638</v>
          </cell>
          <cell r="AD899">
            <v>8.8659963131500472E-2</v>
          </cell>
          <cell r="AE899">
            <v>0</v>
          </cell>
          <cell r="AF899">
            <v>11.882615454753967</v>
          </cell>
          <cell r="AG899">
            <v>5.5221155072183539</v>
          </cell>
          <cell r="AH899">
            <v>202509</v>
          </cell>
          <cell r="AJ899" t="str">
            <v xml:space="preserve">A1-A3:Prod'n deferred due to reduced nomination of CNUOC.
Sakhalin-1: Prod'n is being ramped up.
Vankor:Reason awaited from the operator.
BC-10:Prod'n deferred due to AW-1 well closed in Abalone field.
GPOC:Prod'n deferred due to downhole problems.
SPOC:Prod'n deferred due to COST (crude oil storage tank) level high. </v>
          </cell>
        </row>
        <row r="900">
          <cell r="C900">
            <v>45908</v>
          </cell>
          <cell r="D900">
            <v>342037</v>
          </cell>
          <cell r="E900">
            <v>24522</v>
          </cell>
          <cell r="F900">
            <v>23496.02</v>
          </cell>
          <cell r="G900">
            <v>5145</v>
          </cell>
          <cell r="H900">
            <v>2117</v>
          </cell>
          <cell r="I900">
            <v>144002</v>
          </cell>
          <cell r="J900">
            <v>165970</v>
          </cell>
          <cell r="K900">
            <v>43870.15</v>
          </cell>
          <cell r="L900">
            <v>5437</v>
          </cell>
          <cell r="M900">
            <v>410061</v>
          </cell>
          <cell r="N900">
            <v>7607</v>
          </cell>
          <cell r="O900">
            <v>5030</v>
          </cell>
          <cell r="P900">
            <v>0</v>
          </cell>
          <cell r="Q900">
            <v>0</v>
          </cell>
          <cell r="R900">
            <v>141245.26</v>
          </cell>
          <cell r="S900">
            <v>11.535139757664655</v>
          </cell>
          <cell r="T900">
            <v>0.32336100000000001</v>
          </cell>
          <cell r="U900">
            <v>3.4079575927305102E-3</v>
          </cell>
          <cell r="V900">
            <v>3.2000000000000001E-2</v>
          </cell>
          <cell r="W900">
            <v>0.30673</v>
          </cell>
          <cell r="X900">
            <v>0</v>
          </cell>
          <cell r="Y900">
            <v>10.59</v>
          </cell>
          <cell r="Z900">
            <v>0</v>
          </cell>
          <cell r="AA900">
            <v>0</v>
          </cell>
          <cell r="AB900">
            <v>0</v>
          </cell>
          <cell r="AC900">
            <v>0.2055801125310423</v>
          </cell>
          <cell r="AD900">
            <v>5.8049480811106981E-2</v>
          </cell>
          <cell r="AE900">
            <v>0</v>
          </cell>
          <cell r="AF900">
            <v>11.883380008891482</v>
          </cell>
          <cell r="AG900">
            <v>5.5692340844410122</v>
          </cell>
          <cell r="AH900">
            <v>202509</v>
          </cell>
          <cell r="AJ900" t="str">
            <v xml:space="preserve">A1-A3:Prod'n deferred due to reduced nomination of CNUOC.
Sakhalin-1: Prod'n is being ramped up.
BC-10:Prod'n deferred due to AW-1 well closed in Abalone field.
GPOC:Prod'n deferred due to downhole problems.
SPOC:Prod'n deferred due to COST (crude oil storage tank) level high. </v>
          </cell>
        </row>
        <row r="901">
          <cell r="C901">
            <v>45909</v>
          </cell>
          <cell r="D901">
            <v>318704</v>
          </cell>
          <cell r="E901">
            <v>25132</v>
          </cell>
          <cell r="F901">
            <v>23434.329999999998</v>
          </cell>
          <cell r="G901">
            <v>5068</v>
          </cell>
          <cell r="H901">
            <v>2108</v>
          </cell>
          <cell r="I901">
            <v>144002</v>
          </cell>
          <cell r="J901">
            <v>166094</v>
          </cell>
          <cell r="K901">
            <v>43636.99</v>
          </cell>
          <cell r="L901">
            <v>12203</v>
          </cell>
          <cell r="M901">
            <v>415981</v>
          </cell>
          <cell r="N901">
            <v>7609</v>
          </cell>
          <cell r="O901">
            <v>5140</v>
          </cell>
          <cell r="P901">
            <v>0</v>
          </cell>
          <cell r="Q901">
            <v>0</v>
          </cell>
          <cell r="R901">
            <v>142524.05424999999</v>
          </cell>
          <cell r="S901">
            <v>12.689616505307983</v>
          </cell>
          <cell r="T901">
            <v>0.422707</v>
          </cell>
          <cell r="U901">
            <v>3.4079575927305102E-3</v>
          </cell>
          <cell r="V901">
            <v>3.2000000000000001E-2</v>
          </cell>
          <cell r="W901">
            <v>0.29019</v>
          </cell>
          <cell r="X901">
            <v>0</v>
          </cell>
          <cell r="Y901">
            <v>10.71</v>
          </cell>
          <cell r="Z901">
            <v>0</v>
          </cell>
          <cell r="AA901">
            <v>0</v>
          </cell>
          <cell r="AB901">
            <v>0</v>
          </cell>
          <cell r="AC901">
            <v>0.18066131101212807</v>
          </cell>
          <cell r="AD901">
            <v>9.1689862861641186E-2</v>
          </cell>
          <cell r="AE901">
            <v>0</v>
          </cell>
          <cell r="AF901">
            <v>11.883719810730376</v>
          </cell>
          <cell r="AG901">
            <v>5.655258800275325</v>
          </cell>
          <cell r="AH901">
            <v>202509</v>
          </cell>
          <cell r="AJ901" t="str">
            <v>A1-A3:Prod'n deferred due to reduced nomination of CNUOC.
BC-10:Prod'n is being ramped up.
GPOC:Prod'n deferred due to downhole problems.</v>
          </cell>
        </row>
        <row r="902">
          <cell r="C902">
            <v>45910</v>
          </cell>
          <cell r="D902">
            <v>319057</v>
          </cell>
          <cell r="E902">
            <v>24730</v>
          </cell>
          <cell r="F902">
            <v>23412.57</v>
          </cell>
          <cell r="G902">
            <v>5110</v>
          </cell>
          <cell r="H902">
            <v>2097</v>
          </cell>
          <cell r="I902">
            <v>144002</v>
          </cell>
          <cell r="J902">
            <v>168003</v>
          </cell>
          <cell r="K902">
            <v>45407.75</v>
          </cell>
          <cell r="L902">
            <v>11776</v>
          </cell>
          <cell r="M902">
            <v>426480</v>
          </cell>
          <cell r="N902">
            <v>7604</v>
          </cell>
          <cell r="O902">
            <v>5185</v>
          </cell>
          <cell r="P902">
            <v>0</v>
          </cell>
          <cell r="Q902">
            <v>0</v>
          </cell>
          <cell r="R902">
            <v>143694.03375</v>
          </cell>
          <cell r="S902">
            <v>11.231017111854266</v>
          </cell>
          <cell r="T902">
            <v>0.48894799999999999</v>
          </cell>
          <cell r="U902">
            <v>3.4079575927305102E-3</v>
          </cell>
          <cell r="V902">
            <v>3.1E-2</v>
          </cell>
          <cell r="W902">
            <v>0.27633999999999997</v>
          </cell>
          <cell r="X902">
            <v>0</v>
          </cell>
          <cell r="Y902">
            <v>10.8</v>
          </cell>
          <cell r="Z902">
            <v>0</v>
          </cell>
          <cell r="AA902">
            <v>0</v>
          </cell>
          <cell r="AB902">
            <v>0</v>
          </cell>
          <cell r="AC902">
            <v>0.18490883399830665</v>
          </cell>
          <cell r="AD902">
            <v>8.9707685468091186E-2</v>
          </cell>
          <cell r="AE902">
            <v>0</v>
          </cell>
          <cell r="AF902">
            <v>11.599362305215674</v>
          </cell>
          <cell r="AG902">
            <v>5.5908634186503638</v>
          </cell>
          <cell r="AH902">
            <v>202509</v>
          </cell>
          <cell r="AJ902" t="str">
            <v>A1-A3:Prod'n deferred due to reduced nomination of CNUOC.
GPOC:Prod'n deferred due to downhole problems.</v>
          </cell>
        </row>
        <row r="903">
          <cell r="C903">
            <v>45911</v>
          </cell>
          <cell r="D903">
            <v>317213</v>
          </cell>
          <cell r="E903">
            <v>24371</v>
          </cell>
          <cell r="F903">
            <v>23420.11</v>
          </cell>
          <cell r="G903">
            <v>5071</v>
          </cell>
          <cell r="H903">
            <v>2158</v>
          </cell>
          <cell r="I903">
            <v>144002</v>
          </cell>
          <cell r="J903">
            <v>168473</v>
          </cell>
          <cell r="K903">
            <v>46147.92</v>
          </cell>
          <cell r="L903">
            <v>748</v>
          </cell>
          <cell r="M903">
            <v>401017</v>
          </cell>
          <cell r="N903">
            <v>7555</v>
          </cell>
          <cell r="O903">
            <v>5038</v>
          </cell>
          <cell r="P903">
            <v>0</v>
          </cell>
          <cell r="Q903">
            <v>0</v>
          </cell>
          <cell r="R903">
            <v>140153.97224999999</v>
          </cell>
          <cell r="S903">
            <v>12.497062129934561</v>
          </cell>
          <cell r="T903">
            <v>0.51384099999999999</v>
          </cell>
          <cell r="U903">
            <v>3.4079575927305102E-3</v>
          </cell>
          <cell r="V903">
            <v>3.2000000000000001E-2</v>
          </cell>
          <cell r="W903">
            <v>0.28055999999999998</v>
          </cell>
          <cell r="X903">
            <v>0</v>
          </cell>
          <cell r="Y903">
            <v>10.69</v>
          </cell>
          <cell r="Z903">
            <v>0</v>
          </cell>
          <cell r="AA903">
            <v>0</v>
          </cell>
          <cell r="AB903">
            <v>0</v>
          </cell>
          <cell r="AC903">
            <v>0.18632467499369951</v>
          </cell>
          <cell r="AD903">
            <v>9.2624317918600457E-2</v>
          </cell>
          <cell r="AE903">
            <v>0</v>
          </cell>
          <cell r="AF903">
            <v>11.600948047130515</v>
          </cell>
          <cell r="AG903">
            <v>5.6123283170444322</v>
          </cell>
          <cell r="AH903">
            <v>202509</v>
          </cell>
          <cell r="AJ903" t="str">
            <v>A1-A3:Prod'n deferred due to reduced nomination of CNUOC.
ACG:Prod'n deferred due to low prod'n in Central Azeri &amp; East Azeri.
GPOC:Prod'n deferred due to downhole problems.
SPOC:Wells shutdown due to suspected leakage at BVS#4 on the 24", 172 Km TJ-WHCC export pipeline.</v>
          </cell>
        </row>
        <row r="904">
          <cell r="C904">
            <v>45912</v>
          </cell>
          <cell r="D904">
            <v>329660</v>
          </cell>
          <cell r="E904">
            <v>28792</v>
          </cell>
          <cell r="F904">
            <v>23420.79</v>
          </cell>
          <cell r="G904">
            <v>5038</v>
          </cell>
          <cell r="H904">
            <v>2084</v>
          </cell>
          <cell r="I904">
            <v>144002</v>
          </cell>
          <cell r="J904">
            <v>169065</v>
          </cell>
          <cell r="K904">
            <v>44871.1</v>
          </cell>
          <cell r="L904">
            <v>1110</v>
          </cell>
          <cell r="M904">
            <v>431895</v>
          </cell>
          <cell r="N904">
            <v>7573</v>
          </cell>
          <cell r="O904">
            <v>4870</v>
          </cell>
          <cell r="P904">
            <v>0</v>
          </cell>
          <cell r="Q904">
            <v>0</v>
          </cell>
          <cell r="R904">
            <v>142713.64049999998</v>
          </cell>
          <cell r="S904">
            <v>13.495513199885597</v>
          </cell>
          <cell r="T904">
            <v>0.51848399999999994</v>
          </cell>
          <cell r="U904">
            <v>3.4079575927305102E-3</v>
          </cell>
          <cell r="V904">
            <v>0.03</v>
          </cell>
          <cell r="W904">
            <v>0.27035999999999999</v>
          </cell>
          <cell r="X904">
            <v>0</v>
          </cell>
          <cell r="Y904">
            <v>10.71</v>
          </cell>
          <cell r="Z904">
            <v>0</v>
          </cell>
          <cell r="AA904">
            <v>0</v>
          </cell>
          <cell r="AB904">
            <v>0</v>
          </cell>
          <cell r="AC904">
            <v>0.18745734779001377</v>
          </cell>
          <cell r="AD904">
            <v>7.3538781300704806E-2</v>
          </cell>
          <cell r="AE904">
            <v>0</v>
          </cell>
          <cell r="AF904">
            <v>11.600438344372172</v>
          </cell>
          <cell r="AG904">
            <v>5.629190350732018</v>
          </cell>
          <cell r="AH904">
            <v>202509</v>
          </cell>
          <cell r="AJ904" t="str">
            <v>A1-A3:Prod'n deferred due to reduced nomination of CNUOC.
ACG:Prod'n deferred due to low prod'n in Central Azeri &amp; East Azeri.
GPOC:Prod'n deferred due to downhole problems.
SPOC:Wells shutdown due to suspected leakage at BVS#4 on the 24", 172 Km TJ-WHCC export pipeline.</v>
          </cell>
        </row>
        <row r="905">
          <cell r="C905">
            <v>45913</v>
          </cell>
          <cell r="D905">
            <v>339217</v>
          </cell>
          <cell r="E905">
            <v>31755</v>
          </cell>
          <cell r="F905">
            <v>23378.45</v>
          </cell>
          <cell r="G905">
            <v>5080</v>
          </cell>
          <cell r="H905">
            <v>2108</v>
          </cell>
          <cell r="I905">
            <v>144002</v>
          </cell>
          <cell r="J905">
            <v>167523</v>
          </cell>
          <cell r="K905">
            <v>45062.87</v>
          </cell>
          <cell r="L905">
            <v>1108</v>
          </cell>
          <cell r="M905">
            <v>438282</v>
          </cell>
          <cell r="N905">
            <v>7598</v>
          </cell>
          <cell r="O905">
            <v>4838</v>
          </cell>
          <cell r="P905">
            <v>0</v>
          </cell>
          <cell r="Q905">
            <v>0</v>
          </cell>
          <cell r="R905">
            <v>143700.52475000001</v>
          </cell>
          <cell r="S905">
            <v>13.2140440100015</v>
          </cell>
          <cell r="T905">
            <v>0.497838</v>
          </cell>
          <cell r="U905">
            <v>3.4079575927305102E-3</v>
          </cell>
          <cell r="V905">
            <v>0.03</v>
          </cell>
          <cell r="W905">
            <v>0.27288000000000001</v>
          </cell>
          <cell r="X905">
            <v>0</v>
          </cell>
          <cell r="Y905">
            <v>10.46</v>
          </cell>
          <cell r="Z905">
            <v>0</v>
          </cell>
          <cell r="AA905">
            <v>0</v>
          </cell>
          <cell r="AB905">
            <v>0</v>
          </cell>
          <cell r="AC905">
            <v>0.19085536617895663</v>
          </cell>
          <cell r="AD905">
            <v>7.8380957504948348E-2</v>
          </cell>
          <cell r="AE905">
            <v>0</v>
          </cell>
          <cell r="AF905">
            <v>11.598512800618439</v>
          </cell>
          <cell r="AG905">
            <v>5.554886266994254</v>
          </cell>
          <cell r="AH905">
            <v>202509</v>
          </cell>
          <cell r="AJ905" t="str">
            <v>A1-A3:Prod'n deferred due to reduced nomination of CNUOC.
ACG:Prod'n deferred due to low prod'n in Central Azeri &amp; East Azeri.
GPOC:Prod'n deferred due to downhole problems.
SPOC:Wells shutdown due to suspected leakage at BVS#4 on the 24", 172 Km TJ-WHCC export pipeline.</v>
          </cell>
        </row>
        <row r="906">
          <cell r="C906">
            <v>45914</v>
          </cell>
          <cell r="D906">
            <v>334954</v>
          </cell>
          <cell r="E906">
            <v>30189</v>
          </cell>
          <cell r="F906">
            <v>23402.639999999999</v>
          </cell>
          <cell r="G906">
            <v>5265</v>
          </cell>
          <cell r="H906">
            <v>2129</v>
          </cell>
          <cell r="I906">
            <v>144002</v>
          </cell>
          <cell r="J906">
            <v>168173</v>
          </cell>
          <cell r="K906">
            <v>46393.69</v>
          </cell>
          <cell r="L906">
            <v>1095</v>
          </cell>
          <cell r="M906">
            <v>427955</v>
          </cell>
          <cell r="N906">
            <v>7528</v>
          </cell>
          <cell r="O906">
            <v>5015</v>
          </cell>
          <cell r="P906">
            <v>0</v>
          </cell>
          <cell r="Q906">
            <v>0</v>
          </cell>
          <cell r="R906">
            <v>143432.03375</v>
          </cell>
          <cell r="S906">
            <v>13.459550838602622</v>
          </cell>
          <cell r="T906">
            <v>0.49913999999999997</v>
          </cell>
          <cell r="U906">
            <v>3.4079575927305102E-3</v>
          </cell>
          <cell r="V906">
            <v>3.2000000000000001E-2</v>
          </cell>
          <cell r="W906">
            <v>0.26685000000000003</v>
          </cell>
          <cell r="X906">
            <v>0</v>
          </cell>
          <cell r="Y906">
            <v>10.72</v>
          </cell>
          <cell r="Z906">
            <v>0</v>
          </cell>
          <cell r="AA906">
            <v>0</v>
          </cell>
          <cell r="AB906">
            <v>0</v>
          </cell>
          <cell r="AC906">
            <v>0.20897813091998516</v>
          </cell>
          <cell r="AD906">
            <v>8.5092043823110475E-2</v>
          </cell>
          <cell r="AE906">
            <v>0</v>
          </cell>
          <cell r="AF906">
            <v>11.597323494182309</v>
          </cell>
          <cell r="AG906">
            <v>5.6294646382854738</v>
          </cell>
          <cell r="AH906">
            <v>202509</v>
          </cell>
          <cell r="AJ906" t="str">
            <v xml:space="preserve">A1-A3:Prod'n deferred due to reduced nomination of CNUOC.
ACG:Prod'n deferred due to low prod'n in Central Azeri &amp; East Azeri.
GPOC:Prod'n deferred due to downhole problems.
SPOC:Wells shutdown due to suspected leakage at BVS#4 on the 24", 172 Km TJ-WHCC export pipeline._x000D_
</v>
          </cell>
        </row>
        <row r="907">
          <cell r="C907">
            <v>45915</v>
          </cell>
          <cell r="D907">
            <v>317287</v>
          </cell>
          <cell r="E907">
            <v>31239</v>
          </cell>
          <cell r="F907">
            <v>23377.42</v>
          </cell>
          <cell r="G907">
            <v>5105</v>
          </cell>
          <cell r="H907">
            <v>2135</v>
          </cell>
          <cell r="I907">
            <v>141102</v>
          </cell>
          <cell r="J907">
            <v>167761</v>
          </cell>
          <cell r="K907">
            <v>46508.52</v>
          </cell>
          <cell r="L907">
            <v>7176</v>
          </cell>
          <cell r="M907">
            <v>430152</v>
          </cell>
          <cell r="N907">
            <v>7456</v>
          </cell>
          <cell r="O907">
            <v>4122</v>
          </cell>
          <cell r="P907">
            <v>0</v>
          </cell>
          <cell r="Q907">
            <v>0</v>
          </cell>
          <cell r="R907">
            <v>143638.50875000001</v>
          </cell>
          <cell r="S907">
            <v>13.394705321013628</v>
          </cell>
          <cell r="T907">
            <v>0.501633</v>
          </cell>
          <cell r="U907">
            <v>3.4079575927305102E-3</v>
          </cell>
          <cell r="V907">
            <v>3.1E-2</v>
          </cell>
          <cell r="W907">
            <v>0.28619</v>
          </cell>
          <cell r="X907">
            <v>0</v>
          </cell>
          <cell r="Y907">
            <v>10.79</v>
          </cell>
          <cell r="Z907">
            <v>0</v>
          </cell>
          <cell r="AA907">
            <v>0</v>
          </cell>
          <cell r="AB907">
            <v>0</v>
          </cell>
          <cell r="AC907">
            <v>0.20897813091998516</v>
          </cell>
          <cell r="AD907">
            <v>7.8267690225316919E-2</v>
          </cell>
          <cell r="AE907">
            <v>0</v>
          </cell>
          <cell r="AF907">
            <v>11.591631813380831</v>
          </cell>
          <cell r="AG907">
            <v>5.6615836897206266</v>
          </cell>
          <cell r="AH907">
            <v>202509</v>
          </cell>
          <cell r="AJ907" t="str">
            <v>A1-A3:Prod'n deferred due to reduced nomination of CNUOC.
ACG:Prod'n deferred due to low prod'n in Central Azeri &amp; East Azeri.
GPOC:Prod'n deferred due to downhole problems.
SPOC:Wells shutdown due to suspected leakage at BVS#4 on the 24", 172 Km TJ-WHCC export pipeline.</v>
          </cell>
        </row>
        <row r="908">
          <cell r="C908">
            <v>45916</v>
          </cell>
          <cell r="D908">
            <v>327417</v>
          </cell>
          <cell r="E908">
            <v>31428</v>
          </cell>
          <cell r="F908">
            <v>23335.03</v>
          </cell>
          <cell r="G908">
            <v>5129</v>
          </cell>
          <cell r="H908">
            <v>1814</v>
          </cell>
          <cell r="I908">
            <v>141102</v>
          </cell>
          <cell r="J908">
            <v>167383</v>
          </cell>
          <cell r="K908">
            <v>45052.39</v>
          </cell>
          <cell r="L908">
            <v>14998</v>
          </cell>
          <cell r="M908">
            <v>437295</v>
          </cell>
          <cell r="N908">
            <v>7564</v>
          </cell>
          <cell r="O908">
            <v>4155</v>
          </cell>
          <cell r="P908">
            <v>0</v>
          </cell>
          <cell r="Q908">
            <v>0</v>
          </cell>
          <cell r="R908">
            <v>145382.71325</v>
          </cell>
          <cell r="S908">
            <v>13.456435988412757</v>
          </cell>
          <cell r="T908">
            <v>0.49936199999999997</v>
          </cell>
          <cell r="U908">
            <v>3.4079575927305102E-3</v>
          </cell>
          <cell r="V908">
            <v>3.2000000000000001E-2</v>
          </cell>
          <cell r="W908">
            <v>0.13094999999999998</v>
          </cell>
          <cell r="X908">
            <v>0</v>
          </cell>
          <cell r="Y908">
            <v>10.75</v>
          </cell>
          <cell r="Z908">
            <v>0</v>
          </cell>
          <cell r="AA908">
            <v>0</v>
          </cell>
          <cell r="AB908">
            <v>0</v>
          </cell>
          <cell r="AC908">
            <v>0.19481972096605663</v>
          </cell>
          <cell r="AD908">
            <v>8.2062144092969788E-2</v>
          </cell>
          <cell r="AE908">
            <v>0</v>
          </cell>
          <cell r="AF908">
            <v>11.591320328361842</v>
          </cell>
          <cell r="AG908">
            <v>5.4975435457409523</v>
          </cell>
          <cell r="AH908">
            <v>202509</v>
          </cell>
          <cell r="AJ908" t="str">
            <v>A1-A3:Prod'n deferred due to reduced nomination of CNUOC.
GPOC:Prod'n deferred due to downhole problems.
IEC:Prod'n deferred due to scheduled maintenance shutdown of APGTP plant at Snezhnoye field.</v>
          </cell>
        </row>
        <row r="909">
          <cell r="C909">
            <v>45917</v>
          </cell>
          <cell r="D909">
            <v>354191</v>
          </cell>
          <cell r="E909">
            <v>30604</v>
          </cell>
          <cell r="F909">
            <v>23377.18</v>
          </cell>
          <cell r="G909">
            <v>5144</v>
          </cell>
          <cell r="H909">
            <v>1781</v>
          </cell>
          <cell r="I909">
            <v>141102</v>
          </cell>
          <cell r="J909">
            <v>168591</v>
          </cell>
          <cell r="K909">
            <v>47005.120000000003</v>
          </cell>
          <cell r="L909">
            <v>13526</v>
          </cell>
          <cell r="M909">
            <v>448383</v>
          </cell>
          <cell r="N909">
            <v>7252</v>
          </cell>
          <cell r="O909">
            <v>4781</v>
          </cell>
          <cell r="P909">
            <v>0</v>
          </cell>
          <cell r="Q909">
            <v>0</v>
          </cell>
          <cell r="R909">
            <v>147054.12025000001</v>
          </cell>
          <cell r="S909">
            <v>13.304091497308484</v>
          </cell>
          <cell r="T909">
            <v>0.507077</v>
          </cell>
          <cell r="U909">
            <v>3.4079575927305102E-3</v>
          </cell>
          <cell r="V909">
            <v>3.2000000000000001E-2</v>
          </cell>
          <cell r="W909">
            <v>9.9670000000000009E-2</v>
          </cell>
          <cell r="X909">
            <v>0</v>
          </cell>
          <cell r="Y909">
            <v>10.64</v>
          </cell>
          <cell r="Z909">
            <v>0</v>
          </cell>
          <cell r="AA909">
            <v>0</v>
          </cell>
          <cell r="AB909">
            <v>0</v>
          </cell>
          <cell r="AC909">
            <v>0.19481972096605663</v>
          </cell>
          <cell r="AD909">
            <v>8.4554024244861206E-2</v>
          </cell>
          <cell r="AE909">
            <v>0</v>
          </cell>
          <cell r="AF909">
            <v>11.604062897320379</v>
          </cell>
          <cell r="AG909">
            <v>5.43845350815986</v>
          </cell>
          <cell r="AH909">
            <v>202509</v>
          </cell>
          <cell r="AJ909" t="str">
            <v>A1-A3:Prod'n deferred due to reduced nomination of CNUOC.
GPOC:Prod'n deferred due to downhole problems.
IEC:Prod'n deferred due to scheduled maintenance shutdown of APGTP plant at Snezhnoye field.</v>
          </cell>
        </row>
        <row r="910">
          <cell r="C910">
            <v>45918</v>
          </cell>
          <cell r="D910">
            <v>350069</v>
          </cell>
          <cell r="E910">
            <v>31283</v>
          </cell>
          <cell r="F910">
            <v>23375.439999999999</v>
          </cell>
          <cell r="G910">
            <v>5137</v>
          </cell>
          <cell r="H910">
            <v>1790</v>
          </cell>
          <cell r="I910">
            <v>141102</v>
          </cell>
          <cell r="J910">
            <v>167862</v>
          </cell>
          <cell r="K910">
            <v>47571.56</v>
          </cell>
          <cell r="L910">
            <v>10831</v>
          </cell>
          <cell r="M910">
            <v>456406</v>
          </cell>
          <cell r="N910">
            <v>7018</v>
          </cell>
          <cell r="O910">
            <v>4883</v>
          </cell>
          <cell r="P910">
            <v>0</v>
          </cell>
          <cell r="Q910">
            <v>0</v>
          </cell>
          <cell r="R910">
            <v>146759.04500000001</v>
          </cell>
          <cell r="S910">
            <v>13.546200307520667</v>
          </cell>
          <cell r="T910">
            <v>0.502637</v>
          </cell>
          <cell r="U910">
            <v>3.4079575927305102E-3</v>
          </cell>
          <cell r="V910">
            <v>0.03</v>
          </cell>
          <cell r="W910">
            <v>9.9150000000000002E-2</v>
          </cell>
          <cell r="X910">
            <v>0</v>
          </cell>
          <cell r="Y910">
            <v>10.62</v>
          </cell>
          <cell r="Z910">
            <v>0</v>
          </cell>
          <cell r="AA910">
            <v>0</v>
          </cell>
          <cell r="AB910">
            <v>0</v>
          </cell>
          <cell r="AC910">
            <v>0.20048308494762804</v>
          </cell>
          <cell r="AD910">
            <v>9.5371049449662598E-2</v>
          </cell>
          <cell r="AE910">
            <v>0</v>
          </cell>
          <cell r="AF910">
            <v>11.597181910082769</v>
          </cell>
          <cell r="AG910">
            <v>5.4413964031480662</v>
          </cell>
          <cell r="AH910">
            <v>202509</v>
          </cell>
          <cell r="AJ910" t="str">
            <v>Sakhalin-1:New prod'n data received from the operator.
A1-A3:Prod'n deferred due to reduced nomination of CNUOC.
GPOC:Prod'n deferred due to downhole problems.
IEC:Prod'n deferred due to scheduled maintenance shutdown of APGTP plant at Snezhnoye field.</v>
          </cell>
        </row>
        <row r="911">
          <cell r="C911">
            <v>45919</v>
          </cell>
          <cell r="D911">
            <v>323153</v>
          </cell>
          <cell r="E911">
            <v>31503</v>
          </cell>
          <cell r="F911">
            <v>23348.839999999997</v>
          </cell>
          <cell r="G911">
            <v>5153</v>
          </cell>
          <cell r="H911">
            <v>1934</v>
          </cell>
          <cell r="I911">
            <v>141102</v>
          </cell>
          <cell r="J911">
            <v>169677</v>
          </cell>
          <cell r="K911">
            <v>45888.04</v>
          </cell>
          <cell r="L911">
            <v>12454</v>
          </cell>
          <cell r="M911">
            <v>450173</v>
          </cell>
          <cell r="N911">
            <v>7305</v>
          </cell>
          <cell r="O911">
            <v>0</v>
          </cell>
          <cell r="P911">
            <v>0</v>
          </cell>
          <cell r="Q911">
            <v>0</v>
          </cell>
          <cell r="R911">
            <v>144436.15075</v>
          </cell>
          <cell r="S911">
            <v>13.213477673603343</v>
          </cell>
          <cell r="T911">
            <v>0.50681299999999996</v>
          </cell>
          <cell r="U911">
            <v>3.4079575927305102E-3</v>
          </cell>
          <cell r="V911">
            <v>3.2000000000000001E-2</v>
          </cell>
          <cell r="W911">
            <v>0.10197000000000001</v>
          </cell>
          <cell r="X911">
            <v>0</v>
          </cell>
          <cell r="Y911">
            <v>10.75</v>
          </cell>
          <cell r="Z911">
            <v>0</v>
          </cell>
          <cell r="AA911">
            <v>0</v>
          </cell>
          <cell r="AB911">
            <v>0</v>
          </cell>
          <cell r="AC911">
            <v>0.19736823475776374</v>
          </cell>
          <cell r="AD911">
            <v>9.8655800558974022E-2</v>
          </cell>
          <cell r="AE911">
            <v>0</v>
          </cell>
          <cell r="AF911">
            <v>12.461949273248816</v>
          </cell>
          <cell r="AG911">
            <v>5.6183935047670523</v>
          </cell>
          <cell r="AH911">
            <v>202509</v>
          </cell>
          <cell r="AJ911" t="str">
            <v>A1-A3:Prod'n deferred due to reduced nomination of CNUOC.
GPOC:Prod'n deferred due to downhole problems.
IEC:Prod'n deferred due to scheduled maintenance shutdown of APGTP plant at Snezhnoye field.
SCB: Prod'n deferred due to electrical failure.</v>
          </cell>
        </row>
        <row r="912">
          <cell r="C912">
            <v>45920</v>
          </cell>
          <cell r="D912">
            <v>322847</v>
          </cell>
          <cell r="E912">
            <v>31050</v>
          </cell>
          <cell r="F912">
            <v>23318.31</v>
          </cell>
          <cell r="G912">
            <v>5136</v>
          </cell>
          <cell r="H912">
            <v>2377</v>
          </cell>
          <cell r="I912">
            <v>141102</v>
          </cell>
          <cell r="J912">
            <v>168257</v>
          </cell>
          <cell r="K912">
            <v>46575.97</v>
          </cell>
          <cell r="L912">
            <v>10168</v>
          </cell>
          <cell r="M912">
            <v>445094</v>
          </cell>
          <cell r="N912">
            <v>7215</v>
          </cell>
          <cell r="O912">
            <v>0</v>
          </cell>
          <cell r="P912">
            <v>0</v>
          </cell>
          <cell r="Q912">
            <v>0</v>
          </cell>
          <cell r="R912">
            <v>143756.24424999999</v>
          </cell>
          <cell r="S912">
            <v>9.8868176708282913</v>
          </cell>
          <cell r="T912">
            <v>0.50725299999999995</v>
          </cell>
          <cell r="U912">
            <v>3.4079575927305102E-3</v>
          </cell>
          <cell r="V912">
            <v>3.2000000000000001E-2</v>
          </cell>
          <cell r="W912">
            <v>0.23182</v>
          </cell>
          <cell r="X912">
            <v>0</v>
          </cell>
          <cell r="Y912">
            <v>10.64</v>
          </cell>
          <cell r="Z912">
            <v>0</v>
          </cell>
          <cell r="AA912">
            <v>0</v>
          </cell>
          <cell r="AB912">
            <v>0</v>
          </cell>
          <cell r="AC912">
            <v>0.20501377613288516</v>
          </cell>
          <cell r="AD912">
            <v>7.8126106125777639E-2</v>
          </cell>
          <cell r="AE912">
            <v>0</v>
          </cell>
          <cell r="AF912">
            <v>12.745683808725545</v>
          </cell>
          <cell r="AG912">
            <v>5.6633215024949104</v>
          </cell>
          <cell r="AH912">
            <v>202509</v>
          </cell>
          <cell r="AJ912" t="str">
            <v xml:space="preserve">A1-A3:Prod'n deferred due to reduced nomination of CNUOC.
GPOC:Prod'n deferred due to downhole problems.
SCB: Prod'n deferred due to electrical failure.
</v>
          </cell>
        </row>
        <row r="913">
          <cell r="C913">
            <v>45921</v>
          </cell>
          <cell r="D913">
            <v>353951</v>
          </cell>
          <cell r="E913">
            <v>31497</v>
          </cell>
          <cell r="F913">
            <v>23302.34</v>
          </cell>
          <cell r="G913">
            <v>5148</v>
          </cell>
          <cell r="H913">
            <v>2677</v>
          </cell>
          <cell r="I913">
            <v>141102</v>
          </cell>
          <cell r="J913">
            <v>168209</v>
          </cell>
          <cell r="K913">
            <v>48685.87</v>
          </cell>
          <cell r="L913">
            <v>12421</v>
          </cell>
          <cell r="M913">
            <v>436712</v>
          </cell>
          <cell r="N913">
            <v>7275</v>
          </cell>
          <cell r="O913">
            <v>6270</v>
          </cell>
          <cell r="P913">
            <v>0</v>
          </cell>
          <cell r="Q913">
            <v>0</v>
          </cell>
          <cell r="R913">
            <v>148319.39850000001</v>
          </cell>
          <cell r="S913">
            <v>9.2352476447484992</v>
          </cell>
          <cell r="T913">
            <v>0.50757300000000005</v>
          </cell>
          <cell r="U913">
            <v>3.4079575927305102E-3</v>
          </cell>
          <cell r="V913">
            <v>3.4000000000000002E-2</v>
          </cell>
          <cell r="W913">
            <v>0.29944999999999999</v>
          </cell>
          <cell r="X913">
            <v>0</v>
          </cell>
          <cell r="Y913">
            <v>10.63</v>
          </cell>
          <cell r="Z913">
            <v>0</v>
          </cell>
          <cell r="AA913">
            <v>0</v>
          </cell>
          <cell r="AB913">
            <v>0</v>
          </cell>
          <cell r="AC913">
            <v>0.20586328073012086</v>
          </cell>
          <cell r="AD913">
            <v>7.9343729381815498E-2</v>
          </cell>
          <cell r="AE913">
            <v>0</v>
          </cell>
          <cell r="AF913">
            <v>12.739057672867105</v>
          </cell>
          <cell r="AG913">
            <v>5.7098335309442518</v>
          </cell>
          <cell r="AH913">
            <v>202509</v>
          </cell>
          <cell r="AJ913" t="str">
            <v xml:space="preserve">A1-A3:Prod'n deferred due to reduced nomination of CNUOC.
GPOC:Prod'n deferred due to downhole problems.
SCB: Prod'n deferred due to electrical failure.
</v>
          </cell>
        </row>
        <row r="914">
          <cell r="C914">
            <v>45922</v>
          </cell>
          <cell r="D914">
            <v>341768</v>
          </cell>
          <cell r="E914">
            <v>31201</v>
          </cell>
          <cell r="F914">
            <v>23316.31</v>
          </cell>
          <cell r="G914">
            <v>5177</v>
          </cell>
          <cell r="H914">
            <v>2429</v>
          </cell>
          <cell r="I914">
            <v>133786</v>
          </cell>
          <cell r="J914">
            <v>168629</v>
          </cell>
          <cell r="K914">
            <v>48545.120000000003</v>
          </cell>
          <cell r="L914">
            <v>9695</v>
          </cell>
          <cell r="M914">
            <v>432282</v>
          </cell>
          <cell r="N914">
            <v>7362</v>
          </cell>
          <cell r="O914">
            <v>7290</v>
          </cell>
          <cell r="P914">
            <v>0</v>
          </cell>
          <cell r="Q914">
            <v>0</v>
          </cell>
          <cell r="R914">
            <v>145852.93975000002</v>
          </cell>
          <cell r="S914">
            <v>9.7053068552189306</v>
          </cell>
          <cell r="T914">
            <v>0.50817000000000001</v>
          </cell>
          <cell r="U914">
            <v>3.4079575927305102E-3</v>
          </cell>
          <cell r="V914">
            <v>3.3000000000000002E-2</v>
          </cell>
          <cell r="W914">
            <v>0.28667000000000004</v>
          </cell>
          <cell r="X914">
            <v>0</v>
          </cell>
          <cell r="Y914">
            <v>10.69</v>
          </cell>
          <cell r="Z914">
            <v>0</v>
          </cell>
          <cell r="AA914">
            <v>0</v>
          </cell>
          <cell r="AB914">
            <v>0</v>
          </cell>
          <cell r="AC914">
            <v>0.20614644892919945</v>
          </cell>
          <cell r="AD914">
            <v>7.4926305476189795E-2</v>
          </cell>
          <cell r="AE914">
            <v>0</v>
          </cell>
          <cell r="AF914">
            <v>12.739312524246277</v>
          </cell>
          <cell r="AG914">
            <v>5.7243714565246195</v>
          </cell>
          <cell r="AH914">
            <v>202509</v>
          </cell>
          <cell r="AJ914" t="str">
            <v xml:space="preserve">A1-A3:Prod'n deferred due to reduced nomination of CNUOC.
GPOC:Prod'n deferred due to downhole problems.
</v>
          </cell>
        </row>
        <row r="915">
          <cell r="C915">
            <v>45923</v>
          </cell>
          <cell r="D915">
            <v>340335</v>
          </cell>
          <cell r="E915">
            <v>31138</v>
          </cell>
          <cell r="F915">
            <v>22795.829999999998</v>
          </cell>
          <cell r="G915">
            <v>5135</v>
          </cell>
          <cell r="H915">
            <v>2371</v>
          </cell>
          <cell r="I915">
            <v>133786</v>
          </cell>
          <cell r="J915">
            <v>165140</v>
          </cell>
          <cell r="K915">
            <v>46645.78</v>
          </cell>
          <cell r="L915">
            <v>11960</v>
          </cell>
          <cell r="M915">
            <v>443821</v>
          </cell>
          <cell r="N915">
            <v>7365</v>
          </cell>
          <cell r="O915">
            <v>7048</v>
          </cell>
          <cell r="P915">
            <v>0</v>
          </cell>
          <cell r="Q915">
            <v>0</v>
          </cell>
          <cell r="R915">
            <v>144880.22475000002</v>
          </cell>
          <cell r="S915">
            <v>11.485585322825901</v>
          </cell>
          <cell r="T915">
            <v>0.50337900000000002</v>
          </cell>
          <cell r="U915">
            <v>3.4079575927305102E-3</v>
          </cell>
          <cell r="V915">
            <v>3.3000000000000002E-2</v>
          </cell>
          <cell r="W915">
            <v>0.27973000000000003</v>
          </cell>
          <cell r="X915">
            <v>0</v>
          </cell>
          <cell r="Y915">
            <v>10.62</v>
          </cell>
          <cell r="Z915">
            <v>0</v>
          </cell>
          <cell r="AA915">
            <v>0</v>
          </cell>
          <cell r="AB915">
            <v>0</v>
          </cell>
          <cell r="AC915">
            <v>0.19198803897527092</v>
          </cell>
          <cell r="AD915">
            <v>7.5379374594715512E-2</v>
          </cell>
          <cell r="AE915">
            <v>0</v>
          </cell>
          <cell r="AF915">
            <v>12.739284207426369</v>
          </cell>
          <cell r="AG915">
            <v>5.7486300203952183</v>
          </cell>
          <cell r="AH915">
            <v>202509</v>
          </cell>
          <cell r="AJ915" t="str">
            <v>A1-A3:Prod'n deferred due to reduced nomination of CNUOC.
GPOC:Prod'n deferred due to downhole problems.
Vankor:Prod'n deferred due to tie-in of high-pressure water lines and replacement of shut-off valves as part of Pre-FWKF-2 commissioning preparations.</v>
          </cell>
        </row>
        <row r="916">
          <cell r="C916">
            <v>45924</v>
          </cell>
          <cell r="D916">
            <v>334667</v>
          </cell>
          <cell r="E916">
            <v>31447</v>
          </cell>
          <cell r="F916">
            <v>22958.03</v>
          </cell>
          <cell r="G916">
            <v>5204</v>
          </cell>
          <cell r="H916">
            <v>2298</v>
          </cell>
          <cell r="I916">
            <v>133786</v>
          </cell>
          <cell r="J916">
            <v>158863</v>
          </cell>
          <cell r="K916">
            <v>47235.39</v>
          </cell>
          <cell r="L916">
            <v>12582</v>
          </cell>
          <cell r="M916">
            <v>442909</v>
          </cell>
          <cell r="N916">
            <v>6514</v>
          </cell>
          <cell r="O916">
            <v>6403</v>
          </cell>
          <cell r="P916">
            <v>0</v>
          </cell>
          <cell r="Q916">
            <v>0</v>
          </cell>
          <cell r="R916">
            <v>143150.25575000004</v>
          </cell>
          <cell r="S916">
            <v>15.858268652997193</v>
          </cell>
          <cell r="T916">
            <v>0.50450700000000004</v>
          </cell>
          <cell r="U916">
            <v>3.4079575927305102E-3</v>
          </cell>
          <cell r="V916">
            <v>3.3000000000000002E-2</v>
          </cell>
          <cell r="W916">
            <v>0.27356000000000003</v>
          </cell>
          <cell r="X916">
            <v>0</v>
          </cell>
          <cell r="Y916">
            <v>10.48</v>
          </cell>
          <cell r="Z916">
            <v>0</v>
          </cell>
          <cell r="AA916">
            <v>0</v>
          </cell>
          <cell r="AB916">
            <v>0</v>
          </cell>
          <cell r="AC916">
            <v>0.15772468688676386</v>
          </cell>
          <cell r="AD916">
            <v>7.0707099309919086E-2</v>
          </cell>
          <cell r="AE916">
            <v>0</v>
          </cell>
          <cell r="AF916">
            <v>12.73925589060646</v>
          </cell>
          <cell r="AG916">
            <v>5.8286228750996898</v>
          </cell>
          <cell r="AH916">
            <v>202509</v>
          </cell>
          <cell r="AJ916" t="str">
            <v>A1-A3:Prod'n deferred due to reduced nomination of CNUOC.
GPOC:Prod'n deferred due to downhole problems.
Vankor:Prod'n deferred due to tie-in of high-pressure water lines and replacement of shut-off valves as part of Pre-FWKF-2 commissioning preparations.</v>
          </cell>
        </row>
        <row r="917">
          <cell r="C917">
            <v>45925</v>
          </cell>
          <cell r="D917">
            <v>324008</v>
          </cell>
          <cell r="E917">
            <v>31440</v>
          </cell>
          <cell r="F917">
            <v>23314.23</v>
          </cell>
          <cell r="G917">
            <v>5187</v>
          </cell>
          <cell r="H917">
            <v>2361</v>
          </cell>
          <cell r="I917">
            <v>133786</v>
          </cell>
          <cell r="J917">
            <v>165088</v>
          </cell>
          <cell r="K917">
            <v>47667.73</v>
          </cell>
          <cell r="L917">
            <v>13399</v>
          </cell>
          <cell r="M917">
            <v>425103</v>
          </cell>
          <cell r="N917">
            <v>7021</v>
          </cell>
          <cell r="O917">
            <v>4818</v>
          </cell>
          <cell r="P917">
            <v>0</v>
          </cell>
          <cell r="Q917">
            <v>0</v>
          </cell>
          <cell r="R917">
            <v>143773.64624999999</v>
          </cell>
          <cell r="S917">
            <v>14.372768280631009</v>
          </cell>
          <cell r="T917">
            <v>0.50327599999999995</v>
          </cell>
          <cell r="U917">
            <v>3.4079575927305102E-3</v>
          </cell>
          <cell r="V917">
            <v>3.1E-2</v>
          </cell>
          <cell r="W917">
            <v>0.26238</v>
          </cell>
          <cell r="X917">
            <v>0</v>
          </cell>
          <cell r="Y917">
            <v>10.49</v>
          </cell>
          <cell r="Z917">
            <v>0</v>
          </cell>
          <cell r="AA917">
            <v>0</v>
          </cell>
          <cell r="AB917">
            <v>0</v>
          </cell>
          <cell r="AC917">
            <v>0.18943952518356377</v>
          </cell>
          <cell r="AD917">
            <v>7.4529869997479806E-2</v>
          </cell>
          <cell r="AE917">
            <v>0</v>
          </cell>
          <cell r="AF917">
            <v>12.75485845837569</v>
          </cell>
          <cell r="AG917">
            <v>5.7829297962164201</v>
          </cell>
          <cell r="AH917">
            <v>202509</v>
          </cell>
          <cell r="AJ917" t="str">
            <v>A1-A3:Prod'n deferred due to reduced nomination of CNUOC.
GPOC:Prod'n deferred due to downhole problems.
Sakhalin-1:New prod'n data received from the operator.
Vankor:Prod'n deferred due to tie-in of high-pressure water lines and replacement of shut-off valves as part of Pre-FWKF-2 commissioning preparations.</v>
          </cell>
        </row>
        <row r="918">
          <cell r="C918">
            <v>45926</v>
          </cell>
          <cell r="D918">
            <v>335974</v>
          </cell>
          <cell r="E918">
            <v>31352</v>
          </cell>
          <cell r="F918">
            <v>23244.93</v>
          </cell>
          <cell r="G918">
            <v>5222</v>
          </cell>
          <cell r="H918">
            <v>2351</v>
          </cell>
          <cell r="I918">
            <v>133786</v>
          </cell>
          <cell r="J918">
            <v>166063</v>
          </cell>
          <cell r="K918">
            <v>46661.81</v>
          </cell>
          <cell r="L918">
            <v>11372</v>
          </cell>
          <cell r="M918">
            <v>413400</v>
          </cell>
          <cell r="N918">
            <v>6805</v>
          </cell>
          <cell r="O918">
            <v>4529</v>
          </cell>
          <cell r="P918">
            <v>0</v>
          </cell>
          <cell r="Q918">
            <v>0</v>
          </cell>
          <cell r="R918">
            <v>142964.408</v>
          </cell>
          <cell r="S918">
            <v>13.654653727767757</v>
          </cell>
          <cell r="T918">
            <v>0.50485199999999997</v>
          </cell>
          <cell r="U918">
            <v>3.4079575927305102E-3</v>
          </cell>
          <cell r="V918">
            <v>3.2000000000000001E-2</v>
          </cell>
          <cell r="W918">
            <v>0.27150999999999997</v>
          </cell>
          <cell r="X918">
            <v>1.18</v>
          </cell>
          <cell r="Y918">
            <v>10.41</v>
          </cell>
          <cell r="Z918">
            <v>0</v>
          </cell>
          <cell r="AA918">
            <v>0</v>
          </cell>
          <cell r="AB918">
            <v>0</v>
          </cell>
          <cell r="AC918">
            <v>0.18320982480383521</v>
          </cell>
          <cell r="AD918">
            <v>7.3057395362271238E-2</v>
          </cell>
          <cell r="AE918">
            <v>0</v>
          </cell>
          <cell r="AF918">
            <v>12.748657074815869</v>
          </cell>
          <cell r="AG918">
            <v>5.9848519734441474</v>
          </cell>
          <cell r="AH918">
            <v>202509</v>
          </cell>
          <cell r="AJ918" t="str">
            <v>A1-A3:Prod'n deferred due to reduced nomination of CNUOC.
GPOC:Prod'n deferred due to downhole problems.
Vankor:Prod'n deferred due to tie-in of high-pressure water lines and replacement of shut-off valves as part of Pre-FWKF-2 commissioning preparations.</v>
          </cell>
        </row>
        <row r="919">
          <cell r="C919">
            <v>45927</v>
          </cell>
          <cell r="D919">
            <v>342119</v>
          </cell>
          <cell r="E919">
            <v>30774</v>
          </cell>
          <cell r="F919">
            <v>23317.62</v>
          </cell>
          <cell r="G919">
            <v>5263</v>
          </cell>
          <cell r="H919">
            <v>2442</v>
          </cell>
          <cell r="I919">
            <v>133786</v>
          </cell>
          <cell r="J919">
            <v>166385</v>
          </cell>
          <cell r="K919">
            <v>47814.879999999997</v>
          </cell>
          <cell r="L919">
            <v>12095</v>
          </cell>
          <cell r="M919">
            <v>433853</v>
          </cell>
          <cell r="N919">
            <v>6825</v>
          </cell>
          <cell r="O919">
            <v>4746</v>
          </cell>
          <cell r="P919">
            <v>0</v>
          </cell>
          <cell r="Q919">
            <v>0</v>
          </cell>
          <cell r="R919">
            <v>144604.00349999999</v>
          </cell>
          <cell r="S919">
            <v>12.927760960733067</v>
          </cell>
          <cell r="T919">
            <v>0.50336700000000001</v>
          </cell>
          <cell r="U919">
            <v>3.4079575927305102E-3</v>
          </cell>
          <cell r="V919">
            <v>3.2000000000000001E-2</v>
          </cell>
          <cell r="W919">
            <v>0.28254000000000001</v>
          </cell>
          <cell r="X919">
            <v>1.18</v>
          </cell>
          <cell r="Y919">
            <v>10.54</v>
          </cell>
          <cell r="Z919">
            <v>0</v>
          </cell>
          <cell r="AA919">
            <v>0</v>
          </cell>
          <cell r="AB919">
            <v>0</v>
          </cell>
          <cell r="AC919">
            <v>0.19113853437803519</v>
          </cell>
          <cell r="AD919">
            <v>6.7790466859409815E-2</v>
          </cell>
          <cell r="AE919">
            <v>0</v>
          </cell>
          <cell r="AF919">
            <v>12.749478262593199</v>
          </cell>
          <cell r="AG919">
            <v>6.0069243985825445</v>
          </cell>
          <cell r="AH919">
            <v>202509</v>
          </cell>
          <cell r="AJ919" t="str">
            <v>A1-A3:Prod'n deferred due to reduced nomination of CNUOC.
GPOC:Prod'n deferred due to downhole problems.
Vankor:Prod'n deferred due to tie-in of high-pressure water lines and replacement of shut-off valves as part of Pre-FWKF-2 commissioning preparations.</v>
          </cell>
        </row>
        <row r="920">
          <cell r="C920">
            <v>45928</v>
          </cell>
          <cell r="D920">
            <v>330185</v>
          </cell>
          <cell r="E920">
            <v>30855</v>
          </cell>
          <cell r="F920">
            <v>23274</v>
          </cell>
          <cell r="G920">
            <v>5317</v>
          </cell>
          <cell r="H920">
            <v>2472</v>
          </cell>
          <cell r="I920">
            <v>133786</v>
          </cell>
          <cell r="J920">
            <v>148084</v>
          </cell>
          <cell r="K920">
            <v>43840.45</v>
          </cell>
          <cell r="L920">
            <v>12630</v>
          </cell>
          <cell r="M920">
            <v>448917</v>
          </cell>
          <cell r="N920">
            <v>6830</v>
          </cell>
          <cell r="O920">
            <v>4756</v>
          </cell>
          <cell r="P920">
            <v>0</v>
          </cell>
          <cell r="Q920">
            <v>0</v>
          </cell>
          <cell r="R920">
            <v>139287.58124999999</v>
          </cell>
          <cell r="S920">
            <v>12.6035333727881</v>
          </cell>
          <cell r="T920">
            <v>0.50393600000000005</v>
          </cell>
          <cell r="U920">
            <v>3.4079575927305102E-3</v>
          </cell>
          <cell r="V920">
            <v>3.3000000000000002E-2</v>
          </cell>
          <cell r="W920">
            <v>0.28104000000000001</v>
          </cell>
          <cell r="X920">
            <v>1.18</v>
          </cell>
          <cell r="Y920">
            <v>10.039999999999999</v>
          </cell>
          <cell r="Z920">
            <v>0</v>
          </cell>
          <cell r="AA920">
            <v>0</v>
          </cell>
          <cell r="AB920">
            <v>0</v>
          </cell>
          <cell r="AC920">
            <v>0.20699595352643516</v>
          </cell>
          <cell r="AD920">
            <v>7.0707099309919086E-2</v>
          </cell>
          <cell r="AE920">
            <v>0</v>
          </cell>
          <cell r="AF920">
            <v>12.74811905523762</v>
          </cell>
          <cell r="AG920">
            <v>5.8692742754712341</v>
          </cell>
          <cell r="AH920">
            <v>202509</v>
          </cell>
          <cell r="AJ920" t="str">
            <v>A1-A3:Prod'n deferred due to reduced nomination of CNUOC.
GPOC:Prod'n deferred due to downhole problems.
Vankor:Prod'n deferred due to tie-in of high-pressure water lines and replacement of shut-off valves as part of Pre-FWKF-2 commissioning preparations.</v>
          </cell>
        </row>
        <row r="921">
          <cell r="C921">
            <v>45929</v>
          </cell>
          <cell r="D921">
            <v>318836</v>
          </cell>
          <cell r="E921">
            <v>30390</v>
          </cell>
          <cell r="F921">
            <v>22752.720000000001</v>
          </cell>
          <cell r="G921">
            <v>5223</v>
          </cell>
          <cell r="H921">
            <v>2427</v>
          </cell>
          <cell r="I921">
            <v>112680</v>
          </cell>
          <cell r="J921">
            <v>151831</v>
          </cell>
          <cell r="K921">
            <v>47299.1</v>
          </cell>
          <cell r="L921">
            <v>11534</v>
          </cell>
          <cell r="M921">
            <v>461159</v>
          </cell>
          <cell r="N921">
            <v>7067</v>
          </cell>
          <cell r="O921">
            <v>4828</v>
          </cell>
          <cell r="P921">
            <v>0</v>
          </cell>
          <cell r="Q921">
            <v>0</v>
          </cell>
          <cell r="R921">
            <v>136270.99950000001</v>
          </cell>
          <cell r="S921">
            <v>14.657352320704975</v>
          </cell>
          <cell r="T921">
            <v>0.50164699999999995</v>
          </cell>
          <cell r="U921">
            <v>3.4079575927305102E-3</v>
          </cell>
          <cell r="V921">
            <v>3.3000000000000002E-2</v>
          </cell>
          <cell r="W921">
            <v>0.27588000000000001</v>
          </cell>
          <cell r="X921">
            <v>1.18</v>
          </cell>
          <cell r="Y921">
            <v>10.32</v>
          </cell>
          <cell r="Z921">
            <v>0</v>
          </cell>
          <cell r="AA921">
            <v>0</v>
          </cell>
          <cell r="AB921">
            <v>0</v>
          </cell>
          <cell r="AC921">
            <v>0.20416427153564945</v>
          </cell>
          <cell r="AD921">
            <v>6.756393230014697E-2</v>
          </cell>
          <cell r="AE921">
            <v>0</v>
          </cell>
          <cell r="AF921">
            <v>12.748713708455684</v>
          </cell>
          <cell r="AG921">
            <v>5.9949027889219781</v>
          </cell>
          <cell r="AH921">
            <v>202509</v>
          </cell>
          <cell r="AJ921" t="str">
            <v>A1-A3:Prod'n deferred due to reduced nomination of CNUOC.
GPOC:Prod'n deferred due to downhole problems.
Vankor:Prod'n deferred due to tie-in of high-pressure water lines and replacement of shut-off valves as part of Pre-FWKF-2 commissioning preparations.</v>
          </cell>
        </row>
        <row r="922">
          <cell r="C922">
            <v>45930</v>
          </cell>
          <cell r="D922">
            <v>326908</v>
          </cell>
          <cell r="E922">
            <v>30711</v>
          </cell>
          <cell r="F922">
            <v>23173.35</v>
          </cell>
          <cell r="G922">
            <v>5117</v>
          </cell>
          <cell r="H922">
            <v>2421</v>
          </cell>
          <cell r="I922">
            <v>112680</v>
          </cell>
          <cell r="J922">
            <v>167583</v>
          </cell>
          <cell r="K922">
            <v>48454.57</v>
          </cell>
          <cell r="L922">
            <v>12125</v>
          </cell>
          <cell r="M922">
            <v>468218</v>
          </cell>
          <cell r="N922">
            <v>7030</v>
          </cell>
          <cell r="O922">
            <v>4679</v>
          </cell>
          <cell r="P922">
            <v>0</v>
          </cell>
          <cell r="Q922">
            <v>0</v>
          </cell>
          <cell r="R922">
            <v>141574.87275000001</v>
          </cell>
          <cell r="S922">
            <v>14.813661166596349</v>
          </cell>
          <cell r="T922">
            <v>0.50315600000000005</v>
          </cell>
          <cell r="U922">
            <v>3.4079575927305102E-3</v>
          </cell>
          <cell r="V922">
            <v>3.2000000000000001E-2</v>
          </cell>
          <cell r="W922">
            <v>0.28047000000000005</v>
          </cell>
          <cell r="X922">
            <v>1.18</v>
          </cell>
          <cell r="Y922">
            <v>10.52</v>
          </cell>
          <cell r="Z922">
            <v>0</v>
          </cell>
          <cell r="AA922">
            <v>0</v>
          </cell>
          <cell r="AB922">
            <v>0</v>
          </cell>
          <cell r="AC922">
            <v>0.20642961712827801</v>
          </cell>
          <cell r="AD922">
            <v>7.7418185628081213E-2</v>
          </cell>
          <cell r="AE922">
            <v>0</v>
          </cell>
          <cell r="AF922">
            <v>12.715384811424137</v>
          </cell>
          <cell r="AG922">
            <v>6.0544972295153006</v>
          </cell>
          <cell r="AH922">
            <v>202509</v>
          </cell>
          <cell r="AJ922" t="str">
            <v>A1-A3:Prod'n deferred due to reduced nomination of CNUOC.
Sakhalin-1:Prod'n deferred due to Gas Turbine Generator repair at Chayvo and interval flow testing in OP-17 at Odoptu.
GPOC:Prod'n deferred due to downhole problems.
IEC:Oil production from new well 204 has started from 19.09.2025.
Vankor:Prod'n deferred due to fault in pipeline led to shutdown of 29 wells.</v>
          </cell>
        </row>
        <row r="923">
          <cell r="C923">
            <v>45931</v>
          </cell>
          <cell r="D923">
            <v>323077</v>
          </cell>
          <cell r="E923">
            <v>30987</v>
          </cell>
          <cell r="F923">
            <v>22847.62</v>
          </cell>
          <cell r="G923">
            <v>4270</v>
          </cell>
          <cell r="H923">
            <v>2376</v>
          </cell>
          <cell r="I923">
            <v>112680</v>
          </cell>
          <cell r="J923">
            <v>166729</v>
          </cell>
          <cell r="K923">
            <v>49144.34</v>
          </cell>
          <cell r="L923">
            <v>13088</v>
          </cell>
          <cell r="M923">
            <v>439287</v>
          </cell>
          <cell r="N923">
            <v>7029</v>
          </cell>
          <cell r="O923">
            <v>4562</v>
          </cell>
          <cell r="P923">
            <v>0</v>
          </cell>
          <cell r="Q923">
            <v>0</v>
          </cell>
          <cell r="R923">
            <v>139819.40124999997</v>
          </cell>
          <cell r="S923">
            <v>14.545217713869864</v>
          </cell>
          <cell r="T923">
            <v>0.50531599999999999</v>
          </cell>
          <cell r="U923">
            <v>3.4079575927305102E-3</v>
          </cell>
          <cell r="V923">
            <v>3.2000000000000001E-2</v>
          </cell>
          <cell r="W923">
            <v>0.28091000000000005</v>
          </cell>
          <cell r="X923">
            <v>1.18</v>
          </cell>
          <cell r="Y923">
            <v>10.54</v>
          </cell>
          <cell r="Z923">
            <v>0</v>
          </cell>
          <cell r="AA923">
            <v>0</v>
          </cell>
          <cell r="AB923">
            <v>0</v>
          </cell>
          <cell r="AC923">
            <v>0.20642961712827801</v>
          </cell>
          <cell r="AD923">
            <v>0.10771718292948827</v>
          </cell>
          <cell r="AE923">
            <v>0</v>
          </cell>
          <cell r="AF923">
            <v>12.749449945773289</v>
          </cell>
          <cell r="AG923">
            <v>6.0707791302829701</v>
          </cell>
          <cell r="AH923">
            <v>202510</v>
          </cell>
          <cell r="AJ923" t="str">
            <v>A1-A3:Prod'n deferred due to reduced nomination of CNUOC.
Sakhalin-1:Prod'n deferred due to Gas Turbine Generator repair at Chayvo and interval flow testing in OP-17 at Odoptu.
GPOC:Prod'n deferred due to downhole problems.
Vankor:Prod'n deferred due to fault in pipeline led to shutdown of 29 wells.</v>
          </cell>
        </row>
        <row r="924">
          <cell r="C924">
            <v>45932</v>
          </cell>
          <cell r="D924">
            <v>359561</v>
          </cell>
          <cell r="E924">
            <v>30931</v>
          </cell>
          <cell r="F924">
            <v>23172.39</v>
          </cell>
          <cell r="G924">
            <v>5319</v>
          </cell>
          <cell r="H924">
            <v>2337</v>
          </cell>
          <cell r="I924">
            <v>112680</v>
          </cell>
          <cell r="J924">
            <v>162993</v>
          </cell>
          <cell r="K924">
            <v>48981.69</v>
          </cell>
          <cell r="L924">
            <v>12780</v>
          </cell>
          <cell r="M924">
            <v>433949</v>
          </cell>
          <cell r="N924">
            <v>7057</v>
          </cell>
          <cell r="O924">
            <v>4737</v>
          </cell>
          <cell r="P924">
            <v>0</v>
          </cell>
          <cell r="Q924">
            <v>0</v>
          </cell>
          <cell r="R924">
            <v>140357.50974999997</v>
          </cell>
          <cell r="S924">
            <v>10.298261064089459</v>
          </cell>
          <cell r="T924">
            <v>0.50729000000000002</v>
          </cell>
          <cell r="U924">
            <v>3.4079575927305102E-3</v>
          </cell>
          <cell r="V924">
            <v>3.3000000000000002E-2</v>
          </cell>
          <cell r="W924">
            <v>0.28041000000000005</v>
          </cell>
          <cell r="X924">
            <v>1.18</v>
          </cell>
          <cell r="Y924">
            <v>10.41</v>
          </cell>
          <cell r="Z924">
            <v>0</v>
          </cell>
          <cell r="AA924">
            <v>0</v>
          </cell>
          <cell r="AB924">
            <v>0</v>
          </cell>
          <cell r="AC924">
            <v>0.19481972096605663</v>
          </cell>
          <cell r="AD924">
            <v>7.4699770916926936E-2</v>
          </cell>
          <cell r="AE924">
            <v>0</v>
          </cell>
          <cell r="AF924">
            <v>12.749534896233012</v>
          </cell>
          <cell r="AG924">
            <v>5.8988190164721779</v>
          </cell>
          <cell r="AH924">
            <v>202510</v>
          </cell>
          <cell r="AJ924" t="str">
            <v>A1-A3:Prod'n deferred due to reduced nomination of CNUOC.
Sakhalin-1:Prod'n deferred due to Gas Turbine Generator repair at Chayvo and interval flow testing in OP-17 at Odoptu.
GPOC:Prod'n deferred due to downhole problems.
IEC:Oil production from new well 204 has started from 19.09.2025.
Vankor:Prod'n deferred due to fault in pipeline led to shutdown of 29 wells.</v>
          </cell>
        </row>
        <row r="925">
          <cell r="C925">
            <v>45933</v>
          </cell>
          <cell r="D925">
            <v>330002</v>
          </cell>
          <cell r="E925">
            <v>30937</v>
          </cell>
          <cell r="F925">
            <v>23178.43</v>
          </cell>
          <cell r="G925">
            <v>5383</v>
          </cell>
          <cell r="H925">
            <v>2317</v>
          </cell>
          <cell r="I925">
            <v>112680</v>
          </cell>
          <cell r="J925">
            <v>164106</v>
          </cell>
          <cell r="K925">
            <v>47220.15</v>
          </cell>
          <cell r="L925">
            <v>12153</v>
          </cell>
          <cell r="M925">
            <v>432190</v>
          </cell>
          <cell r="N925">
            <v>7007</v>
          </cell>
          <cell r="O925">
            <v>4377</v>
          </cell>
          <cell r="P925">
            <v>0</v>
          </cell>
          <cell r="Q925">
            <v>0</v>
          </cell>
          <cell r="R925">
            <v>138988.62824999998</v>
          </cell>
          <cell r="S925">
            <v>10.046524535108608</v>
          </cell>
          <cell r="T925">
            <v>0.49792799999999998</v>
          </cell>
          <cell r="U925">
            <v>3.4079575927305102E-3</v>
          </cell>
          <cell r="V925">
            <v>3.3000000000000002E-2</v>
          </cell>
          <cell r="W925">
            <v>0.27858999999999995</v>
          </cell>
          <cell r="X925">
            <v>1.18</v>
          </cell>
          <cell r="Y925">
            <v>10.45</v>
          </cell>
          <cell r="Z925">
            <v>0</v>
          </cell>
          <cell r="AA925">
            <v>0</v>
          </cell>
          <cell r="AB925">
            <v>0</v>
          </cell>
          <cell r="AC925">
            <v>0.20529694433196374</v>
          </cell>
          <cell r="AD925">
            <v>0.12247024610148181</v>
          </cell>
          <cell r="AE925">
            <v>0</v>
          </cell>
          <cell r="AF925">
            <v>12.756359249830806</v>
          </cell>
          <cell r="AG925">
            <v>5.9189288077551838</v>
          </cell>
          <cell r="AH925">
            <v>202510</v>
          </cell>
          <cell r="AJ925" t="str">
            <v>A1-A3:Prod'n deferred due to reduced nomination of CNUOC.
Sakhalin-1:Prod'n deferred due to Gas Turbine Generator repair at Chayvo and interval flow testing in OP-17 at Odoptu.
GPOC:Prod'n deferred due to downhole problems.
IEC:Oil production from new well 204 has started from 19.09.2025.
Vankor:Prod'n deferred due to fault in pipeline led to shutdown of 29 wells.</v>
          </cell>
        </row>
        <row r="926">
          <cell r="C926">
            <v>45934</v>
          </cell>
          <cell r="D926">
            <v>336944</v>
          </cell>
          <cell r="E926">
            <v>31000</v>
          </cell>
          <cell r="F926">
            <v>23122.71</v>
          </cell>
          <cell r="G926">
            <v>5073</v>
          </cell>
          <cell r="H926">
            <v>2452</v>
          </cell>
          <cell r="I926">
            <v>112680</v>
          </cell>
          <cell r="J926">
            <v>164172</v>
          </cell>
          <cell r="K926">
            <v>45331.64</v>
          </cell>
          <cell r="L926">
            <v>12744</v>
          </cell>
          <cell r="M926">
            <v>435762</v>
          </cell>
          <cell r="N926">
            <v>7027</v>
          </cell>
          <cell r="O926">
            <v>4723</v>
          </cell>
          <cell r="P926">
            <v>0</v>
          </cell>
          <cell r="Q926">
            <v>0</v>
          </cell>
          <cell r="R926">
            <v>139120.77900000001</v>
          </cell>
          <cell r="S926">
            <v>10.99513800202182</v>
          </cell>
          <cell r="T926">
            <v>0.48560500000000001</v>
          </cell>
          <cell r="U926">
            <v>3.4079575927305102E-3</v>
          </cell>
          <cell r="V926">
            <v>3.3000000000000002E-2</v>
          </cell>
          <cell r="W926">
            <v>0.27748</v>
          </cell>
          <cell r="X926">
            <v>1.18</v>
          </cell>
          <cell r="Y926">
            <v>10.48</v>
          </cell>
          <cell r="Z926">
            <v>0</v>
          </cell>
          <cell r="AA926">
            <v>0</v>
          </cell>
          <cell r="AB926">
            <v>0</v>
          </cell>
          <cell r="AC926">
            <v>0.20642961712827801</v>
          </cell>
          <cell r="AD926">
            <v>0.10035480975344545</v>
          </cell>
          <cell r="AE926">
            <v>0</v>
          </cell>
          <cell r="AF926">
            <v>12.747496085199646</v>
          </cell>
          <cell r="AG926">
            <v>5.9398102231434784</v>
          </cell>
          <cell r="AH926">
            <v>202510</v>
          </cell>
          <cell r="AJ926" t="str">
            <v>A1-A3:Prod'n deferred due to reduced nomination of CNUOC.
Sakhalin-1:Prod'n deferred due to Gas Turbine Generator repair at Chayvo and interval flow testing in OP-17 at Odoptu.
GPOC:Prod'n deferred due to downhole problems.
IEC:Oil production from new well 204 has started from 19.09.2025.
Vankor:Prod'n deferred due to fault in pipeline led to shutdown of 29 wells.</v>
          </cell>
        </row>
        <row r="927">
          <cell r="C927">
            <v>45935</v>
          </cell>
          <cell r="D927">
            <v>340622</v>
          </cell>
          <cell r="E927">
            <v>30836</v>
          </cell>
          <cell r="F927">
            <v>23131.68</v>
          </cell>
          <cell r="G927">
            <v>5190</v>
          </cell>
          <cell r="H927">
            <v>2359</v>
          </cell>
          <cell r="I927">
            <v>112680</v>
          </cell>
          <cell r="J927">
            <v>164936</v>
          </cell>
          <cell r="K927">
            <v>49339.73</v>
          </cell>
          <cell r="L927">
            <v>13007</v>
          </cell>
          <cell r="M927">
            <v>438992</v>
          </cell>
          <cell r="N927">
            <v>6984</v>
          </cell>
          <cell r="O927">
            <v>4771</v>
          </cell>
          <cell r="P927">
            <v>0</v>
          </cell>
          <cell r="Q927">
            <v>0</v>
          </cell>
          <cell r="R927">
            <v>140563.64074999999</v>
          </cell>
          <cell r="S927">
            <v>10.172251215499495</v>
          </cell>
          <cell r="T927">
            <v>0.486373</v>
          </cell>
          <cell r="U927">
            <v>3.4079575927305102E-3</v>
          </cell>
          <cell r="V927">
            <v>3.3000000000000002E-2</v>
          </cell>
          <cell r="W927">
            <v>0.27632999999999996</v>
          </cell>
          <cell r="X927">
            <v>1.18</v>
          </cell>
          <cell r="Y927">
            <v>10.39</v>
          </cell>
          <cell r="Z927">
            <v>0</v>
          </cell>
          <cell r="AA927">
            <v>0</v>
          </cell>
          <cell r="AB927">
            <v>0</v>
          </cell>
          <cell r="AC927">
            <v>0.20331476693841372</v>
          </cell>
          <cell r="AD927">
            <v>6.3033241114889824E-2</v>
          </cell>
          <cell r="AE927">
            <v>0</v>
          </cell>
          <cell r="AF927">
            <v>12.739652326085171</v>
          </cell>
          <cell r="AG927">
            <v>5.8747934446119316</v>
          </cell>
          <cell r="AH927">
            <v>202510</v>
          </cell>
          <cell r="AJ927" t="str">
            <v>A1-A3:Prod'n deferred due to reduced nomination of CNUOC.
Sakhalin-1:Prod'n deferred due to Gas Turbine Generator repair at Chayvo and interval flow testing in OP-17 at Odoptu.
GPOC:Prod'n deferred due to downhole problems.
IEC:Oil production from new well 204 has started from 19.09.2025.
Vankor:Prod'n deferred due to fault in pipeline led to shutdown of 29 wells.</v>
          </cell>
        </row>
        <row r="928">
          <cell r="C928">
            <v>45936</v>
          </cell>
          <cell r="D928">
            <v>332480</v>
          </cell>
          <cell r="E928">
            <v>30780</v>
          </cell>
          <cell r="F928">
            <v>23117.439999999999</v>
          </cell>
          <cell r="G928">
            <v>5206</v>
          </cell>
          <cell r="H928">
            <v>2435</v>
          </cell>
          <cell r="I928">
            <v>150724</v>
          </cell>
          <cell r="J928">
            <v>163448</v>
          </cell>
          <cell r="K928">
            <v>49980.27</v>
          </cell>
          <cell r="L928">
            <v>12893</v>
          </cell>
          <cell r="M928">
            <v>424801</v>
          </cell>
          <cell r="N928">
            <v>7015</v>
          </cell>
          <cell r="O928">
            <v>4631</v>
          </cell>
          <cell r="P928">
            <v>0</v>
          </cell>
          <cell r="Q928">
            <v>0</v>
          </cell>
          <cell r="R928">
            <v>147118.72175</v>
          </cell>
          <cell r="S928">
            <v>9.6979444820428888</v>
          </cell>
          <cell r="T928">
            <v>0.48480499999999999</v>
          </cell>
          <cell r="U928">
            <v>3.4079575927305102E-3</v>
          </cell>
          <cell r="V928">
            <v>3.3000000000000002E-2</v>
          </cell>
          <cell r="W928">
            <v>0.26632</v>
          </cell>
          <cell r="X928">
            <v>1.18</v>
          </cell>
          <cell r="Y928">
            <v>10.4</v>
          </cell>
          <cell r="Z928">
            <v>0</v>
          </cell>
          <cell r="AA928">
            <v>0</v>
          </cell>
          <cell r="AB928">
            <v>0</v>
          </cell>
          <cell r="AC928">
            <v>0.19481972096605663</v>
          </cell>
          <cell r="AD928">
            <v>6.5610071726504834E-2</v>
          </cell>
          <cell r="AE928">
            <v>0</v>
          </cell>
          <cell r="AF928">
            <v>12.738576286928671</v>
          </cell>
          <cell r="AG928">
            <v>5.8529999631894079</v>
          </cell>
          <cell r="AH928">
            <v>202510</v>
          </cell>
          <cell r="AJ928" t="str">
            <v>A1-A3:Prod'n deferred due to reduced nomination of CNUOC.
Sakhalin-1:Prod'n deferred due to Gas Turbine Generator repair at Chayvo and interval flow testing in OP-17 at Odoptu.
GPOC:Prod'n deferred due to downhole problems.
IEC:Oil production from new well 204 has started from 19.09.2025.
Vankor:Prod'n deferred due to fault in pipeline led to shutdown of 29 wells.</v>
          </cell>
        </row>
        <row r="929">
          <cell r="C929">
            <v>45937</v>
          </cell>
          <cell r="D929">
            <v>354453</v>
          </cell>
          <cell r="E929">
            <v>30937</v>
          </cell>
          <cell r="F929">
            <v>23109.989999999998</v>
          </cell>
          <cell r="G929">
            <v>5211</v>
          </cell>
          <cell r="H929">
            <v>2402</v>
          </cell>
          <cell r="I929">
            <v>150724</v>
          </cell>
          <cell r="J929">
            <v>163401</v>
          </cell>
          <cell r="K929">
            <v>50186.47</v>
          </cell>
          <cell r="L929">
            <v>13030</v>
          </cell>
          <cell r="M929">
            <v>426910</v>
          </cell>
          <cell r="N929">
            <v>7099</v>
          </cell>
          <cell r="O929">
            <v>4628</v>
          </cell>
          <cell r="P929">
            <v>0</v>
          </cell>
          <cell r="Q929">
            <v>0</v>
          </cell>
          <cell r="R929">
            <v>147932.88825000005</v>
          </cell>
          <cell r="S929">
            <v>9.2768733700130515</v>
          </cell>
          <cell r="T929">
            <v>0.48617199999999999</v>
          </cell>
          <cell r="U929">
            <v>3.4079575927305102E-3</v>
          </cell>
          <cell r="V929">
            <v>3.2000000000000001E-2</v>
          </cell>
          <cell r="W929">
            <v>0.25901999999999997</v>
          </cell>
          <cell r="X929">
            <v>1.18</v>
          </cell>
          <cell r="Y929">
            <v>10.44</v>
          </cell>
          <cell r="Z929">
            <v>0</v>
          </cell>
          <cell r="AA929">
            <v>0</v>
          </cell>
          <cell r="AB929">
            <v>0</v>
          </cell>
          <cell r="AC929">
            <v>0.19510288916513518</v>
          </cell>
          <cell r="AD929">
            <v>7.7163334248910503E-2</v>
          </cell>
          <cell r="AE929">
            <v>0</v>
          </cell>
          <cell r="AF929">
            <v>12.739907177464341</v>
          </cell>
          <cell r="AG929">
            <v>5.8485314280644598</v>
          </cell>
          <cell r="AH929">
            <v>202510</v>
          </cell>
          <cell r="AJ929" t="str">
            <v>A1-A3:Prod'n deferred due to reduced nomination of CNUOC.
Sakhalin-1:Prod'n deferred due to Gas Turbine Generator repair at Chayvo and interval flow testing in OP-17 at Odoptu.
GPOC:Prod'n deferred due to downhole problems.
IEC:Oil production from new well 204 has started from 19.09.2025.
Vankor:Prod'n deferred due to fault in pipeline led to shutdown of 29 wells.</v>
          </cell>
        </row>
        <row r="930">
          <cell r="C930">
            <v>45938</v>
          </cell>
          <cell r="D930">
            <v>331831</v>
          </cell>
          <cell r="E930">
            <v>30610</v>
          </cell>
          <cell r="F930">
            <v>23111.88</v>
          </cell>
          <cell r="G930">
            <v>5187</v>
          </cell>
          <cell r="H930">
            <v>2464</v>
          </cell>
          <cell r="I930">
            <v>150724</v>
          </cell>
          <cell r="J930">
            <v>163094</v>
          </cell>
          <cell r="K930">
            <v>46480.98</v>
          </cell>
          <cell r="L930">
            <v>13501</v>
          </cell>
          <cell r="M930">
            <v>416449</v>
          </cell>
          <cell r="N930">
            <v>7097</v>
          </cell>
          <cell r="O930">
            <v>4636</v>
          </cell>
          <cell r="P930">
            <v>0</v>
          </cell>
          <cell r="Q930">
            <v>0</v>
          </cell>
          <cell r="R930">
            <v>145926.20400000003</v>
          </cell>
          <cell r="S930">
            <v>10.544334229088733</v>
          </cell>
          <cell r="T930">
            <v>0.48355700000000001</v>
          </cell>
          <cell r="U930">
            <v>3.4079575927305102E-3</v>
          </cell>
          <cell r="V930">
            <v>3.3000000000000002E-2</v>
          </cell>
          <cell r="W930">
            <v>0.27617999999999998</v>
          </cell>
          <cell r="X930">
            <v>1.18</v>
          </cell>
          <cell r="Y930">
            <v>10.35</v>
          </cell>
          <cell r="Z930">
            <v>0</v>
          </cell>
          <cell r="AA930">
            <v>0</v>
          </cell>
          <cell r="AB930">
            <v>0</v>
          </cell>
          <cell r="AC930">
            <v>0.19708506655868518</v>
          </cell>
          <cell r="AD930">
            <v>7.3057395362271238E-2</v>
          </cell>
          <cell r="AE930">
            <v>0</v>
          </cell>
          <cell r="AF930">
            <v>12.739935494284248</v>
          </cell>
          <cell r="AG930">
            <v>5.8777390860104433</v>
          </cell>
          <cell r="AH930">
            <v>202510</v>
          </cell>
          <cell r="AJ930" t="str">
            <v xml:space="preserve">A1-A3:Prod'n deferred due to reduced nomination of CNUOC.
Sakhalin-1:Prod'n deferred due to Gas Turbine Generator repair at Chayvo and interval flow testing in OP-17 at Odoptu.
GPOC:Prod'n deferred due to downhole problems.
IEC:Oil production from new well 204 has started from 19.09.2025.
Vankor:Prod'n deferred due to fault in pipeline led to shutdown of 29 wells._x000D_
</v>
          </cell>
        </row>
        <row r="931">
          <cell r="C931">
            <v>45939</v>
          </cell>
          <cell r="D931">
            <v>325624</v>
          </cell>
          <cell r="E931">
            <v>31258</v>
          </cell>
          <cell r="F931">
            <v>23102.75</v>
          </cell>
          <cell r="G931">
            <v>5127</v>
          </cell>
          <cell r="H931">
            <v>2512</v>
          </cell>
          <cell r="I931">
            <v>150724</v>
          </cell>
          <cell r="J931">
            <v>162796</v>
          </cell>
          <cell r="K931">
            <v>49997.26</v>
          </cell>
          <cell r="L931">
            <v>13182</v>
          </cell>
          <cell r="M931">
            <v>402875</v>
          </cell>
          <cell r="N931">
            <v>6511</v>
          </cell>
          <cell r="O931">
            <v>4705</v>
          </cell>
          <cell r="P931">
            <v>0</v>
          </cell>
          <cell r="Q931">
            <v>0</v>
          </cell>
          <cell r="R931">
            <v>146076.0295</v>
          </cell>
          <cell r="S931">
            <v>10.605781728288784</v>
          </cell>
          <cell r="T931">
            <v>0.48482900000000001</v>
          </cell>
          <cell r="U931">
            <v>3.4079575927305102E-3</v>
          </cell>
          <cell r="V931">
            <v>3.3000000000000002E-2</v>
          </cell>
          <cell r="W931">
            <v>0.27961000000000003</v>
          </cell>
          <cell r="X931">
            <v>1.18</v>
          </cell>
          <cell r="Y931">
            <v>10.32</v>
          </cell>
          <cell r="Z931">
            <v>0</v>
          </cell>
          <cell r="AA931">
            <v>0</v>
          </cell>
          <cell r="AB931">
            <v>0</v>
          </cell>
          <cell r="AC931">
            <v>0.18575833859554233</v>
          </cell>
          <cell r="AD931">
            <v>7.0990267508997673E-2</v>
          </cell>
          <cell r="AE931">
            <v>0</v>
          </cell>
          <cell r="AF931">
            <v>12.746420046043148</v>
          </cell>
          <cell r="AG931">
            <v>5.8745394479438033</v>
          </cell>
          <cell r="AH931">
            <v>202510</v>
          </cell>
          <cell r="AJ931" t="str">
            <v xml:space="preserve">A1-A3:Prod'n deferred due to reduced nomination of CNUOC.
Sakhalin-1:Prod'n deferred due to Gas Turbine Generator repair at Chayvo and interval flow testing in OP-17 at Odoptu.
GPOC:Prod'n deferred due to downhole problems.
IEC:Oil production from new well 204 has started from 19.09.2025.
Vankor:Prod'n deferred due to fault in pipeline led to shutdown of 29 wells._x000D_
_x000D_
</v>
          </cell>
        </row>
        <row r="932">
          <cell r="C932">
            <v>45940</v>
          </cell>
          <cell r="D932">
            <v>337632</v>
          </cell>
          <cell r="E932">
            <v>31956</v>
          </cell>
          <cell r="F932">
            <v>23085.83</v>
          </cell>
          <cell r="G932">
            <v>5028</v>
          </cell>
          <cell r="H932">
            <v>2485</v>
          </cell>
          <cell r="I932">
            <v>150724</v>
          </cell>
          <cell r="J932">
            <v>162914</v>
          </cell>
          <cell r="K932">
            <v>51393.04</v>
          </cell>
          <cell r="L932">
            <v>11936</v>
          </cell>
          <cell r="M932">
            <v>419254</v>
          </cell>
          <cell r="N932">
            <v>6825</v>
          </cell>
          <cell r="O932">
            <v>4665</v>
          </cell>
          <cell r="P932">
            <v>0</v>
          </cell>
          <cell r="Q932">
            <v>0</v>
          </cell>
          <cell r="R932">
            <v>147280.10699999999</v>
          </cell>
          <cell r="S932">
            <v>10.286934336126315</v>
          </cell>
          <cell r="T932">
            <v>0.48306500000000002</v>
          </cell>
          <cell r="U932">
            <v>3.4079575927305102E-3</v>
          </cell>
          <cell r="V932">
            <v>3.3000000000000002E-2</v>
          </cell>
          <cell r="W932">
            <v>0.27220999999999995</v>
          </cell>
          <cell r="X932">
            <v>1.18</v>
          </cell>
          <cell r="Y932">
            <v>10.43</v>
          </cell>
          <cell r="Z932">
            <v>0</v>
          </cell>
          <cell r="AA932">
            <v>0</v>
          </cell>
          <cell r="AB932">
            <v>0</v>
          </cell>
          <cell r="AC932">
            <v>0.18604150679462095</v>
          </cell>
          <cell r="AD932">
            <v>8.5431845662004763E-2</v>
          </cell>
          <cell r="AE932">
            <v>0</v>
          </cell>
          <cell r="AF932">
            <v>12.740530147502314</v>
          </cell>
          <cell r="AG932">
            <v>5.8907433787342107</v>
          </cell>
          <cell r="AH932">
            <v>202510</v>
          </cell>
          <cell r="AJ932" t="str">
            <v xml:space="preserve">A1-A3:Prod'n deferred due to reduced nomination of CNUOC.
Sakhalin-1:New prod'n data received from the operator.
Sakhalin-1:Prod'n deferred due to Gas Turbine Generator repair at Chayvo and interval flow testing in OP-17 at Odoptu.
GPOC:Prod'n deferred due to downhole problems.
IEC:Oil production from new well 204 has started from 19.09.2025.
Vankor:Prod'n deferred due to fault in pipeline led to shutdown of 29 wells._x000D_
_x000D_
</v>
          </cell>
        </row>
        <row r="933">
          <cell r="C933">
            <v>45941</v>
          </cell>
          <cell r="D933">
            <v>363764</v>
          </cell>
          <cell r="E933">
            <v>30208</v>
          </cell>
          <cell r="F933">
            <v>23098.559999999998</v>
          </cell>
          <cell r="G933">
            <v>4915</v>
          </cell>
          <cell r="H933">
            <v>2441</v>
          </cell>
          <cell r="I933">
            <v>150724</v>
          </cell>
          <cell r="J933">
            <v>162550</v>
          </cell>
          <cell r="K933">
            <v>50251.99</v>
          </cell>
          <cell r="L933">
            <v>13812</v>
          </cell>
          <cell r="M933">
            <v>419254</v>
          </cell>
          <cell r="N933">
            <v>7027</v>
          </cell>
          <cell r="O933">
            <v>4775</v>
          </cell>
          <cell r="P933">
            <v>0</v>
          </cell>
          <cell r="Q933">
            <v>0</v>
          </cell>
          <cell r="R933">
            <v>147619.82149999999</v>
          </cell>
          <cell r="S933">
            <v>11.518716002118097</v>
          </cell>
          <cell r="T933">
            <v>0.48292000000000002</v>
          </cell>
          <cell r="U933">
            <v>3.4079575927305102E-3</v>
          </cell>
          <cell r="V933">
            <v>3.2000000000000001E-2</v>
          </cell>
          <cell r="W933">
            <v>0.27100000000000002</v>
          </cell>
          <cell r="X933">
            <v>1.18</v>
          </cell>
          <cell r="Y933">
            <v>10.48</v>
          </cell>
          <cell r="Z933">
            <v>0</v>
          </cell>
          <cell r="AA933">
            <v>0</v>
          </cell>
          <cell r="AB933">
            <v>0</v>
          </cell>
          <cell r="AC933">
            <v>0.19000586158172092</v>
          </cell>
          <cell r="AD933">
            <v>8.1580758154536206E-2</v>
          </cell>
          <cell r="AE933">
            <v>0</v>
          </cell>
          <cell r="AF933">
            <v>12.740784998881486</v>
          </cell>
          <cell r="AG933">
            <v>5.9369628112225223</v>
          </cell>
          <cell r="AH933">
            <v>202510</v>
          </cell>
          <cell r="AJ933" t="str">
            <v xml:space="preserve">A1-A3:Prod'n deferred due to reduced nomination of CNUOC.
Sakhalin-1:Prod'n deferred due to Gas Turbine Generator repair at Chayvo and interval flow testing in OP-17 at Odoptu.
GPOC:Prod'n deferred due to downhole problems.
IEC:Oil production from new well 204 has started from 19.09.2025.
Vankor:Prod'n deferred due to fault in pipeline led to shutdown of 29 wells._x000D_
_x000D_
</v>
          </cell>
        </row>
        <row r="934">
          <cell r="C934">
            <v>45942</v>
          </cell>
          <cell r="D934">
            <v>336421</v>
          </cell>
          <cell r="E934">
            <v>30893</v>
          </cell>
          <cell r="F934">
            <v>23072.43</v>
          </cell>
          <cell r="G934">
            <v>4859</v>
          </cell>
          <cell r="H934">
            <v>2497</v>
          </cell>
          <cell r="I934">
            <v>150724</v>
          </cell>
          <cell r="J934">
            <v>164534</v>
          </cell>
          <cell r="K934">
            <v>48873.66</v>
          </cell>
          <cell r="L934">
            <v>16236</v>
          </cell>
          <cell r="M934">
            <v>388565</v>
          </cell>
          <cell r="N934">
            <v>5723</v>
          </cell>
          <cell r="O934">
            <v>4645</v>
          </cell>
          <cell r="P934">
            <v>0</v>
          </cell>
          <cell r="Q934">
            <v>0</v>
          </cell>
          <cell r="R934">
            <v>146347.74525000001</v>
          </cell>
          <cell r="S934">
            <v>9.6534870747875541</v>
          </cell>
          <cell r="T934">
            <v>0.483431</v>
          </cell>
          <cell r="U934">
            <v>3.4079575927305102E-3</v>
          </cell>
          <cell r="V934">
            <v>3.2000000000000001E-2</v>
          </cell>
          <cell r="W934">
            <v>0.29100999999999999</v>
          </cell>
          <cell r="X934">
            <v>1.18</v>
          </cell>
          <cell r="Y934">
            <v>10.33</v>
          </cell>
          <cell r="Z934">
            <v>0</v>
          </cell>
          <cell r="AA934">
            <v>0</v>
          </cell>
          <cell r="AB934">
            <v>0</v>
          </cell>
          <cell r="AC934">
            <v>0.17301576963700668</v>
          </cell>
          <cell r="AD934">
            <v>7.9145511642460503E-2</v>
          </cell>
          <cell r="AE934">
            <v>0</v>
          </cell>
          <cell r="AF934">
            <v>12.734017278923506</v>
          </cell>
          <cell r="AG934">
            <v>5.8595593139864981</v>
          </cell>
          <cell r="AH934">
            <v>202510</v>
          </cell>
          <cell r="AJ934" t="str">
            <v>A1-A3:Prod'n deferred due to reduced nomination of CNUOC.
Sakhalin-1:Prod'n deferred due to Gas Turbine Generator repair at Chayvo and interval flow testing in OP-17 at Odoptu.
GPOC:Prod'n deferred due to downhole problems.
IEC:Oil production from new well 204 has started from 19.09.2025.
Vankor:Prod'n deferred due to fault in pipeline led to shutdown of 29 wells._x000D_</v>
          </cell>
        </row>
        <row r="935">
          <cell r="C935">
            <v>45943</v>
          </cell>
          <cell r="D935">
            <v>326097</v>
          </cell>
          <cell r="E935">
            <v>30541</v>
          </cell>
          <cell r="F935">
            <v>23098.09</v>
          </cell>
          <cell r="G935">
            <v>4815</v>
          </cell>
          <cell r="H935">
            <v>2568</v>
          </cell>
          <cell r="I935">
            <v>147333</v>
          </cell>
          <cell r="J935">
            <v>163665</v>
          </cell>
          <cell r="K935">
            <v>49497.13</v>
          </cell>
          <cell r="L935">
            <v>16093</v>
          </cell>
          <cell r="M935">
            <v>403425</v>
          </cell>
          <cell r="N935">
            <v>6687</v>
          </cell>
          <cell r="O935">
            <v>4730</v>
          </cell>
          <cell r="P935">
            <v>0</v>
          </cell>
          <cell r="Q935">
            <v>0</v>
          </cell>
          <cell r="R935">
            <v>145969.359</v>
          </cell>
          <cell r="S935">
            <v>9.4224218243394393</v>
          </cell>
          <cell r="T935">
            <v>0.48560999999999999</v>
          </cell>
          <cell r="U935">
            <v>3.4079575927305102E-3</v>
          </cell>
          <cell r="V935">
            <v>3.3000000000000002E-2</v>
          </cell>
          <cell r="W935">
            <v>0.29616000000000003</v>
          </cell>
          <cell r="X935">
            <v>1.18</v>
          </cell>
          <cell r="Y935">
            <v>10.54</v>
          </cell>
          <cell r="Z935">
            <v>0</v>
          </cell>
          <cell r="AA935">
            <v>0</v>
          </cell>
          <cell r="AB935">
            <v>0</v>
          </cell>
          <cell r="AC935">
            <v>0.18320982480383521</v>
          </cell>
          <cell r="AD935">
            <v>7.8918977083197644E-2</v>
          </cell>
          <cell r="AE935">
            <v>0</v>
          </cell>
          <cell r="AF935">
            <v>0.11295579461244183</v>
          </cell>
          <cell r="AG935">
            <v>3.7690892653226555</v>
          </cell>
          <cell r="AH935">
            <v>202510</v>
          </cell>
          <cell r="AJ935" t="str">
            <v xml:space="preserve">A1-A3:Prod'n deferred due to shutdown and maintenance.
Sakhalin-1:Prod'n deferred due to Gas Turbine Generator repair at Chayvo and interval flow testing in OP-17 at Odoptu.
GPOC:Prod'n deferred due to downhole problems.
Vankor:Prod'n deferred due to fault in pipeline led to shutdown of 29 wells.
</v>
          </cell>
        </row>
        <row r="936">
          <cell r="C936">
            <v>45944</v>
          </cell>
          <cell r="D936">
            <v>313048</v>
          </cell>
          <cell r="E936">
            <v>30648</v>
          </cell>
          <cell r="F936">
            <v>23076.99</v>
          </cell>
          <cell r="G936">
            <v>4831</v>
          </cell>
          <cell r="H936">
            <v>2547</v>
          </cell>
          <cell r="I936">
            <v>147333</v>
          </cell>
          <cell r="J936">
            <v>165574</v>
          </cell>
          <cell r="K936">
            <v>49937.79</v>
          </cell>
          <cell r="L936">
            <v>16339</v>
          </cell>
          <cell r="M936">
            <v>418064</v>
          </cell>
          <cell r="N936">
            <v>6804</v>
          </cell>
          <cell r="O936">
            <v>4518</v>
          </cell>
          <cell r="P936">
            <v>0</v>
          </cell>
          <cell r="Q936">
            <v>0</v>
          </cell>
          <cell r="R936">
            <v>146768.27825000003</v>
          </cell>
          <cell r="S936">
            <v>9.8092295842807626</v>
          </cell>
          <cell r="T936">
            <v>0.48062899999999997</v>
          </cell>
          <cell r="U936">
            <v>3.4079575927305102E-3</v>
          </cell>
          <cell r="V936">
            <v>3.2000000000000001E-2</v>
          </cell>
          <cell r="W936">
            <v>0.28997000000000001</v>
          </cell>
          <cell r="X936">
            <v>1.18</v>
          </cell>
          <cell r="Y936">
            <v>10.38</v>
          </cell>
          <cell r="Z936">
            <v>0</v>
          </cell>
          <cell r="AA936">
            <v>0</v>
          </cell>
          <cell r="AB936">
            <v>0</v>
          </cell>
          <cell r="AC936">
            <v>0.1795286382158138</v>
          </cell>
          <cell r="AD936">
            <v>7.3000761722455509E-2</v>
          </cell>
          <cell r="AE936">
            <v>0</v>
          </cell>
          <cell r="AF936">
            <v>0</v>
          </cell>
          <cell r="AG936">
            <v>3.7087938205478457</v>
          </cell>
          <cell r="AH936">
            <v>202510</v>
          </cell>
          <cell r="AJ936" t="str">
            <v xml:space="preserve">A1-A3:Prod'n deferred due to planned maintenance shutdown  (13th - 16th October 2025)
Sakhalin-1:Prod'n deferred due to Gas Turbine Generator repair at Chayvo and interval flow testing in OP-17 at Odoptu.
Vankor:Prod'n deferred due to fault in pipeline led to shutdown of 29 wells.
</v>
          </cell>
        </row>
        <row r="937">
          <cell r="C937">
            <v>45945</v>
          </cell>
          <cell r="D937">
            <v>349038</v>
          </cell>
          <cell r="E937">
            <v>30723</v>
          </cell>
          <cell r="F937">
            <v>23052.050000000003</v>
          </cell>
          <cell r="G937">
            <v>4931</v>
          </cell>
          <cell r="H937">
            <v>2542</v>
          </cell>
          <cell r="I937">
            <v>147333</v>
          </cell>
          <cell r="J937">
            <v>163223</v>
          </cell>
          <cell r="K937">
            <v>49909.02</v>
          </cell>
          <cell r="L937">
            <v>12276</v>
          </cell>
          <cell r="M937">
            <v>427864</v>
          </cell>
          <cell r="N937">
            <v>6885</v>
          </cell>
          <cell r="O937">
            <v>4632</v>
          </cell>
          <cell r="P937">
            <v>0</v>
          </cell>
          <cell r="Q937">
            <v>0</v>
          </cell>
          <cell r="R937">
            <v>146716.63650000002</v>
          </cell>
          <cell r="S937">
            <v>11.117749832222845</v>
          </cell>
          <cell r="T937">
            <v>0.48376400000000003</v>
          </cell>
          <cell r="U937">
            <v>3.4079575927305102E-3</v>
          </cell>
          <cell r="V937">
            <v>3.2000000000000001E-2</v>
          </cell>
          <cell r="W937">
            <v>0.28458</v>
          </cell>
          <cell r="X937">
            <v>1.18</v>
          </cell>
          <cell r="Y937">
            <v>10.44</v>
          </cell>
          <cell r="Z937">
            <v>0</v>
          </cell>
          <cell r="AA937">
            <v>0</v>
          </cell>
          <cell r="AB937">
            <v>0</v>
          </cell>
          <cell r="AC937">
            <v>0.18717417959093521</v>
          </cell>
          <cell r="AD937">
            <v>8.0929471296655495E-2</v>
          </cell>
          <cell r="AE937">
            <v>0</v>
          </cell>
          <cell r="AF937">
            <v>0.14175400045873249</v>
          </cell>
          <cell r="AG937">
            <v>3.786235161259079</v>
          </cell>
          <cell r="AH937">
            <v>202510</v>
          </cell>
          <cell r="AJ937" t="str">
            <v xml:space="preserve">Sakhalin-1:New prod'n data received from the operator.
A1-A3:Prod'n deferred due to planned maintenance shutdown  (13th - 16th October 2025)
Vankor:Prod'n deferred due to maintenance of electrical equipment.
</v>
          </cell>
        </row>
        <row r="938">
          <cell r="C938">
            <v>45946</v>
          </cell>
          <cell r="D938">
            <v>354583</v>
          </cell>
          <cell r="E938">
            <v>30855</v>
          </cell>
          <cell r="F938">
            <v>23015.54</v>
          </cell>
          <cell r="G938">
            <v>5015</v>
          </cell>
          <cell r="H938">
            <v>2530</v>
          </cell>
          <cell r="I938">
            <v>147333</v>
          </cell>
          <cell r="J938">
            <v>166581</v>
          </cell>
          <cell r="K938">
            <v>47159.35</v>
          </cell>
          <cell r="L938">
            <v>13290</v>
          </cell>
          <cell r="M938">
            <v>434995</v>
          </cell>
          <cell r="N938">
            <v>7022</v>
          </cell>
          <cell r="O938">
            <v>4440</v>
          </cell>
          <cell r="P938">
            <v>0</v>
          </cell>
          <cell r="Q938">
            <v>0</v>
          </cell>
          <cell r="R938">
            <v>147572.71075</v>
          </cell>
          <cell r="S938">
            <v>12.348965161816468</v>
          </cell>
          <cell r="T938">
            <v>0.48333399999999999</v>
          </cell>
          <cell r="U938">
            <v>3.4079575927305102E-3</v>
          </cell>
          <cell r="V938">
            <v>3.4000000000000002E-2</v>
          </cell>
          <cell r="W938">
            <v>0.28283999999999998</v>
          </cell>
          <cell r="X938">
            <v>1.18</v>
          </cell>
          <cell r="Y938">
            <v>10.45</v>
          </cell>
          <cell r="Z938">
            <v>0</v>
          </cell>
          <cell r="AA938">
            <v>0</v>
          </cell>
          <cell r="AB938">
            <v>0</v>
          </cell>
          <cell r="AC938">
            <v>0.18320982480383521</v>
          </cell>
          <cell r="AD938">
            <v>7.8550858424395506E-2</v>
          </cell>
          <cell r="AE938">
            <v>0</v>
          </cell>
          <cell r="AF938">
            <v>7.9039040399606968</v>
          </cell>
          <cell r="AG938">
            <v>5.1421700921895415</v>
          </cell>
          <cell r="AH938">
            <v>202510</v>
          </cell>
          <cell r="AJ938" t="str">
            <v xml:space="preserve">A1-A3:Prod'n deferred due to planned maintenance shutdown  (13th - 16th October 2025)
Vankor:Prod'n deferred due to maintenance of electrical equipment.
</v>
          </cell>
        </row>
        <row r="939">
          <cell r="C939">
            <v>45947</v>
          </cell>
          <cell r="D939">
            <v>312215</v>
          </cell>
          <cell r="E939">
            <v>30805</v>
          </cell>
          <cell r="F939">
            <v>22423.72</v>
          </cell>
          <cell r="G939">
            <v>5102</v>
          </cell>
          <cell r="H939">
            <v>2486</v>
          </cell>
          <cell r="I939">
            <v>147333</v>
          </cell>
          <cell r="J939">
            <v>167257</v>
          </cell>
          <cell r="K939">
            <v>44808.38</v>
          </cell>
          <cell r="L939">
            <v>14612</v>
          </cell>
          <cell r="M939">
            <v>440626</v>
          </cell>
          <cell r="N939">
            <v>7086</v>
          </cell>
          <cell r="O939">
            <v>4459</v>
          </cell>
          <cell r="P939">
            <v>0</v>
          </cell>
          <cell r="R939">
            <v>146052.00274999999</v>
          </cell>
          <cell r="S939">
            <v>11.521264515909802</v>
          </cell>
          <cell r="T939">
            <v>0.483794</v>
          </cell>
          <cell r="U939">
            <v>3.4079575927305102E-3</v>
          </cell>
          <cell r="V939">
            <v>3.3000000000000002E-2</v>
          </cell>
          <cell r="W939">
            <v>0.27447000000000005</v>
          </cell>
          <cell r="X939">
            <v>1.18</v>
          </cell>
          <cell r="Y939">
            <v>10.43</v>
          </cell>
          <cell r="Z939">
            <v>0</v>
          </cell>
          <cell r="AA939">
            <v>0</v>
          </cell>
          <cell r="AB939">
            <v>0</v>
          </cell>
          <cell r="AC939">
            <v>0.19198803897527092</v>
          </cell>
          <cell r="AD939">
            <v>9.1944714240811895E-2</v>
          </cell>
          <cell r="AE939">
            <v>0</v>
          </cell>
          <cell r="AF939">
            <v>12.634503091200001</v>
          </cell>
          <cell r="AG939">
            <v>5.9145390328928773</v>
          </cell>
          <cell r="AH939">
            <v>202510</v>
          </cell>
          <cell r="AJ939" t="str">
            <v xml:space="preserve">A1-A3:Prod'n deferred due to planned maintenance shutdown  (13th - 16th October 2025)
Vankor:Prod'n deferred due to maintenance of electrical equipment.
</v>
          </cell>
        </row>
        <row r="940">
          <cell r="C940">
            <v>45948</v>
          </cell>
          <cell r="D940">
            <v>338337</v>
          </cell>
          <cell r="E940">
            <v>30503</v>
          </cell>
          <cell r="F940">
            <v>22723.16</v>
          </cell>
          <cell r="G940">
            <v>5163</v>
          </cell>
          <cell r="H940">
            <v>2430</v>
          </cell>
          <cell r="I940">
            <v>147333</v>
          </cell>
          <cell r="J940">
            <v>168803</v>
          </cell>
          <cell r="K940">
            <v>48306.03</v>
          </cell>
          <cell r="L940">
            <v>12277</v>
          </cell>
          <cell r="M940">
            <v>419350</v>
          </cell>
          <cell r="N940">
            <v>6954</v>
          </cell>
          <cell r="O940">
            <v>4568</v>
          </cell>
          <cell r="P940">
            <v>0</v>
          </cell>
          <cell r="R940">
            <v>146809.73300000001</v>
          </cell>
          <cell r="S940">
            <v>11.967820765856708</v>
          </cell>
          <cell r="T940">
            <v>0.48314099999999999</v>
          </cell>
          <cell r="U940">
            <v>3.4079575927305102E-3</v>
          </cell>
          <cell r="V940">
            <v>3.3000000000000002E-2</v>
          </cell>
          <cell r="W940">
            <v>0.27583999999999997</v>
          </cell>
          <cell r="X940">
            <v>1.18</v>
          </cell>
          <cell r="Y940">
            <v>10.51</v>
          </cell>
          <cell r="Z940">
            <v>0</v>
          </cell>
          <cell r="AA940">
            <v>0</v>
          </cell>
          <cell r="AB940">
            <v>0</v>
          </cell>
          <cell r="AC940">
            <v>0.19623556196144945</v>
          </cell>
          <cell r="AD940">
            <v>9.4521544852426892E-2</v>
          </cell>
          <cell r="AE940">
            <v>0</v>
          </cell>
          <cell r="AF940">
            <v>14.4512240288</v>
          </cell>
          <cell r="AG940">
            <v>6.2599350123689508</v>
          </cell>
          <cell r="AH940">
            <v>202510</v>
          </cell>
          <cell r="AJ940" t="str">
            <v xml:space="preserve">A1-A3:Prod'n deferred due to planned maintenance shutdown  (13th - 16th October 2025)
Vankor:Prod'n deferred due to maintenance of electrical equipment.
</v>
          </cell>
        </row>
        <row r="941">
          <cell r="C941">
            <v>45949</v>
          </cell>
          <cell r="D941">
            <v>350531</v>
          </cell>
          <cell r="E941">
            <v>30987</v>
          </cell>
          <cell r="F941">
            <v>22929.039999999997</v>
          </cell>
          <cell r="G941">
            <v>5252</v>
          </cell>
          <cell r="H941">
            <v>2485</v>
          </cell>
          <cell r="I941">
            <v>147333</v>
          </cell>
          <cell r="J941">
            <v>169376</v>
          </cell>
          <cell r="K941">
            <v>48970.01</v>
          </cell>
          <cell r="L941">
            <v>12197</v>
          </cell>
          <cell r="M941">
            <v>431881</v>
          </cell>
          <cell r="N941">
            <v>7034</v>
          </cell>
          <cell r="O941">
            <v>4606</v>
          </cell>
          <cell r="P941">
            <v>0</v>
          </cell>
          <cell r="R941">
            <v>148361.61849999998</v>
          </cell>
          <cell r="S941">
            <v>12.472709664813802</v>
          </cell>
          <cell r="T941">
            <v>0.48477799999999999</v>
          </cell>
          <cell r="U941">
            <v>3.4079575927305102E-3</v>
          </cell>
          <cell r="V941">
            <v>3.5000000000000003E-2</v>
          </cell>
          <cell r="W941">
            <v>0.27033999999999997</v>
          </cell>
          <cell r="X941">
            <v>1.18</v>
          </cell>
          <cell r="Y941">
            <v>10.35</v>
          </cell>
          <cell r="Z941">
            <v>0</v>
          </cell>
          <cell r="AA941">
            <v>0</v>
          </cell>
          <cell r="AB941">
            <v>0</v>
          </cell>
          <cell r="AC941">
            <v>0.19935041215131374</v>
          </cell>
          <cell r="AD941">
            <v>8.3081549609652638E-2</v>
          </cell>
          <cell r="AE941">
            <v>0</v>
          </cell>
          <cell r="AF941">
            <v>14.3929197376</v>
          </cell>
          <cell r="AG941">
            <v>6.2148999085832211</v>
          </cell>
          <cell r="AH941">
            <v>202510</v>
          </cell>
          <cell r="AJ941" t="str">
            <v xml:space="preserve">A1-A3:Prod'n deferred due to planned maintenance shutdown  (13th - 16th October 2025)
Vankor:Prod'n deferred due to maintenance of electrical equipment.
_x000D_
</v>
          </cell>
        </row>
        <row r="942">
          <cell r="C942">
            <v>45950</v>
          </cell>
          <cell r="D942">
            <v>321609</v>
          </cell>
          <cell r="E942">
            <v>31491</v>
          </cell>
          <cell r="F942">
            <v>21890.26</v>
          </cell>
          <cell r="G942">
            <v>5357</v>
          </cell>
          <cell r="H942">
            <v>2446</v>
          </cell>
          <cell r="I942">
            <v>147681</v>
          </cell>
          <cell r="J942">
            <v>169882</v>
          </cell>
          <cell r="K942">
            <v>49447.25</v>
          </cell>
          <cell r="L942">
            <v>7367</v>
          </cell>
          <cell r="M942">
            <v>435202</v>
          </cell>
          <cell r="N942">
            <v>7150</v>
          </cell>
          <cell r="O942">
            <v>4571</v>
          </cell>
          <cell r="P942">
            <v>0</v>
          </cell>
          <cell r="Q942">
            <v>0</v>
          </cell>
          <cell r="R942">
            <v>146224.91650000002</v>
          </cell>
          <cell r="S942">
            <v>12.544351219180683</v>
          </cell>
          <cell r="T942">
            <v>0.48799999999999999</v>
          </cell>
          <cell r="U942">
            <v>3.4079575927305102E-3</v>
          </cell>
          <cell r="V942">
            <v>3.5000000000000003E-2</v>
          </cell>
          <cell r="W942">
            <v>0.26749000000000001</v>
          </cell>
          <cell r="X942">
            <v>1.18</v>
          </cell>
          <cell r="Y942">
            <v>10.42</v>
          </cell>
          <cell r="Z942">
            <v>0</v>
          </cell>
          <cell r="AB942">
            <v>0</v>
          </cell>
          <cell r="AC942">
            <v>0.20104942134578516</v>
          </cell>
          <cell r="AD942">
            <v>8.4242539225874769E-2</v>
          </cell>
          <cell r="AE942">
            <v>0</v>
          </cell>
          <cell r="AF942">
            <v>14.458511611312003</v>
          </cell>
          <cell r="AG942">
            <v>6.2450172694373727</v>
          </cell>
          <cell r="AH942">
            <v>202510</v>
          </cell>
          <cell r="AJ942" t="str">
            <v xml:space="preserve">Vankor:Prod'n deferred due to maintenance of electrical equipment.
SPOC:Prod'n deferred due to power tripped in TJ wells.
</v>
          </cell>
        </row>
        <row r="943">
          <cell r="C943">
            <v>45951</v>
          </cell>
          <cell r="D943">
            <v>378019</v>
          </cell>
          <cell r="E943">
            <v>31862</v>
          </cell>
          <cell r="F943">
            <v>20015.440000000002</v>
          </cell>
          <cell r="G943">
            <v>5404</v>
          </cell>
          <cell r="H943">
            <v>2515</v>
          </cell>
          <cell r="I943">
            <v>147681</v>
          </cell>
          <cell r="J943">
            <v>165777</v>
          </cell>
          <cell r="K943">
            <v>50581.72</v>
          </cell>
          <cell r="L943">
            <v>3351</v>
          </cell>
          <cell r="M943">
            <v>418634</v>
          </cell>
          <cell r="N943">
            <v>7091</v>
          </cell>
          <cell r="O943">
            <v>4408</v>
          </cell>
          <cell r="P943">
            <v>0</v>
          </cell>
          <cell r="Q943">
            <v>0</v>
          </cell>
          <cell r="R943">
            <v>144268.25250000003</v>
          </cell>
          <cell r="S943">
            <v>12.175383055781303</v>
          </cell>
          <cell r="T943">
            <v>0.49009999999999998</v>
          </cell>
          <cell r="U943">
            <v>3.4079575927305102E-3</v>
          </cell>
          <cell r="V943">
            <v>3.5000000000000003E-2</v>
          </cell>
          <cell r="W943">
            <v>0.27979999999999999</v>
          </cell>
          <cell r="X943">
            <v>1.18</v>
          </cell>
          <cell r="Y943">
            <v>10.220000000000001</v>
          </cell>
          <cell r="Z943">
            <v>0</v>
          </cell>
          <cell r="AA943">
            <v>0</v>
          </cell>
          <cell r="AB943">
            <v>0</v>
          </cell>
          <cell r="AC943">
            <v>0.20048308494762804</v>
          </cell>
          <cell r="AD943">
            <v>8.0306501258682633E-2</v>
          </cell>
          <cell r="AE943">
            <v>0</v>
          </cell>
          <cell r="AF943">
            <v>14.458766462691173</v>
          </cell>
          <cell r="AG943">
            <v>6.1935085632017266</v>
          </cell>
          <cell r="AH943">
            <v>202510</v>
          </cell>
          <cell r="AJ943" t="str">
            <v xml:space="preserve">CPO-5:Prod'n deferred due to well closed and ESP turned off from 23:35 for PBU test well opened 23:50 hrs ESP turned on.
SPOC:Prod'n deferred due to power tripped in TJ wells.
</v>
          </cell>
        </row>
        <row r="944">
          <cell r="C944">
            <v>45952</v>
          </cell>
          <cell r="D944">
            <v>345313</v>
          </cell>
          <cell r="E944">
            <v>31786</v>
          </cell>
          <cell r="F944">
            <v>6699.37</v>
          </cell>
          <cell r="G944">
            <v>5441</v>
          </cell>
          <cell r="H944">
            <v>2491</v>
          </cell>
          <cell r="I944">
            <v>147681</v>
          </cell>
          <cell r="J944">
            <v>164434</v>
          </cell>
          <cell r="K944">
            <v>52145.7</v>
          </cell>
          <cell r="L944">
            <v>13685</v>
          </cell>
          <cell r="M944">
            <v>431909</v>
          </cell>
          <cell r="N944">
            <v>7106</v>
          </cell>
          <cell r="O944">
            <v>4818</v>
          </cell>
          <cell r="P944">
            <v>0</v>
          </cell>
          <cell r="Q944">
            <v>0</v>
          </cell>
          <cell r="R944">
            <v>137195.87550000002</v>
          </cell>
          <cell r="S944">
            <v>12.135173171512148</v>
          </cell>
          <cell r="T944">
            <v>0.49162600000000001</v>
          </cell>
          <cell r="U944">
            <v>3.4079575927305102E-3</v>
          </cell>
          <cell r="V944">
            <v>3.5999999999999997E-2</v>
          </cell>
          <cell r="W944">
            <v>0.28950999999999999</v>
          </cell>
          <cell r="X944">
            <v>1.18</v>
          </cell>
          <cell r="Y944">
            <v>10.45</v>
          </cell>
          <cell r="Z944">
            <v>0</v>
          </cell>
          <cell r="AA944">
            <v>0</v>
          </cell>
          <cell r="AB944">
            <v>0</v>
          </cell>
          <cell r="AC944">
            <v>0.20982763551722086</v>
          </cell>
          <cell r="AD944">
            <v>6.6317992224201247E-2</v>
          </cell>
          <cell r="AE944">
            <v>0</v>
          </cell>
          <cell r="AF944">
            <v>14.460040719587026</v>
          </cell>
          <cell r="AG944">
            <v>6.2584035647080105</v>
          </cell>
          <cell r="AH944">
            <v>202510</v>
          </cell>
          <cell r="AJ944" t="str">
            <v>Sakhalin-1:New prod'n data received from the operator.
CPO-5:Prod'n deferred due to community blocked.</v>
          </cell>
        </row>
        <row r="945">
          <cell r="C945">
            <v>45953</v>
          </cell>
          <cell r="D945">
            <v>329631</v>
          </cell>
          <cell r="E945">
            <v>31780</v>
          </cell>
          <cell r="F945">
            <v>22960.57</v>
          </cell>
          <cell r="G945">
            <v>5465</v>
          </cell>
          <cell r="H945">
            <v>2563</v>
          </cell>
          <cell r="I945">
            <v>147681</v>
          </cell>
          <cell r="J945">
            <v>164495</v>
          </cell>
          <cell r="K945">
            <v>49752.44</v>
          </cell>
          <cell r="L945">
            <v>16149</v>
          </cell>
          <cell r="M945">
            <v>415845</v>
          </cell>
          <cell r="N945">
            <v>6797</v>
          </cell>
          <cell r="O945">
            <v>4636</v>
          </cell>
          <cell r="P945">
            <v>0</v>
          </cell>
          <cell r="Q945">
            <v>0</v>
          </cell>
          <cell r="R945">
            <v>147465.03200000001</v>
          </cell>
          <cell r="S945">
            <v>12.307905772950074</v>
          </cell>
          <cell r="T945">
            <v>0.49270399999999998</v>
          </cell>
          <cell r="U945">
            <v>3.4079575927305102E-3</v>
          </cell>
          <cell r="V945">
            <v>3.4000000000000002E-2</v>
          </cell>
          <cell r="W945">
            <v>0.29366000000000003</v>
          </cell>
          <cell r="X945">
            <v>1.18</v>
          </cell>
          <cell r="Y945">
            <v>10.41</v>
          </cell>
          <cell r="Z945">
            <v>0</v>
          </cell>
          <cell r="AA945">
            <v>0</v>
          </cell>
          <cell r="AB945">
            <v>0</v>
          </cell>
          <cell r="AC945">
            <v>0.2007662531467066</v>
          </cell>
          <cell r="AD945">
            <v>7.0707099309919086E-2</v>
          </cell>
          <cell r="AE945">
            <v>0</v>
          </cell>
          <cell r="AF945">
            <v>14.457548839435136</v>
          </cell>
          <cell r="AG945">
            <v>6.2568323244477799</v>
          </cell>
          <cell r="AH945">
            <v>202510</v>
          </cell>
          <cell r="AJ945" t="str">
            <v>CPO-5:Prod'n deferred due to community blocked.</v>
          </cell>
        </row>
        <row r="946">
          <cell r="C946">
            <v>45954</v>
          </cell>
          <cell r="D946">
            <v>344971</v>
          </cell>
          <cell r="E946">
            <v>31862</v>
          </cell>
          <cell r="F946">
            <v>22992.240000000002</v>
          </cell>
          <cell r="G946">
            <v>5423</v>
          </cell>
          <cell r="H946">
            <v>2519</v>
          </cell>
          <cell r="I946">
            <v>147681</v>
          </cell>
          <cell r="J946">
            <v>166237</v>
          </cell>
          <cell r="K946">
            <v>50873.08</v>
          </cell>
          <cell r="L946">
            <v>14846</v>
          </cell>
          <cell r="M946">
            <v>404135</v>
          </cell>
          <cell r="N946">
            <v>7096</v>
          </cell>
          <cell r="O946">
            <v>4523</v>
          </cell>
          <cell r="P946">
            <v>0</v>
          </cell>
          <cell r="Q946">
            <v>0</v>
          </cell>
          <cell r="R946">
            <v>147831.05725000001</v>
          </cell>
          <cell r="S946">
            <v>12.192373147726014</v>
          </cell>
          <cell r="T946">
            <v>0.49252899999999999</v>
          </cell>
          <cell r="U946">
            <v>3.4079575927305102E-3</v>
          </cell>
          <cell r="V946">
            <v>3.6999999999999998E-2</v>
          </cell>
          <cell r="W946">
            <v>0.28669</v>
          </cell>
          <cell r="X946">
            <v>1.18</v>
          </cell>
          <cell r="Y946">
            <v>10.37</v>
          </cell>
          <cell r="Z946">
            <v>0</v>
          </cell>
          <cell r="AA946">
            <v>0</v>
          </cell>
          <cell r="AB946">
            <v>0</v>
          </cell>
          <cell r="AC946">
            <v>0.22370287727207083</v>
          </cell>
          <cell r="AD946">
            <v>8.7470656695370477E-2</v>
          </cell>
          <cell r="AE946">
            <v>0</v>
          </cell>
          <cell r="AF946">
            <v>14.456444483458728</v>
          </cell>
          <cell r="AG946">
            <v>6.2465764562519572</v>
          </cell>
          <cell r="AH946">
            <v>202510</v>
          </cell>
          <cell r="AJ946" t="str">
            <v>CPO-5:Prod'n deferred due to community blocked.</v>
          </cell>
        </row>
        <row r="947">
          <cell r="C947">
            <v>45955</v>
          </cell>
          <cell r="D947">
            <v>332131</v>
          </cell>
          <cell r="E947">
            <v>32189</v>
          </cell>
          <cell r="F947">
            <v>23016.399999999998</v>
          </cell>
          <cell r="G947">
            <v>5464</v>
          </cell>
          <cell r="H947">
            <v>2512</v>
          </cell>
          <cell r="I947">
            <v>147681</v>
          </cell>
          <cell r="J947">
            <v>164931</v>
          </cell>
          <cell r="K947">
            <v>50939.19</v>
          </cell>
          <cell r="L947">
            <v>10220</v>
          </cell>
          <cell r="M947">
            <v>399289</v>
          </cell>
          <cell r="N947">
            <v>7073</v>
          </cell>
          <cell r="O947">
            <v>4637</v>
          </cell>
          <cell r="P947">
            <v>0</v>
          </cell>
          <cell r="Q947">
            <v>0</v>
          </cell>
          <cell r="R947">
            <v>145984.36424999998</v>
          </cell>
          <cell r="S947">
            <v>11.568270436956846</v>
          </cell>
          <cell r="T947">
            <v>0.49543799999999999</v>
          </cell>
          <cell r="U947">
            <v>3.4079575927305102E-3</v>
          </cell>
          <cell r="V947">
            <v>3.5999999999999997E-2</v>
          </cell>
          <cell r="W947">
            <v>0.28148000000000001</v>
          </cell>
          <cell r="X947">
            <v>1.18</v>
          </cell>
          <cell r="Y947">
            <v>10.3</v>
          </cell>
          <cell r="Z947">
            <v>0</v>
          </cell>
          <cell r="AA947">
            <v>0</v>
          </cell>
          <cell r="AB947">
            <v>0</v>
          </cell>
          <cell r="AC947">
            <v>0.22257020447575654</v>
          </cell>
          <cell r="AD947">
            <v>8.0306501258682633E-2</v>
          </cell>
          <cell r="AE947">
            <v>0</v>
          </cell>
          <cell r="AF947">
            <v>14.457775373994398</v>
          </cell>
          <cell r="AG947">
            <v>6.2024328771707538</v>
          </cell>
          <cell r="AH947">
            <v>202510</v>
          </cell>
          <cell r="AJ947" t="str">
            <v>CPO-5:Prod'n deferred due to community blocked.</v>
          </cell>
        </row>
        <row r="948">
          <cell r="C948">
            <v>45956</v>
          </cell>
          <cell r="D948">
            <v>336112</v>
          </cell>
          <cell r="E948">
            <v>32830</v>
          </cell>
          <cell r="F948">
            <v>22989.57</v>
          </cell>
          <cell r="G948">
            <v>5411</v>
          </cell>
          <cell r="H948">
            <v>2461</v>
          </cell>
          <cell r="I948">
            <v>147681</v>
          </cell>
          <cell r="J948">
            <v>164359</v>
          </cell>
          <cell r="K948">
            <v>51308.88</v>
          </cell>
          <cell r="L948">
            <v>11712</v>
          </cell>
          <cell r="M948">
            <v>411042</v>
          </cell>
          <cell r="N948">
            <v>7123</v>
          </cell>
          <cell r="O948">
            <v>4706</v>
          </cell>
          <cell r="P948">
            <v>0</v>
          </cell>
          <cell r="Q948">
            <v>0</v>
          </cell>
          <cell r="R948">
            <v>146984.465</v>
          </cell>
          <cell r="S948">
            <v>10.557926302644505</v>
          </cell>
          <cell r="T948">
            <v>0.49962699999999999</v>
          </cell>
          <cell r="U948">
            <v>3.4079575927305102E-3</v>
          </cell>
          <cell r="V948">
            <v>3.5999999999999997E-2</v>
          </cell>
          <cell r="W948">
            <v>0.2747</v>
          </cell>
          <cell r="X948">
            <v>1.18</v>
          </cell>
          <cell r="Y948">
            <v>10.27</v>
          </cell>
          <cell r="Z948">
            <v>0</v>
          </cell>
          <cell r="AA948">
            <v>0</v>
          </cell>
          <cell r="AB948">
            <v>0</v>
          </cell>
          <cell r="AC948">
            <v>0.21350882210524227</v>
          </cell>
          <cell r="AD948">
            <v>7.4501553177571941E-2</v>
          </cell>
          <cell r="AE948">
            <v>0</v>
          </cell>
          <cell r="AF948">
            <v>14.458794779511081</v>
          </cell>
          <cell r="AG948">
            <v>6.1562859088867521</v>
          </cell>
          <cell r="AH948">
            <v>202510</v>
          </cell>
          <cell r="AJ948" t="str">
            <v>CPO-5:Prod'n deferred due to community blocked.</v>
          </cell>
        </row>
        <row r="949">
          <cell r="C949">
            <v>45957</v>
          </cell>
          <cell r="D949">
            <v>343745</v>
          </cell>
          <cell r="E949">
            <v>33132</v>
          </cell>
          <cell r="F949">
            <v>22950.379999999997</v>
          </cell>
          <cell r="G949">
            <v>5290</v>
          </cell>
          <cell r="H949">
            <v>2424</v>
          </cell>
          <cell r="I949">
            <v>158521</v>
          </cell>
          <cell r="J949">
            <v>164751</v>
          </cell>
          <cell r="K949">
            <v>51246.71</v>
          </cell>
          <cell r="L949">
            <v>10531</v>
          </cell>
          <cell r="M949">
            <v>416996</v>
          </cell>
          <cell r="N949">
            <v>7131</v>
          </cell>
          <cell r="O949">
            <v>4735</v>
          </cell>
          <cell r="P949">
            <v>0</v>
          </cell>
          <cell r="Q949">
            <v>0</v>
          </cell>
          <cell r="R949">
            <v>149384.43849999999</v>
          </cell>
          <cell r="S949">
            <v>9.2182575528037951</v>
          </cell>
          <cell r="T949">
            <v>0.50263100000000005</v>
          </cell>
          <cell r="U949">
            <v>3.4079575927305102E-3</v>
          </cell>
          <cell r="V949">
            <v>3.4000000000000002E-2</v>
          </cell>
          <cell r="W949">
            <v>0.26935999999999999</v>
          </cell>
          <cell r="X949">
            <v>1.18</v>
          </cell>
          <cell r="Y949">
            <v>10.35</v>
          </cell>
          <cell r="Z949">
            <v>0</v>
          </cell>
          <cell r="AA949">
            <v>0</v>
          </cell>
          <cell r="AB949">
            <v>0</v>
          </cell>
          <cell r="AC949">
            <v>0.21973852248497083</v>
          </cell>
          <cell r="AD949">
            <v>8.3308084168915497E-2</v>
          </cell>
          <cell r="AE949">
            <v>0</v>
          </cell>
          <cell r="AF949">
            <v>14.460578739165276</v>
          </cell>
          <cell r="AG949">
            <v>6.1368828305334322</v>
          </cell>
          <cell r="AH949">
            <v>202510</v>
          </cell>
        </row>
        <row r="950">
          <cell r="C950">
            <v>45958</v>
          </cell>
          <cell r="D950">
            <v>322607</v>
          </cell>
          <cell r="E950">
            <v>33308</v>
          </cell>
          <cell r="F950">
            <v>22884.45</v>
          </cell>
          <cell r="G950">
            <v>5309</v>
          </cell>
          <cell r="H950">
            <v>2441</v>
          </cell>
          <cell r="I950">
            <v>158521</v>
          </cell>
          <cell r="J950">
            <v>166334</v>
          </cell>
          <cell r="K950">
            <v>50705.36</v>
          </cell>
          <cell r="L950">
            <v>15050</v>
          </cell>
          <cell r="M950">
            <v>433964</v>
          </cell>
          <cell r="N950">
            <v>7227</v>
          </cell>
          <cell r="O950">
            <v>4703</v>
          </cell>
          <cell r="P950">
            <v>0</v>
          </cell>
          <cell r="Q950">
            <v>0</v>
          </cell>
          <cell r="R950">
            <v>150836.95225</v>
          </cell>
          <cell r="S950">
            <v>8.6165251297618255</v>
          </cell>
          <cell r="T950">
            <v>0.50419800000000004</v>
          </cell>
          <cell r="U950">
            <v>3.4079575927305102E-3</v>
          </cell>
          <cell r="V950">
            <v>3.6999999999999998E-2</v>
          </cell>
          <cell r="W950">
            <v>0.27526999999999996</v>
          </cell>
          <cell r="X950">
            <v>1.18</v>
          </cell>
          <cell r="Y950">
            <v>10.34</v>
          </cell>
          <cell r="Z950">
            <v>0</v>
          </cell>
          <cell r="AA950">
            <v>0</v>
          </cell>
          <cell r="AB950">
            <v>0</v>
          </cell>
          <cell r="AC950">
            <v>0.21407515850339942</v>
          </cell>
          <cell r="AD950">
            <v>8.2911648690205494E-2</v>
          </cell>
          <cell r="AE950">
            <v>0</v>
          </cell>
          <cell r="AF950">
            <v>14.460465471885644</v>
          </cell>
          <cell r="AG950">
            <v>6.1237144474924605</v>
          </cell>
          <cell r="AH950">
            <v>202510</v>
          </cell>
        </row>
        <row r="951">
          <cell r="C951">
            <v>45959</v>
          </cell>
          <cell r="D951">
            <v>337422</v>
          </cell>
          <cell r="E951">
            <v>33698</v>
          </cell>
          <cell r="F951">
            <v>7712.8200000000006</v>
          </cell>
          <cell r="G951">
            <v>5193</v>
          </cell>
          <cell r="H951">
            <v>2403</v>
          </cell>
          <cell r="I951">
            <v>158521</v>
          </cell>
          <cell r="J951">
            <v>166262</v>
          </cell>
          <cell r="K951">
            <v>52310.09</v>
          </cell>
          <cell r="L951">
            <v>12245</v>
          </cell>
          <cell r="M951">
            <v>453705</v>
          </cell>
          <cell r="N951">
            <v>7229</v>
          </cell>
          <cell r="O951">
            <v>4640</v>
          </cell>
          <cell r="P951">
            <v>0</v>
          </cell>
          <cell r="Q951">
            <v>0</v>
          </cell>
          <cell r="R951">
            <v>141129.86624999999</v>
          </cell>
          <cell r="S951">
            <v>9.1913565738913299</v>
          </cell>
          <cell r="T951">
            <v>0.50510900000000003</v>
          </cell>
          <cell r="U951">
            <v>3.4079575927305102E-3</v>
          </cell>
          <cell r="V951">
            <v>3.6999999999999998E-2</v>
          </cell>
          <cell r="W951">
            <v>0.2918</v>
          </cell>
          <cell r="X951">
            <v>1.18</v>
          </cell>
          <cell r="Y951">
            <v>10.36</v>
          </cell>
          <cell r="Z951">
            <v>0</v>
          </cell>
          <cell r="AA951">
            <v>0</v>
          </cell>
          <cell r="AB951">
            <v>0</v>
          </cell>
          <cell r="AC951">
            <v>0.21407515850339942</v>
          </cell>
          <cell r="AD951">
            <v>8.0306501258682633E-2</v>
          </cell>
          <cell r="AE951">
            <v>0</v>
          </cell>
          <cell r="AF951">
            <v>14.31610632399539</v>
          </cell>
          <cell r="AG951">
            <v>6.1369211231192962</v>
          </cell>
          <cell r="AH951">
            <v>202510</v>
          </cell>
          <cell r="AJ951" t="str">
            <v>CPO-5:Prod'n deferred due to community blocked.</v>
          </cell>
        </row>
        <row r="952">
          <cell r="C952">
            <v>45960</v>
          </cell>
          <cell r="D952">
            <v>339622</v>
          </cell>
          <cell r="E952">
            <v>33314</v>
          </cell>
          <cell r="F952">
            <v>1466.4099999999999</v>
          </cell>
          <cell r="G952">
            <v>5215</v>
          </cell>
          <cell r="H952">
            <v>2428</v>
          </cell>
          <cell r="I952">
            <v>158521</v>
          </cell>
          <cell r="J952">
            <v>164018</v>
          </cell>
          <cell r="K952">
            <v>50649.9</v>
          </cell>
          <cell r="L952">
            <v>11270</v>
          </cell>
          <cell r="M952">
            <v>455754</v>
          </cell>
          <cell r="N952">
            <v>6808</v>
          </cell>
          <cell r="O952">
            <v>4780</v>
          </cell>
          <cell r="P952">
            <v>0</v>
          </cell>
          <cell r="Q952">
            <v>0</v>
          </cell>
          <cell r="R952">
            <v>135611.99299999999</v>
          </cell>
          <cell r="S952">
            <v>11.143234970139913</v>
          </cell>
          <cell r="T952">
            <v>0.50217400000000001</v>
          </cell>
          <cell r="U952">
            <v>3.4079575927305102E-3</v>
          </cell>
          <cell r="V952">
            <v>3.5999999999999997E-2</v>
          </cell>
          <cell r="W952">
            <v>0.28599000000000002</v>
          </cell>
          <cell r="X952">
            <v>1.18</v>
          </cell>
          <cell r="Y952">
            <v>10.44</v>
          </cell>
          <cell r="Z952">
            <v>0</v>
          </cell>
          <cell r="AA952">
            <v>0</v>
          </cell>
          <cell r="AB952">
            <v>0</v>
          </cell>
          <cell r="AC952">
            <v>0.20926129911906372</v>
          </cell>
          <cell r="AD952">
            <v>7.9655214400801935E-2</v>
          </cell>
          <cell r="AE952">
            <v>0</v>
          </cell>
          <cell r="AF952">
            <v>14.31621959127502</v>
          </cell>
          <cell r="AG952">
            <v>6.2069403323716745</v>
          </cell>
          <cell r="AH952">
            <v>202510</v>
          </cell>
          <cell r="AJ952" t="str">
            <v>CPO-5:Prod'n deferred due to community blocked.
Sakhalin-1:New prod'n data received from the operator.
Sakhalin-1:Flowback from newly drilled well OP-24 in South Well site of Odoptu field has started.</v>
          </cell>
        </row>
        <row r="953">
          <cell r="C953">
            <v>45961</v>
          </cell>
          <cell r="D953">
            <v>340390</v>
          </cell>
          <cell r="E953">
            <v>33157</v>
          </cell>
          <cell r="F953">
            <v>1359.86</v>
          </cell>
          <cell r="G953">
            <v>5152</v>
          </cell>
          <cell r="H953">
            <v>2407</v>
          </cell>
          <cell r="I953">
            <v>158521</v>
          </cell>
          <cell r="J953">
            <v>165677</v>
          </cell>
          <cell r="K953">
            <v>47965.86</v>
          </cell>
          <cell r="L953">
            <v>13575</v>
          </cell>
          <cell r="M953">
            <v>472821</v>
          </cell>
          <cell r="N953">
            <v>6044</v>
          </cell>
          <cell r="O953">
            <v>4608</v>
          </cell>
          <cell r="P953">
            <v>0</v>
          </cell>
          <cell r="Q953">
            <v>0</v>
          </cell>
          <cell r="R953">
            <v>136311.23325000002</v>
          </cell>
          <cell r="S953">
            <v>10.79692026266682</v>
          </cell>
          <cell r="T953">
            <v>0.496199</v>
          </cell>
          <cell r="U953">
            <v>3.4079575927305102E-3</v>
          </cell>
          <cell r="V953">
            <v>3.4000000000000002E-2</v>
          </cell>
          <cell r="W953">
            <v>0.28164999999999996</v>
          </cell>
          <cell r="X953">
            <v>1.18</v>
          </cell>
          <cell r="Y953">
            <v>10.47</v>
          </cell>
          <cell r="Z953">
            <v>0</v>
          </cell>
          <cell r="AA953">
            <v>0</v>
          </cell>
          <cell r="AB953">
            <v>0</v>
          </cell>
          <cell r="AC953">
            <v>0.22172069987852083</v>
          </cell>
          <cell r="AD953">
            <v>8.687600347730548E-2</v>
          </cell>
          <cell r="AE953">
            <v>0</v>
          </cell>
          <cell r="AF953">
            <v>14.312651671966631</v>
          </cell>
          <cell r="AG953">
            <v>6.2013096806098034</v>
          </cell>
          <cell r="AH953">
            <v>202510</v>
          </cell>
          <cell r="AJ953" t="str">
            <v>CPO-5:Prod'n deferred due to community blocked.
Sakhalin-1:New prod'n data received from the operator.
Sakhalin-1:Flowback from newly drilled well OP-24 in South Well site of Odoptu field has started.</v>
          </cell>
        </row>
        <row r="954">
          <cell r="C954">
            <v>45962</v>
          </cell>
          <cell r="D954">
            <v>381959</v>
          </cell>
          <cell r="E954">
            <v>33182</v>
          </cell>
          <cell r="F954">
            <v>1465.8600000000001</v>
          </cell>
          <cell r="G954">
            <v>4902</v>
          </cell>
          <cell r="H954">
            <v>2439</v>
          </cell>
          <cell r="I954">
            <v>158521</v>
          </cell>
          <cell r="J954">
            <v>164642</v>
          </cell>
          <cell r="K954">
            <v>50262.19</v>
          </cell>
          <cell r="L954">
            <v>12579</v>
          </cell>
          <cell r="M954">
            <v>419401</v>
          </cell>
          <cell r="N954">
            <v>5820</v>
          </cell>
          <cell r="O954">
            <v>4987</v>
          </cell>
          <cell r="P954">
            <v>0</v>
          </cell>
          <cell r="Q954">
            <v>0</v>
          </cell>
          <cell r="R954">
            <v>135569.93400000001</v>
          </cell>
          <cell r="S954">
            <v>11.506539769557723</v>
          </cell>
          <cell r="T954">
            <v>0.45944499999999999</v>
          </cell>
          <cell r="U954">
            <v>3.4079575927305102E-3</v>
          </cell>
          <cell r="V954">
            <v>3.3000000000000002E-2</v>
          </cell>
          <cell r="W954">
            <v>0.28027999999999997</v>
          </cell>
          <cell r="X954">
            <v>1.18</v>
          </cell>
          <cell r="Y954">
            <v>10.48</v>
          </cell>
          <cell r="Z954">
            <v>0</v>
          </cell>
          <cell r="AA954">
            <v>0</v>
          </cell>
          <cell r="AB954">
            <v>0</v>
          </cell>
          <cell r="AC954">
            <v>0.1834929930029138</v>
          </cell>
          <cell r="AD954">
            <v>8.6422934358779763E-2</v>
          </cell>
          <cell r="AE954">
            <v>0</v>
          </cell>
          <cell r="AF954">
            <v>14.458285076752739</v>
          </cell>
          <cell r="AG954">
            <v>6.2332438745962726</v>
          </cell>
          <cell r="AH954">
            <v>202511</v>
          </cell>
          <cell r="AJ954" t="str">
            <v>CPO-5:Prod'n down due to community blockade.
Sakhalin-1:New prod'n data received from the operator.
Sakhalin-1:Flowback from newly drilled well OP-24 in South Well site of Odoptu field has started.</v>
          </cell>
        </row>
        <row r="955">
          <cell r="C955">
            <v>45963</v>
          </cell>
          <cell r="D955">
            <v>367958</v>
          </cell>
          <cell r="E955">
            <v>31887</v>
          </cell>
          <cell r="F955">
            <v>1462.9199999999998</v>
          </cell>
          <cell r="G955">
            <v>4913</v>
          </cell>
          <cell r="H955">
            <v>2413</v>
          </cell>
          <cell r="I955">
            <v>158521</v>
          </cell>
          <cell r="J955">
            <v>164105</v>
          </cell>
          <cell r="K955">
            <v>50008.32</v>
          </cell>
          <cell r="L955">
            <v>13838</v>
          </cell>
          <cell r="M955">
            <v>433492</v>
          </cell>
          <cell r="N955">
            <v>7230</v>
          </cell>
          <cell r="O955">
            <v>4548</v>
          </cell>
          <cell r="P955">
            <v>0</v>
          </cell>
          <cell r="Q955">
            <v>0</v>
          </cell>
          <cell r="R955">
            <v>135431.98300000001</v>
          </cell>
          <cell r="S955">
            <v>12.390874055280094</v>
          </cell>
          <cell r="T955">
            <v>0.49695</v>
          </cell>
          <cell r="U955">
            <v>3.4079575927305102E-3</v>
          </cell>
          <cell r="V955">
            <v>3.4000000000000002E-2</v>
          </cell>
          <cell r="W955">
            <v>0.28044000000000002</v>
          </cell>
          <cell r="X955">
            <v>1.18</v>
          </cell>
          <cell r="Y955">
            <v>10.4</v>
          </cell>
          <cell r="Z955">
            <v>0</v>
          </cell>
          <cell r="AA955">
            <v>0</v>
          </cell>
          <cell r="AB955">
            <v>0</v>
          </cell>
          <cell r="AC955">
            <v>0.22257020447575654</v>
          </cell>
          <cell r="AD955">
            <v>9.103857600376046E-2</v>
          </cell>
          <cell r="AE955">
            <v>0</v>
          </cell>
          <cell r="AF955">
            <v>14.458171809473109</v>
          </cell>
          <cell r="AG955">
            <v>6.2552224969361205</v>
          </cell>
          <cell r="AH955">
            <v>202511</v>
          </cell>
          <cell r="AJ955" t="str">
            <v>CPO-5:Prod'n down due to community blockade.
Sakhalin-1:Flowback from newly drilled well OP-24 in South Well site of Odoptu field has started.</v>
          </cell>
        </row>
        <row r="956">
          <cell r="C956">
            <v>45964</v>
          </cell>
          <cell r="D956">
            <v>359065</v>
          </cell>
          <cell r="E956">
            <v>32447</v>
          </cell>
          <cell r="F956">
            <v>1446.53</v>
          </cell>
          <cell r="G956">
            <v>4880</v>
          </cell>
          <cell r="H956">
            <v>2418</v>
          </cell>
          <cell r="I956">
            <v>163000</v>
          </cell>
          <cell r="J956">
            <v>164712</v>
          </cell>
          <cell r="K956">
            <v>50653.39</v>
          </cell>
          <cell r="L956">
            <v>8029</v>
          </cell>
          <cell r="M956">
            <v>422875</v>
          </cell>
          <cell r="N956">
            <v>7351</v>
          </cell>
          <cell r="O956">
            <v>4749</v>
          </cell>
          <cell r="P956">
            <v>0</v>
          </cell>
          <cell r="Q956">
            <v>0</v>
          </cell>
          <cell r="R956">
            <v>134782.58599999998</v>
          </cell>
          <cell r="S956">
            <v>12.641761079663711</v>
          </cell>
          <cell r="T956">
            <v>0.50184099999999998</v>
          </cell>
          <cell r="U956">
            <v>3.4079575927305102E-3</v>
          </cell>
          <cell r="V956">
            <v>3.2000000000000001E-2</v>
          </cell>
          <cell r="W956">
            <v>0.28811000000000003</v>
          </cell>
          <cell r="X956">
            <v>1.18</v>
          </cell>
          <cell r="Y956">
            <v>10.43</v>
          </cell>
          <cell r="Z956">
            <v>0</v>
          </cell>
          <cell r="AA956">
            <v>0</v>
          </cell>
          <cell r="AB956">
            <v>0</v>
          </cell>
          <cell r="AC956">
            <v>0.22398604547114939</v>
          </cell>
          <cell r="AD956">
            <v>8.4752241984216201E-2</v>
          </cell>
          <cell r="AE956">
            <v>0</v>
          </cell>
          <cell r="AF956">
            <v>14.458539928131909</v>
          </cell>
          <cell r="AG956">
            <v>6.2760553014730132</v>
          </cell>
          <cell r="AH956">
            <v>202511</v>
          </cell>
          <cell r="AJ956" t="str">
            <v>CPO-5:Prod'n down due to community blockade.
Sakhalin-1:Flowback from newly drilled well OP-24 in South Well site of Odoptu field has started.
SPOC:Prod'n deferred due to Central Power Plant blackout.
BC-10:Shutdown planned from 10th October for turnaround campaign.</v>
          </cell>
        </row>
        <row r="957">
          <cell r="C957">
            <v>45965</v>
          </cell>
          <cell r="D957">
            <v>326232</v>
          </cell>
          <cell r="E957">
            <v>32824</v>
          </cell>
          <cell r="F957">
            <v>1449.4699999999998</v>
          </cell>
          <cell r="G957">
            <v>4800</v>
          </cell>
          <cell r="H957">
            <v>2480</v>
          </cell>
          <cell r="I957">
            <v>163000</v>
          </cell>
          <cell r="J957">
            <v>164876</v>
          </cell>
          <cell r="K957">
            <v>49508.92</v>
          </cell>
          <cell r="L957">
            <v>13990</v>
          </cell>
          <cell r="M957">
            <v>423523</v>
          </cell>
          <cell r="N957">
            <v>7333</v>
          </cell>
          <cell r="O957">
            <v>4671</v>
          </cell>
          <cell r="P957">
            <v>0</v>
          </cell>
          <cell r="Q957">
            <v>0</v>
          </cell>
          <cell r="R957">
            <v>135135.42249999999</v>
          </cell>
          <cell r="S957">
            <v>12.49819480273087</v>
          </cell>
          <cell r="T957">
            <v>0.49962600000000001</v>
          </cell>
          <cell r="U957">
            <v>3.4079575927305102E-3</v>
          </cell>
          <cell r="V957">
            <v>3.3000000000000002E-2</v>
          </cell>
          <cell r="W957">
            <v>0.28589999999999999</v>
          </cell>
          <cell r="X957">
            <v>1.18</v>
          </cell>
          <cell r="Y957">
            <v>10.44</v>
          </cell>
          <cell r="Z957">
            <v>0</v>
          </cell>
          <cell r="AA957">
            <v>0</v>
          </cell>
          <cell r="AB957">
            <v>0</v>
          </cell>
          <cell r="AC957">
            <v>0.22143753167944227</v>
          </cell>
          <cell r="AD957">
            <v>9.602233630754331E-2</v>
          </cell>
          <cell r="AE957">
            <v>0</v>
          </cell>
          <cell r="AF957">
            <v>14.457209037596241</v>
          </cell>
          <cell r="AG957">
            <v>6.2761493876939056</v>
          </cell>
          <cell r="AH957">
            <v>202511</v>
          </cell>
          <cell r="AJ957" t="str">
            <v>CPO-5:Prod'n down due to community blockade.
Sakhalin-1:Flowback from newly drilled well OP-24 in South Well site of Odoptu field has started.
BC-10:Shutdown planned from 10th November for turnaround campaign.</v>
          </cell>
        </row>
        <row r="958">
          <cell r="C958">
            <v>45966</v>
          </cell>
          <cell r="D958">
            <v>305328</v>
          </cell>
          <cell r="E958">
            <v>32836</v>
          </cell>
          <cell r="F958">
            <v>1444.6</v>
          </cell>
          <cell r="G958">
            <v>4988</v>
          </cell>
          <cell r="H958">
            <v>2425</v>
          </cell>
          <cell r="I958">
            <v>163000</v>
          </cell>
          <cell r="J958">
            <v>163200</v>
          </cell>
          <cell r="K958">
            <v>47948.26</v>
          </cell>
          <cell r="L958">
            <v>13016</v>
          </cell>
          <cell r="M958">
            <v>414829</v>
          </cell>
          <cell r="N958">
            <v>7369</v>
          </cell>
          <cell r="O958">
            <v>4830</v>
          </cell>
          <cell r="P958">
            <v>0</v>
          </cell>
          <cell r="Q958">
            <v>0</v>
          </cell>
          <cell r="R958">
            <v>133221.709</v>
          </cell>
          <cell r="S958">
            <v>12.364822580964869</v>
          </cell>
          <cell r="T958">
            <v>0.49898500000000001</v>
          </cell>
          <cell r="U958">
            <v>3.4079575927305102E-3</v>
          </cell>
          <cell r="V958">
            <v>3.4000000000000002E-2</v>
          </cell>
          <cell r="W958">
            <v>0.28442000000000001</v>
          </cell>
          <cell r="X958">
            <v>1.18</v>
          </cell>
          <cell r="Y958">
            <v>10.49</v>
          </cell>
          <cell r="Z958">
            <v>0</v>
          </cell>
          <cell r="AA958">
            <v>0</v>
          </cell>
          <cell r="AB958">
            <v>0</v>
          </cell>
          <cell r="AC958">
            <v>0.21945535428589227</v>
          </cell>
          <cell r="AD958">
            <v>9.602233630754331E-2</v>
          </cell>
          <cell r="AE958">
            <v>0</v>
          </cell>
          <cell r="AF958">
            <v>14.458256759932832</v>
          </cell>
          <cell r="AG958">
            <v>6.2840552534911804</v>
          </cell>
          <cell r="AH958">
            <v>202511</v>
          </cell>
          <cell r="AJ958" t="str">
            <v>CPO-5:Prod'n down due to community blockade.
Sakhalin-1:New prod'n data received from the operator.
BC-10:Shutdown planned from 10th November for turnaround campaign.</v>
          </cell>
        </row>
        <row r="959">
          <cell r="C959">
            <v>45967</v>
          </cell>
          <cell r="D959">
            <v>294200</v>
          </cell>
          <cell r="E959">
            <v>32799</v>
          </cell>
          <cell r="F959">
            <v>1470.61</v>
          </cell>
          <cell r="G959">
            <v>5039</v>
          </cell>
          <cell r="H959">
            <v>2442</v>
          </cell>
          <cell r="I959">
            <v>163000</v>
          </cell>
          <cell r="J959">
            <v>162133</v>
          </cell>
          <cell r="K959">
            <v>53145.08</v>
          </cell>
          <cell r="L959">
            <v>11368</v>
          </cell>
          <cell r="M959">
            <v>401572</v>
          </cell>
          <cell r="N959">
            <v>7557</v>
          </cell>
          <cell r="O959">
            <v>4813</v>
          </cell>
          <cell r="P959">
            <v>0</v>
          </cell>
          <cell r="Q959">
            <v>0</v>
          </cell>
          <cell r="R959">
            <v>133054.73700000002</v>
          </cell>
          <cell r="S959">
            <v>12.450622545285675</v>
          </cell>
          <cell r="T959">
            <v>0.49793199999999999</v>
          </cell>
          <cell r="U959">
            <v>3.4079575927305102E-3</v>
          </cell>
          <cell r="V959">
            <v>3.4000000000000002E-2</v>
          </cell>
          <cell r="W959">
            <v>0.28299000000000002</v>
          </cell>
          <cell r="X959">
            <v>1.18</v>
          </cell>
          <cell r="Y959">
            <v>10.47</v>
          </cell>
          <cell r="Z959">
            <v>0</v>
          </cell>
          <cell r="AA959">
            <v>0</v>
          </cell>
          <cell r="AB959">
            <v>0</v>
          </cell>
          <cell r="AC959">
            <v>0.21775634509142086</v>
          </cell>
          <cell r="AD959">
            <v>9.0981942363944759E-2</v>
          </cell>
          <cell r="AE959">
            <v>0</v>
          </cell>
          <cell r="AF959">
            <v>14.469413586976527</v>
          </cell>
          <cell r="AG959">
            <v>6.2793442044561623</v>
          </cell>
          <cell r="AH959">
            <v>202511</v>
          </cell>
          <cell r="AJ959" t="str">
            <v>CPO-5:Prod'n down due to community blockade.
GPOC:Prod'n deferred due to downhole problems.
BC-10:Shutdown planned from 10th November for turnaround campaign.</v>
          </cell>
        </row>
        <row r="960">
          <cell r="C960">
            <v>45968</v>
          </cell>
          <cell r="D960">
            <v>326647</v>
          </cell>
          <cell r="E960">
            <v>32887</v>
          </cell>
          <cell r="F960">
            <v>20724.879999999997</v>
          </cell>
          <cell r="G960">
            <v>4968</v>
          </cell>
          <cell r="H960">
            <v>2450</v>
          </cell>
          <cell r="I960">
            <v>163000</v>
          </cell>
          <cell r="J960">
            <v>159287</v>
          </cell>
          <cell r="K960">
            <v>49489.91</v>
          </cell>
          <cell r="L960">
            <v>9955</v>
          </cell>
          <cell r="M960">
            <v>398461</v>
          </cell>
          <cell r="N960">
            <v>7574</v>
          </cell>
          <cell r="O960">
            <v>4810</v>
          </cell>
          <cell r="P960">
            <v>0</v>
          </cell>
          <cell r="Q960">
            <v>0</v>
          </cell>
          <cell r="R960">
            <v>145359.652</v>
          </cell>
          <cell r="S960">
            <v>12.4820542153834</v>
          </cell>
          <cell r="T960">
            <v>0.49693999999999999</v>
          </cell>
          <cell r="U960">
            <v>3.4079575927305102E-3</v>
          </cell>
          <cell r="V960">
            <v>3.4000000000000002E-2</v>
          </cell>
          <cell r="W960">
            <v>0.28366000000000002</v>
          </cell>
          <cell r="X960">
            <v>1.18</v>
          </cell>
          <cell r="Y960">
            <v>10.47</v>
          </cell>
          <cell r="Z960">
            <v>0</v>
          </cell>
          <cell r="AA960">
            <v>0</v>
          </cell>
          <cell r="AB960">
            <v>0</v>
          </cell>
          <cell r="AC960">
            <v>0.21322565390616371</v>
          </cell>
          <cell r="AD960">
            <v>8.4610657884676921E-2</v>
          </cell>
          <cell r="AE960">
            <v>0</v>
          </cell>
          <cell r="AF960">
            <v>14.463297153876431</v>
          </cell>
          <cell r="AG960">
            <v>6.2765790573574183</v>
          </cell>
          <cell r="AH960">
            <v>202511</v>
          </cell>
          <cell r="AJ960" t="str">
            <v>CPO-5:Prod'n being ramped up.
GPOC:Prod'n deferred due to downhole problems.
BC-10:Shutdown planned from 10th November for turnaround campaign.</v>
          </cell>
        </row>
        <row r="961">
          <cell r="C961">
            <v>45969</v>
          </cell>
          <cell r="D961">
            <v>283004</v>
          </cell>
          <cell r="E961">
            <v>32943</v>
          </cell>
          <cell r="F961">
            <v>23523.21</v>
          </cell>
          <cell r="G961">
            <v>5006</v>
          </cell>
          <cell r="H961">
            <v>2409</v>
          </cell>
          <cell r="I961">
            <v>163000</v>
          </cell>
          <cell r="J961">
            <v>160305</v>
          </cell>
          <cell r="K961">
            <v>48881.41</v>
          </cell>
          <cell r="L961">
            <v>14706</v>
          </cell>
          <cell r="M961">
            <v>400830</v>
          </cell>
          <cell r="N961">
            <v>7562</v>
          </cell>
          <cell r="O961">
            <v>4725</v>
          </cell>
          <cell r="P961">
            <v>0</v>
          </cell>
          <cell r="Q961">
            <v>0</v>
          </cell>
          <cell r="R961">
            <v>147353.21900000001</v>
          </cell>
          <cell r="S961">
            <v>12.366521590159339</v>
          </cell>
          <cell r="T961">
            <v>0.49736999999999998</v>
          </cell>
          <cell r="U961">
            <v>3.4079575927305102E-3</v>
          </cell>
          <cell r="V961">
            <v>3.3000000000000002E-2</v>
          </cell>
          <cell r="W961">
            <v>0.28173000000000004</v>
          </cell>
          <cell r="X961">
            <v>1.18</v>
          </cell>
          <cell r="Y961">
            <v>10.54</v>
          </cell>
          <cell r="Z961">
            <v>0</v>
          </cell>
          <cell r="AA961">
            <v>0</v>
          </cell>
          <cell r="AB961">
            <v>0</v>
          </cell>
          <cell r="AC961">
            <v>0.21690684049418513</v>
          </cell>
          <cell r="AD961">
            <v>8.6621152098134771E-2</v>
          </cell>
          <cell r="AE961">
            <v>0</v>
          </cell>
          <cell r="AF961">
            <v>14.463976757554219</v>
          </cell>
          <cell r="AG961">
            <v>6.2904104889049037</v>
          </cell>
          <cell r="AH961">
            <v>202511</v>
          </cell>
          <cell r="AJ961" t="str">
            <v>GPOC:Prod'n deferred due to downhole problems.
BC-10:Shutdown planned from 10th November for turnaround campaign.</v>
          </cell>
        </row>
        <row r="962">
          <cell r="C962">
            <v>45970</v>
          </cell>
          <cell r="D962">
            <v>377375</v>
          </cell>
          <cell r="E962">
            <v>32774</v>
          </cell>
          <cell r="F962">
            <v>23412.03</v>
          </cell>
          <cell r="G962">
            <v>4991</v>
          </cell>
          <cell r="H962">
            <v>2352</v>
          </cell>
          <cell r="I962">
            <v>163000</v>
          </cell>
          <cell r="J962">
            <v>164207</v>
          </cell>
          <cell r="K962">
            <v>49284.4</v>
          </cell>
          <cell r="L962">
            <v>16626</v>
          </cell>
          <cell r="M962">
            <v>365404</v>
          </cell>
          <cell r="N962">
            <v>7658</v>
          </cell>
          <cell r="O962">
            <v>4640</v>
          </cell>
          <cell r="P962">
            <v>0</v>
          </cell>
          <cell r="Q962">
            <v>0</v>
          </cell>
          <cell r="R962">
            <v>150063.60225</v>
          </cell>
          <cell r="S962">
            <v>12.839978819018709</v>
          </cell>
          <cell r="T962">
            <v>0.49608400000000002</v>
          </cell>
          <cell r="U962">
            <v>3.4079575927305102E-3</v>
          </cell>
          <cell r="V962">
            <v>3.3000000000000002E-2</v>
          </cell>
          <cell r="W962">
            <v>0.26857999999999999</v>
          </cell>
          <cell r="X962">
            <v>1.18</v>
          </cell>
          <cell r="Y962">
            <v>10.57</v>
          </cell>
          <cell r="Z962">
            <v>0</v>
          </cell>
          <cell r="AA962">
            <v>0</v>
          </cell>
          <cell r="AB962">
            <v>0</v>
          </cell>
          <cell r="AC962">
            <v>0.22115436348036369</v>
          </cell>
          <cell r="AD962">
            <v>9.0443922785695463E-2</v>
          </cell>
          <cell r="AE962">
            <v>0</v>
          </cell>
          <cell r="AF962">
            <v>14.463353787516246</v>
          </cell>
          <cell r="AG962">
            <v>6.3004523237460894</v>
          </cell>
          <cell r="AH962">
            <v>202511</v>
          </cell>
          <cell r="AJ962" t="str">
            <v>GPOC:Prod'n deferred due to downhole problems.
BC-10:Shutdown planned from 10th November for turnaround campaign.
LZC:Prod'n reduced due to planned maintenance activity.</v>
          </cell>
        </row>
        <row r="963">
          <cell r="C963">
            <v>45971</v>
          </cell>
          <cell r="D963">
            <v>341938</v>
          </cell>
          <cell r="E963">
            <v>32711</v>
          </cell>
          <cell r="F963">
            <v>23326.58</v>
          </cell>
          <cell r="G963">
            <v>5053</v>
          </cell>
          <cell r="H963">
            <v>2373</v>
          </cell>
          <cell r="I963">
            <v>161440</v>
          </cell>
          <cell r="J963">
            <v>163336</v>
          </cell>
          <cell r="K963">
            <v>48949.22</v>
          </cell>
          <cell r="L963">
            <v>11629</v>
          </cell>
          <cell r="M963">
            <v>410007</v>
          </cell>
          <cell r="N963">
            <v>7433</v>
          </cell>
          <cell r="O963">
            <v>0</v>
          </cell>
          <cell r="P963">
            <v>0</v>
          </cell>
          <cell r="Q963">
            <v>0</v>
          </cell>
          <cell r="R963">
            <v>147077.83374999999</v>
          </cell>
          <cell r="S963">
            <v>12.429951266752932</v>
          </cell>
          <cell r="T963">
            <v>0.49535299999999999</v>
          </cell>
          <cell r="U963">
            <v>3.4079575927305102E-3</v>
          </cell>
          <cell r="V963">
            <v>3.4000000000000002E-2</v>
          </cell>
          <cell r="W963">
            <v>0.28492000000000001</v>
          </cell>
          <cell r="X963">
            <v>1.18</v>
          </cell>
          <cell r="Y963">
            <v>10.41</v>
          </cell>
          <cell r="Z963">
            <v>0</v>
          </cell>
          <cell r="AA963">
            <v>0</v>
          </cell>
          <cell r="AB963">
            <v>0</v>
          </cell>
          <cell r="AC963">
            <v>0.21492466310063513</v>
          </cell>
          <cell r="AD963">
            <v>0.11626886254166111</v>
          </cell>
          <cell r="AE963">
            <v>0</v>
          </cell>
          <cell r="AF963">
            <v>14.463976757554219</v>
          </cell>
          <cell r="AG963">
            <v>6.2732522616093869</v>
          </cell>
          <cell r="AH963">
            <v>202511</v>
          </cell>
          <cell r="AJ963" t="str">
            <v>GPOC:Prod'n deferred due to downhole problems.
BC-10:Shutdown planned from 10th November for turnaround campaign.
Vankor:Prod'n deferred due to repair of defective sections of oil gathering pipeline.
SCB:Prod'n deferred due to high water level in storage tank, can't fiscalize volume.</v>
          </cell>
        </row>
        <row r="964">
          <cell r="C964">
            <v>45972</v>
          </cell>
          <cell r="D964">
            <v>328112</v>
          </cell>
          <cell r="E964">
            <v>32969</v>
          </cell>
          <cell r="F964">
            <v>23334.199999999997</v>
          </cell>
          <cell r="G964">
            <v>5069</v>
          </cell>
          <cell r="H964">
            <v>2400</v>
          </cell>
          <cell r="I964">
            <v>161440</v>
          </cell>
          <cell r="J964">
            <v>165705</v>
          </cell>
          <cell r="K964">
            <v>49722.7</v>
          </cell>
          <cell r="L964">
            <v>7884</v>
          </cell>
          <cell r="M964">
            <v>416122</v>
          </cell>
          <cell r="N964">
            <v>7557</v>
          </cell>
          <cell r="O964">
            <v>6735</v>
          </cell>
          <cell r="P964">
            <v>0</v>
          </cell>
          <cell r="R964">
            <v>149641.48599999998</v>
          </cell>
          <cell r="S964">
            <v>12.437879976327139</v>
          </cell>
          <cell r="T964">
            <v>0.49635000000000001</v>
          </cell>
          <cell r="U964">
            <v>3.4079575927305102E-3</v>
          </cell>
          <cell r="V964">
            <v>3.4000000000000002E-2</v>
          </cell>
          <cell r="W964">
            <v>0.28786</v>
          </cell>
          <cell r="X964">
            <v>1.18</v>
          </cell>
          <cell r="Y964">
            <v>10.51</v>
          </cell>
          <cell r="Z964">
            <v>0</v>
          </cell>
          <cell r="AA964">
            <v>0</v>
          </cell>
          <cell r="AB964">
            <v>0</v>
          </cell>
          <cell r="AC964">
            <v>0.19821773935499948</v>
          </cell>
          <cell r="AD964">
            <v>7.9711848040617636E-2</v>
          </cell>
          <cell r="AE964">
            <v>0</v>
          </cell>
          <cell r="AF964">
            <v>14.463098936137076</v>
          </cell>
          <cell r="AG964">
            <v>6.2860835693110797</v>
          </cell>
          <cell r="AH964">
            <v>202511</v>
          </cell>
          <cell r="AJ964" t="str">
            <v>GPOC:Prod'n deferred due to downhole problems.
SPOC:7,500 bbl transfer to Tharjiath COST tank level.
Vankor:Prod'n deferred due to repair of defective sections of oil gathering pipeline.</v>
          </cell>
        </row>
        <row r="965">
          <cell r="C965">
            <v>45973</v>
          </cell>
          <cell r="D965">
            <v>331516</v>
          </cell>
          <cell r="E965">
            <v>32830</v>
          </cell>
          <cell r="F965">
            <v>23365.800000000003</v>
          </cell>
          <cell r="G965">
            <v>5290</v>
          </cell>
          <cell r="H965">
            <v>2450</v>
          </cell>
          <cell r="I965">
            <v>161440</v>
          </cell>
          <cell r="J965">
            <v>166780</v>
          </cell>
          <cell r="K965">
            <v>47913.75</v>
          </cell>
          <cell r="L965">
            <v>13887</v>
          </cell>
          <cell r="M965">
            <v>423344</v>
          </cell>
          <cell r="N965">
            <v>7627</v>
          </cell>
          <cell r="O965">
            <v>6645</v>
          </cell>
          <cell r="P965">
            <v>0</v>
          </cell>
          <cell r="Q965">
            <v>0</v>
          </cell>
          <cell r="R965">
            <v>151422.20925000001</v>
          </cell>
          <cell r="S965">
            <v>12.282137466833925</v>
          </cell>
          <cell r="T965">
            <v>0.49632700000000002</v>
          </cell>
          <cell r="U965">
            <v>3.4079575927305102E-3</v>
          </cell>
          <cell r="V965">
            <v>3.4000000000000002E-2</v>
          </cell>
          <cell r="W965">
            <v>0.28733999999999998</v>
          </cell>
          <cell r="X965">
            <v>1.18</v>
          </cell>
          <cell r="Y965">
            <v>10.39</v>
          </cell>
          <cell r="Z965">
            <v>0</v>
          </cell>
          <cell r="AA965">
            <v>0</v>
          </cell>
          <cell r="AB965">
            <v>0</v>
          </cell>
          <cell r="AC965">
            <v>0.21152664471169227</v>
          </cell>
          <cell r="AD965">
            <v>7.9711848040617636E-2</v>
          </cell>
          <cell r="AE965">
            <v>0</v>
          </cell>
          <cell r="AF965">
            <v>14.464514777132468</v>
          </cell>
          <cell r="AG965">
            <v>6.2515065634668563</v>
          </cell>
          <cell r="AH965">
            <v>202511</v>
          </cell>
          <cell r="AJ965" t="str">
            <v>Sakhalin-1:New prod'n data received from the operator.
GPOC:Prod'n deferred due to downhole problems.
Vankor:Prod'n deferred due to repair of defective sections of oil gathering pipeline.</v>
          </cell>
        </row>
        <row r="966">
          <cell r="C966">
            <v>45974</v>
          </cell>
          <cell r="D966">
            <v>338387</v>
          </cell>
          <cell r="E966">
            <v>33157</v>
          </cell>
          <cell r="F966">
            <v>23170.89</v>
          </cell>
          <cell r="G966">
            <v>5376</v>
          </cell>
          <cell r="H966">
            <v>2405</v>
          </cell>
          <cell r="I966">
            <v>161440</v>
          </cell>
          <cell r="J966">
            <v>168983</v>
          </cell>
          <cell r="K966">
            <v>54118.07</v>
          </cell>
          <cell r="L966">
            <v>15843</v>
          </cell>
          <cell r="M966">
            <v>424322</v>
          </cell>
          <cell r="N966">
            <v>7620</v>
          </cell>
          <cell r="O966">
            <v>5689</v>
          </cell>
          <cell r="P966">
            <v>0</v>
          </cell>
          <cell r="Q966">
            <v>0</v>
          </cell>
          <cell r="R966">
            <v>153824.73400000003</v>
          </cell>
          <cell r="S966">
            <v>12.474125505809194</v>
          </cell>
          <cell r="T966">
            <v>0.49632799999999999</v>
          </cell>
          <cell r="U966">
            <v>3.4079575927305102E-3</v>
          </cell>
          <cell r="V966">
            <v>3.5000000000000003E-2</v>
          </cell>
          <cell r="W966">
            <v>0.28327999999999998</v>
          </cell>
          <cell r="X966">
            <v>1.18</v>
          </cell>
          <cell r="Y966">
            <v>10.4</v>
          </cell>
          <cell r="Z966">
            <v>0</v>
          </cell>
          <cell r="AA966">
            <v>0</v>
          </cell>
          <cell r="AB966">
            <v>0</v>
          </cell>
          <cell r="AC966">
            <v>0.21152664471169227</v>
          </cell>
          <cell r="AD966">
            <v>8.1467490874904777E-2</v>
          </cell>
          <cell r="AE966">
            <v>0</v>
          </cell>
          <cell r="AF966">
            <v>13.88928689752426</v>
          </cell>
          <cell r="AG966">
            <v>6.159076001207203</v>
          </cell>
          <cell r="AH966">
            <v>202511</v>
          </cell>
          <cell r="AJ966" t="str">
            <v>GPOC:Prod'n deferred due to security concerns.
Vankor:Prod'n deferred due to repair of defective sections of oil gathering pipeline.</v>
          </cell>
        </row>
        <row r="967">
          <cell r="C967">
            <v>45975</v>
          </cell>
          <cell r="D967">
            <v>345901</v>
          </cell>
          <cell r="E967">
            <v>32698</v>
          </cell>
          <cell r="F967">
            <v>23087.22</v>
          </cell>
          <cell r="G967">
            <v>5424</v>
          </cell>
          <cell r="H967">
            <v>2402</v>
          </cell>
          <cell r="I967">
            <v>161440</v>
          </cell>
          <cell r="J967">
            <v>167255</v>
          </cell>
          <cell r="K967">
            <v>41439.949999999997</v>
          </cell>
          <cell r="L967">
            <v>14646</v>
          </cell>
          <cell r="M967">
            <v>424322</v>
          </cell>
          <cell r="N967">
            <v>7601</v>
          </cell>
          <cell r="O967">
            <v>5010</v>
          </cell>
          <cell r="P967">
            <v>0</v>
          </cell>
          <cell r="Q967">
            <v>0</v>
          </cell>
          <cell r="R967">
            <v>149701.74325</v>
          </cell>
          <cell r="S967">
            <v>12.61117891416322</v>
          </cell>
          <cell r="T967">
            <v>0.49608799999999997</v>
          </cell>
          <cell r="U967">
            <v>3.4079575927305102E-3</v>
          </cell>
          <cell r="V967">
            <v>3.4000000000000002E-2</v>
          </cell>
          <cell r="W967">
            <v>0.28099000000000002</v>
          </cell>
          <cell r="X967">
            <v>1.18</v>
          </cell>
          <cell r="Y967">
            <v>10.44</v>
          </cell>
          <cell r="Z967">
            <v>0</v>
          </cell>
          <cell r="AA967">
            <v>0</v>
          </cell>
          <cell r="AC967">
            <v>0.21492466310063513</v>
          </cell>
          <cell r="AD967">
            <v>7.8550858424395506E-2</v>
          </cell>
          <cell r="AE967">
            <v>0</v>
          </cell>
          <cell r="AF967">
            <v>13.889201947064535</v>
          </cell>
          <cell r="AG967">
            <v>6.1698227008659838</v>
          </cell>
          <cell r="AH967">
            <v>202511</v>
          </cell>
          <cell r="AJ967" t="str">
            <v>GPOC:Prod'n deferred due to security concerns.
Vankor:Prod'n deferred due to repair of defective sections of oil gathering pipeline.</v>
          </cell>
        </row>
        <row r="968">
          <cell r="C968">
            <v>45976</v>
          </cell>
          <cell r="D968">
            <v>342825</v>
          </cell>
          <cell r="E968">
            <v>32906</v>
          </cell>
          <cell r="F968">
            <v>22979.47</v>
          </cell>
          <cell r="G968">
            <v>5445</v>
          </cell>
          <cell r="H968">
            <v>2417</v>
          </cell>
          <cell r="I968">
            <v>161440</v>
          </cell>
          <cell r="J968">
            <v>168208</v>
          </cell>
          <cell r="K968">
            <v>4405.16</v>
          </cell>
          <cell r="L968">
            <v>15211</v>
          </cell>
          <cell r="M968">
            <v>438086</v>
          </cell>
          <cell r="N968">
            <v>7609</v>
          </cell>
          <cell r="O968">
            <v>0</v>
          </cell>
          <cell r="P968">
            <v>0</v>
          </cell>
          <cell r="Q968">
            <v>0</v>
          </cell>
          <cell r="R968">
            <v>139290.83399999997</v>
          </cell>
          <cell r="S968">
            <v>12.443260172109632</v>
          </cell>
          <cell r="T968">
            <v>0.495226</v>
          </cell>
          <cell r="U968">
            <v>3.4079575927305102E-3</v>
          </cell>
          <cell r="V968">
            <v>3.7999999999999999E-2</v>
          </cell>
          <cell r="W968">
            <v>0.27914999999999995</v>
          </cell>
          <cell r="X968">
            <v>1.18</v>
          </cell>
          <cell r="Y968">
            <v>10.54</v>
          </cell>
          <cell r="Z968">
            <v>0</v>
          </cell>
          <cell r="AA968">
            <v>0</v>
          </cell>
          <cell r="AB968">
            <v>0</v>
          </cell>
          <cell r="AC968">
            <v>0.21237614930892801</v>
          </cell>
          <cell r="AD968">
            <v>7.8550858424395506E-2</v>
          </cell>
          <cell r="AE968">
            <v>0</v>
          </cell>
          <cell r="AF968">
            <v>13.89138234219744</v>
          </cell>
          <cell r="AG968">
            <v>6.1909286683164231</v>
          </cell>
          <cell r="AH968">
            <v>202511</v>
          </cell>
          <cell r="AJ968" t="str">
            <v>GPOC:Prod'n deferred due to security concerns.
Vankor:Prod'n deferred due to repair of defective sections of oil gathering pipeline.</v>
          </cell>
        </row>
        <row r="969">
          <cell r="C969">
            <v>45977</v>
          </cell>
          <cell r="D969">
            <v>322130</v>
          </cell>
          <cell r="E969">
            <v>32868</v>
          </cell>
          <cell r="F969">
            <v>22978.16</v>
          </cell>
          <cell r="G969">
            <v>5457</v>
          </cell>
          <cell r="H969">
            <v>2426</v>
          </cell>
          <cell r="I969">
            <v>161440</v>
          </cell>
          <cell r="J969">
            <v>166375</v>
          </cell>
          <cell r="K969">
            <v>2416.34</v>
          </cell>
          <cell r="L969">
            <v>12115</v>
          </cell>
          <cell r="M969">
            <v>438527</v>
          </cell>
          <cell r="N969">
            <v>7214</v>
          </cell>
          <cell r="O969">
            <v>6797</v>
          </cell>
          <cell r="P969">
            <v>0</v>
          </cell>
          <cell r="Q969">
            <v>0</v>
          </cell>
          <cell r="R969">
            <v>139661.62325</v>
          </cell>
          <cell r="S969">
            <v>12.442410667512398</v>
          </cell>
          <cell r="T969">
            <v>0.49554100000000001</v>
          </cell>
          <cell r="U969">
            <v>3.4079575927305102E-3</v>
          </cell>
          <cell r="V969">
            <v>3.4000000000000002E-2</v>
          </cell>
          <cell r="W969">
            <v>0.27400000000000002</v>
          </cell>
          <cell r="X969">
            <v>1.18</v>
          </cell>
          <cell r="Y969">
            <v>10.36</v>
          </cell>
          <cell r="Z969">
            <v>0</v>
          </cell>
          <cell r="AA969">
            <v>0</v>
          </cell>
          <cell r="AB969">
            <v>0</v>
          </cell>
          <cell r="AC969">
            <v>0.21265931750800657</v>
          </cell>
          <cell r="AD969">
            <v>8.0051649879511924E-2</v>
          </cell>
          <cell r="AE969">
            <v>0</v>
          </cell>
          <cell r="AF969">
            <v>13.890023134841863</v>
          </cell>
          <cell r="AG969">
            <v>6.137439270140451</v>
          </cell>
          <cell r="AH969">
            <v>202511</v>
          </cell>
          <cell r="AJ969" t="str">
            <v>GPOC:Prod'n deferred due to security concerns.
Vankor:Prod'n deferred due to repair of defective sections of oil gathering pipeline.</v>
          </cell>
        </row>
        <row r="970">
          <cell r="C970">
            <v>45978</v>
          </cell>
          <cell r="D970">
            <v>357208</v>
          </cell>
          <cell r="E970">
            <v>14761</v>
          </cell>
          <cell r="F970">
            <v>22971.24</v>
          </cell>
          <cell r="G970">
            <v>5580</v>
          </cell>
          <cell r="H970">
            <v>2403</v>
          </cell>
          <cell r="I970">
            <v>140181</v>
          </cell>
          <cell r="J970">
            <v>164720</v>
          </cell>
          <cell r="K970">
            <v>1990.35</v>
          </cell>
          <cell r="L970">
            <v>8909</v>
          </cell>
          <cell r="M970">
            <v>379705</v>
          </cell>
          <cell r="N970">
            <v>7355</v>
          </cell>
          <cell r="O970">
            <v>7066</v>
          </cell>
          <cell r="P970">
            <v>0</v>
          </cell>
          <cell r="Q970">
            <v>0</v>
          </cell>
          <cell r="R970">
            <v>128040.60575</v>
          </cell>
          <cell r="S970">
            <v>12.106573183405208</v>
          </cell>
          <cell r="T970">
            <v>0.22070799999999999</v>
          </cell>
          <cell r="U970">
            <v>3.4079575927305102E-3</v>
          </cell>
          <cell r="V970">
            <v>3.5000000000000003E-2</v>
          </cell>
          <cell r="W970">
            <v>0.29708999999999997</v>
          </cell>
          <cell r="X970">
            <v>1.18</v>
          </cell>
          <cell r="Y970">
            <v>10.32</v>
          </cell>
          <cell r="Z970">
            <v>0</v>
          </cell>
          <cell r="AA970">
            <v>0</v>
          </cell>
          <cell r="AB970">
            <v>0</v>
          </cell>
          <cell r="AC970">
            <v>0.21690684049418513</v>
          </cell>
          <cell r="AD970">
            <v>8.9622735008367621E-2</v>
          </cell>
          <cell r="AE970">
            <v>0</v>
          </cell>
          <cell r="AF970">
            <v>13.890617788059929</v>
          </cell>
          <cell r="AG970">
            <v>6.0709978663574091</v>
          </cell>
          <cell r="AH970">
            <v>202511</v>
          </cell>
          <cell r="AJ970" t="str">
            <v>GPOC:Prod'n deferred due to security concerns.
BC-10:ALM-1 Train-C, AW1 Abalone, ALM-2 Train-B and ALM-3 Train-A are offline (Planned Shutdown Preparations)
SPOC:Prod'n deferred due to cable replacement pending for VSD motor connectivity.
Vankor:Prod'n deferred due to repair of defective sections of oil gathering pipeline.
LZC:Prod'n deferred due to LNG flaring (Das) &amp; ZW plant upset.</v>
          </cell>
        </row>
        <row r="971">
          <cell r="C971">
            <v>45979</v>
          </cell>
          <cell r="D971">
            <v>338873</v>
          </cell>
          <cell r="E971">
            <v>11824</v>
          </cell>
          <cell r="F971">
            <v>22916.920000000002</v>
          </cell>
          <cell r="G971">
            <v>5452</v>
          </cell>
          <cell r="H971">
            <v>2464</v>
          </cell>
          <cell r="I971">
            <v>140181</v>
          </cell>
          <cell r="J971">
            <v>165443</v>
          </cell>
          <cell r="K971">
            <v>13167.62</v>
          </cell>
          <cell r="L971">
            <v>11245</v>
          </cell>
          <cell r="M971">
            <v>428046</v>
          </cell>
          <cell r="N971">
            <v>7535</v>
          </cell>
          <cell r="O971">
            <v>5053</v>
          </cell>
          <cell r="P971">
            <v>0</v>
          </cell>
          <cell r="Q971">
            <v>0</v>
          </cell>
          <cell r="R971">
            <v>131364.39050000001</v>
          </cell>
          <cell r="S971">
            <v>12.636947220279373</v>
          </cell>
          <cell r="T971">
            <v>4.1870999999999998E-2</v>
          </cell>
          <cell r="U971">
            <v>3.4079575927305102E-3</v>
          </cell>
          <cell r="V971">
            <v>3.5000000000000003E-2</v>
          </cell>
          <cell r="W971">
            <v>0.29731000000000002</v>
          </cell>
          <cell r="X971">
            <v>1.18</v>
          </cell>
          <cell r="Y971">
            <v>10.46</v>
          </cell>
          <cell r="Z971">
            <v>0</v>
          </cell>
          <cell r="AA971">
            <v>0</v>
          </cell>
          <cell r="AB971">
            <v>0</v>
          </cell>
          <cell r="AC971">
            <v>0.22483555006838513</v>
          </cell>
          <cell r="AD971">
            <v>7.9541947121170506E-2</v>
          </cell>
          <cell r="AE971">
            <v>0</v>
          </cell>
          <cell r="AF971">
            <v>14.320750282460278</v>
          </cell>
          <cell r="AG971">
            <v>6.1448076838823216</v>
          </cell>
          <cell r="AH971">
            <v>202511</v>
          </cell>
          <cell r="AJ971" t="str">
            <v>GPOC:Prod'n deferred due to security concerns.
BC-10:ALM-1 Train-C, AW1 Abalone, ALM-2 Train-B and ALM-3 Train-A are offline (Planned Shutdown Preparations)
Vankor:Prod'n deferred due to repair of defective sections of oil gathering pipeline.</v>
          </cell>
        </row>
        <row r="972">
          <cell r="C972">
            <v>45980</v>
          </cell>
          <cell r="D972">
            <v>347303</v>
          </cell>
          <cell r="E972">
            <v>2868</v>
          </cell>
          <cell r="F972">
            <v>22865.439999999999</v>
          </cell>
          <cell r="G972">
            <v>5396</v>
          </cell>
          <cell r="H972">
            <v>2466</v>
          </cell>
          <cell r="I972">
            <v>140181</v>
          </cell>
          <cell r="J972">
            <v>165356</v>
          </cell>
          <cell r="K972">
            <v>39870.53</v>
          </cell>
          <cell r="L972">
            <v>11666</v>
          </cell>
          <cell r="M972">
            <v>426679</v>
          </cell>
          <cell r="N972">
            <v>7526</v>
          </cell>
          <cell r="O972">
            <v>4989</v>
          </cell>
          <cell r="P972">
            <v>0</v>
          </cell>
          <cell r="Q972">
            <v>0</v>
          </cell>
          <cell r="R972">
            <v>135804.21575</v>
          </cell>
          <cell r="S972">
            <v>12.608630400371515</v>
          </cell>
          <cell r="T972">
            <v>3.604E-3</v>
          </cell>
          <cell r="U972">
            <v>3.4079575927305102E-3</v>
          </cell>
          <cell r="V972">
            <v>3.3000000000000002E-2</v>
          </cell>
          <cell r="W972">
            <v>0.29137999999999997</v>
          </cell>
          <cell r="X972">
            <v>1.18</v>
          </cell>
          <cell r="Y972">
            <v>10.46</v>
          </cell>
          <cell r="Z972">
            <v>0</v>
          </cell>
          <cell r="AA972">
            <v>0</v>
          </cell>
          <cell r="AB972">
            <v>0</v>
          </cell>
          <cell r="AC972">
            <v>0.21803951329049942</v>
          </cell>
          <cell r="AD972">
            <v>7.5322740954899797E-2</v>
          </cell>
          <cell r="AE972">
            <v>0</v>
          </cell>
          <cell r="AF972">
            <v>14.464033391194034</v>
          </cell>
          <cell r="AG972">
            <v>6.1486402088726795</v>
          </cell>
          <cell r="AH972">
            <v>202511</v>
          </cell>
          <cell r="AJ972" t="str">
            <v>GPOC:Prod'n deferred due to security concerns.
BC-10:ALM-1 Train-C, AW1 Abalone, ALM-2 Train-B and ALM-3 Train-A are offline (Planned Shutdown Preparations)
Vankor:Prod'n deferred due to repair of defective sections of oil gathering pipeline.</v>
          </cell>
        </row>
        <row r="973">
          <cell r="C973">
            <v>45981</v>
          </cell>
          <cell r="D973">
            <v>349968</v>
          </cell>
          <cell r="E973">
            <v>63</v>
          </cell>
          <cell r="F973">
            <v>22856.09</v>
          </cell>
          <cell r="G973">
            <v>5333</v>
          </cell>
          <cell r="H973">
            <v>2466</v>
          </cell>
          <cell r="I973">
            <v>140181</v>
          </cell>
          <cell r="J973">
            <v>160132</v>
          </cell>
          <cell r="K973">
            <v>34816.22</v>
          </cell>
          <cell r="L973">
            <v>13497</v>
          </cell>
          <cell r="M973">
            <v>425350</v>
          </cell>
          <cell r="N973">
            <v>7524</v>
          </cell>
          <cell r="O973">
            <v>4944</v>
          </cell>
          <cell r="P973">
            <v>0</v>
          </cell>
          <cell r="Q973">
            <v>0</v>
          </cell>
          <cell r="R973">
            <v>132835.30324999997</v>
          </cell>
          <cell r="S973">
            <v>12.653370975825935</v>
          </cell>
          <cell r="T973">
            <v>1.8245999999999998E-2</v>
          </cell>
          <cell r="U973">
            <v>3.4079575927305102E-3</v>
          </cell>
          <cell r="V973">
            <v>3.4000000000000002E-2</v>
          </cell>
          <cell r="W973">
            <v>0.29300999999999999</v>
          </cell>
          <cell r="X973">
            <v>1.18</v>
          </cell>
          <cell r="Y973">
            <v>10.43</v>
          </cell>
          <cell r="Z973">
            <v>0</v>
          </cell>
          <cell r="AA973">
            <v>0</v>
          </cell>
          <cell r="AB973">
            <v>0</v>
          </cell>
          <cell r="AC973">
            <v>0.21520783129971369</v>
          </cell>
          <cell r="AD973">
            <v>0.20603318164956802</v>
          </cell>
          <cell r="AE973">
            <v>0</v>
          </cell>
          <cell r="AF973">
            <v>14.465958934947768</v>
          </cell>
          <cell r="AG973">
            <v>6.200532244401737</v>
          </cell>
          <cell r="AH973">
            <v>202511</v>
          </cell>
          <cell r="AJ973" t="str">
            <v>Sakhalin-1:New prod'n data received from the operator.
GPOC:Prod'n deferred due to security concerns.
BC-10:ALM-1 Train-C, AW1 Abalone, ALM-2 Train-B and ALM-3 Train-A are offline (Planned Shutdown Preparations)
Vankor:Prod'n deferred due to repair of defective sections of oil gathering pipeline.</v>
          </cell>
        </row>
        <row r="974">
          <cell r="C974">
            <v>45982</v>
          </cell>
          <cell r="D974">
            <v>344988</v>
          </cell>
          <cell r="E974">
            <v>63</v>
          </cell>
          <cell r="F974">
            <v>22845.53</v>
          </cell>
          <cell r="G974">
            <v>5451</v>
          </cell>
          <cell r="H974">
            <v>2408</v>
          </cell>
          <cell r="I974">
            <v>140181</v>
          </cell>
          <cell r="J974">
            <v>164543</v>
          </cell>
          <cell r="K974">
            <v>44786.93</v>
          </cell>
          <cell r="L974">
            <v>13491</v>
          </cell>
          <cell r="M974">
            <v>436461</v>
          </cell>
          <cell r="N974">
            <v>7412</v>
          </cell>
          <cell r="O974">
            <v>4767</v>
          </cell>
          <cell r="P974">
            <v>0</v>
          </cell>
          <cell r="Q974">
            <v>0</v>
          </cell>
          <cell r="R974">
            <v>136682.65625</v>
          </cell>
          <cell r="S974">
            <v>12.780796665411284</v>
          </cell>
          <cell r="T974">
            <v>4.8939999999999999E-3</v>
          </cell>
          <cell r="U974">
            <v>3.4079575927305102E-3</v>
          </cell>
          <cell r="V974">
            <v>2.8000000000000001E-2</v>
          </cell>
          <cell r="W974">
            <v>0.28944999999999999</v>
          </cell>
          <cell r="X974">
            <v>1.18</v>
          </cell>
          <cell r="Y974">
            <v>10.4</v>
          </cell>
          <cell r="Z974">
            <v>0</v>
          </cell>
          <cell r="AA974">
            <v>0</v>
          </cell>
          <cell r="AB974">
            <v>0</v>
          </cell>
          <cell r="AC974">
            <v>0.20444743973472801</v>
          </cell>
          <cell r="AD974">
            <v>7.1471653447431241E-2</v>
          </cell>
          <cell r="AE974">
            <v>0</v>
          </cell>
          <cell r="AF974">
            <v>14.465449232189428</v>
          </cell>
          <cell r="AG974">
            <v>6.1311995020001877</v>
          </cell>
          <cell r="AH974">
            <v>202511</v>
          </cell>
          <cell r="AJ974" t="str">
            <v>BC-10:ALM-1 Train-C, AW1 Abalone, ALM-2 Train-B and ALM-3 Train-A are offline (Planned Shutdown Preparations)
Vankor:Prod'n deferred due to repair of defective sections of oil gathering pipeline.</v>
          </cell>
        </row>
        <row r="975">
          <cell r="C975">
            <v>45983</v>
          </cell>
          <cell r="D975">
            <v>333769</v>
          </cell>
          <cell r="E975">
            <v>13</v>
          </cell>
          <cell r="F975">
            <v>22795.79</v>
          </cell>
          <cell r="G975">
            <v>5547</v>
          </cell>
          <cell r="H975">
            <v>2420</v>
          </cell>
          <cell r="I975">
            <v>140181</v>
          </cell>
          <cell r="J975">
            <v>167628</v>
          </cell>
          <cell r="K975">
            <v>46204.11</v>
          </cell>
          <cell r="L975">
            <v>12989</v>
          </cell>
          <cell r="M975">
            <v>460849</v>
          </cell>
          <cell r="N975">
            <v>7525</v>
          </cell>
          <cell r="O975">
            <v>4790</v>
          </cell>
          <cell r="P975">
            <v>0</v>
          </cell>
          <cell r="Q975">
            <v>0</v>
          </cell>
          <cell r="R975">
            <v>138398.62</v>
          </cell>
          <cell r="S975">
            <v>12.772867955837091</v>
          </cell>
          <cell r="T975">
            <v>3.952E-2</v>
          </cell>
          <cell r="U975">
            <v>3.4079575927305102E-3</v>
          </cell>
          <cell r="V975">
            <v>3.4000000000000002E-2</v>
          </cell>
          <cell r="W975">
            <v>0.28613</v>
          </cell>
          <cell r="X975">
            <v>1.18</v>
          </cell>
          <cell r="Y975">
            <v>10.41</v>
          </cell>
          <cell r="Z975">
            <v>0</v>
          </cell>
          <cell r="AA975">
            <v>0</v>
          </cell>
          <cell r="AB975">
            <v>0</v>
          </cell>
          <cell r="AC975">
            <v>0.215774167697871</v>
          </cell>
          <cell r="AD975">
            <v>7.0593832030287657E-2</v>
          </cell>
          <cell r="AE975">
            <v>0</v>
          </cell>
          <cell r="AF975">
            <v>14.464288242573206</v>
          </cell>
          <cell r="AG975">
            <v>6.1432940505194722</v>
          </cell>
          <cell r="AH975">
            <v>202511</v>
          </cell>
          <cell r="AJ975" t="str">
            <v>BC-10:ALM-1 Train-C, AW1 Abalone, ALM-2 Train-B and ALM-3 Train-A are offline (Planned Shutdown Preparations)
Vankor:Prod'n deferred due to repair of defective sections of oil gathering pipeline.</v>
          </cell>
        </row>
        <row r="976">
          <cell r="C976">
            <v>45984</v>
          </cell>
          <cell r="D976">
            <v>300560</v>
          </cell>
          <cell r="E976">
            <v>0</v>
          </cell>
          <cell r="F976">
            <v>22802.82</v>
          </cell>
          <cell r="G976">
            <v>5527</v>
          </cell>
          <cell r="H976">
            <v>2419</v>
          </cell>
          <cell r="I976">
            <v>140181</v>
          </cell>
          <cell r="J976">
            <v>166566</v>
          </cell>
          <cell r="K976">
            <v>47789.64</v>
          </cell>
          <cell r="L976">
            <v>10664</v>
          </cell>
          <cell r="M976">
            <v>457644</v>
          </cell>
          <cell r="N976">
            <v>7578</v>
          </cell>
          <cell r="O976">
            <v>4970</v>
          </cell>
          <cell r="P976">
            <v>0</v>
          </cell>
          <cell r="Q976">
            <v>0</v>
          </cell>
          <cell r="R976">
            <v>136926.65400000001</v>
          </cell>
          <cell r="S976">
            <v>12.71028778384072</v>
          </cell>
          <cell r="T976">
            <v>2.1170999999999999E-2</v>
          </cell>
          <cell r="U976">
            <v>3.4079575927305102E-3</v>
          </cell>
          <cell r="V976">
            <v>3.5000000000000003E-2</v>
          </cell>
          <cell r="W976">
            <v>0.28329000000000004</v>
          </cell>
          <cell r="X976">
            <v>1.18</v>
          </cell>
          <cell r="Y976">
            <v>10.29</v>
          </cell>
          <cell r="Z976">
            <v>0</v>
          </cell>
          <cell r="AA976">
            <v>0</v>
          </cell>
          <cell r="AB976">
            <v>0</v>
          </cell>
          <cell r="AC976">
            <v>0.21747317689234227</v>
          </cell>
          <cell r="AD976">
            <v>7.0112446091854103E-2</v>
          </cell>
          <cell r="AE976">
            <v>0</v>
          </cell>
          <cell r="AF976">
            <v>14.464797945331547</v>
          </cell>
          <cell r="AG976">
            <v>6.1030503365935154</v>
          </cell>
          <cell r="AH976">
            <v>202511</v>
          </cell>
          <cell r="AJ976" t="str">
            <v>BC-10:ALM-1 Train-C, AW1 Abalone, ALM-2 Train-B and ALM-3 Train-A are offline (Planned Shutdown Preparations)
Vankor:Prod'n deferred due to repair of defective sections of oil gathering pipeline.</v>
          </cell>
        </row>
        <row r="977">
          <cell r="C977">
            <v>45985</v>
          </cell>
          <cell r="D977">
            <v>319586</v>
          </cell>
          <cell r="E977">
            <v>0</v>
          </cell>
          <cell r="F977">
            <v>22801.02</v>
          </cell>
          <cell r="G977">
            <v>5544</v>
          </cell>
          <cell r="H977">
            <v>2386</v>
          </cell>
          <cell r="I977">
            <v>134940</v>
          </cell>
          <cell r="J977">
            <v>163972</v>
          </cell>
          <cell r="K977">
            <v>45647.5</v>
          </cell>
          <cell r="L977">
            <v>14859</v>
          </cell>
          <cell r="M977">
            <v>448351</v>
          </cell>
          <cell r="N977">
            <v>7518</v>
          </cell>
          <cell r="O977">
            <v>4892</v>
          </cell>
          <cell r="P977">
            <v>0</v>
          </cell>
          <cell r="Q977">
            <v>0</v>
          </cell>
          <cell r="R977">
            <v>135801.75325000001</v>
          </cell>
          <cell r="S977">
            <v>12.94503422087686</v>
          </cell>
          <cell r="T977">
            <v>1.1594E-2</v>
          </cell>
          <cell r="U977">
            <v>3.4079575927305102E-3</v>
          </cell>
          <cell r="V977">
            <v>3.3000000000000002E-2</v>
          </cell>
          <cell r="W977">
            <v>0.28050999999999998</v>
          </cell>
          <cell r="X977">
            <v>1.18</v>
          </cell>
          <cell r="Y977">
            <v>10.25</v>
          </cell>
          <cell r="Z977">
            <v>0</v>
          </cell>
          <cell r="AA977">
            <v>0</v>
          </cell>
          <cell r="AB977">
            <v>0</v>
          </cell>
          <cell r="AC977">
            <v>0.21634050409602798</v>
          </cell>
          <cell r="AD977">
            <v>6.97160106131441E-2</v>
          </cell>
          <cell r="AE977">
            <v>0</v>
          </cell>
          <cell r="AF977">
            <v>13.890447887140482</v>
          </cell>
          <cell r="AG977">
            <v>5.9952282017852632</v>
          </cell>
          <cell r="AH977">
            <v>202511</v>
          </cell>
          <cell r="AJ977" t="str">
            <v xml:space="preserve">BC-10:ALM-1 Train-C, AW1 Abalone, ALM-2 Train-B and ALM-3 Train-A are offline (Planned Shutdown Preparations)
Vankor:Prod'n deferred due to repair of defective sections of oil gathering pipeline.
A1-A3:Prod'n deferred due to reduced nomination of CNUOC.
</v>
          </cell>
        </row>
        <row r="978">
          <cell r="C978">
            <v>45986</v>
          </cell>
          <cell r="D978">
            <v>332692</v>
          </cell>
          <cell r="E978">
            <v>0</v>
          </cell>
          <cell r="F978">
            <v>22752.91</v>
          </cell>
          <cell r="G978">
            <v>5610</v>
          </cell>
          <cell r="H978">
            <v>2393</v>
          </cell>
          <cell r="I978">
            <v>134940</v>
          </cell>
          <cell r="J978">
            <v>157745</v>
          </cell>
          <cell r="K978">
            <v>50375.97</v>
          </cell>
          <cell r="L978">
            <v>14136</v>
          </cell>
          <cell r="M978">
            <v>450931</v>
          </cell>
          <cell r="N978">
            <v>7623</v>
          </cell>
          <cell r="O978">
            <v>4786</v>
          </cell>
          <cell r="P978">
            <v>0</v>
          </cell>
          <cell r="Q978">
            <v>0</v>
          </cell>
          <cell r="R978">
            <v>135652.45049999998</v>
          </cell>
          <cell r="S978">
            <v>12.530192809226753</v>
          </cell>
          <cell r="T978">
            <v>1.3004E-2</v>
          </cell>
          <cell r="U978">
            <v>3.4079575927305102E-3</v>
          </cell>
          <cell r="V978">
            <v>3.4000000000000002E-2</v>
          </cell>
          <cell r="W978">
            <v>0.27538000000000001</v>
          </cell>
          <cell r="X978">
            <v>1.18</v>
          </cell>
          <cell r="Y978">
            <v>10.19</v>
          </cell>
          <cell r="Z978">
            <v>0</v>
          </cell>
          <cell r="AA978">
            <v>0</v>
          </cell>
          <cell r="AB978">
            <v>0</v>
          </cell>
          <cell r="AC978">
            <v>0.22398604547114939</v>
          </cell>
          <cell r="AD978">
            <v>0.10545183733685973</v>
          </cell>
          <cell r="AE978">
            <v>0</v>
          </cell>
          <cell r="AF978">
            <v>13.888125907908037</v>
          </cell>
          <cell r="AG978">
            <v>5.9779853942657306</v>
          </cell>
          <cell r="AH978">
            <v>202511</v>
          </cell>
          <cell r="AJ978" t="str">
            <v xml:space="preserve">BC-10:Planned shutdown till 16th of December 2025.
Vankor:Prod'n deferred due to repair of defective sections of oil gathering pipeline.
GPOC:Prod'n deferred due to power tripped.
A1-A3:Prod'n deferred due to reduced nomination of CNUOC.
</v>
          </cell>
        </row>
        <row r="979">
          <cell r="C979">
            <v>45987</v>
          </cell>
          <cell r="D979">
            <v>349499</v>
          </cell>
          <cell r="E979">
            <v>0</v>
          </cell>
          <cell r="F979">
            <v>22725.66</v>
          </cell>
          <cell r="G979">
            <v>5604</v>
          </cell>
          <cell r="H979">
            <v>2434</v>
          </cell>
          <cell r="I979">
            <v>134940</v>
          </cell>
          <cell r="J979">
            <v>162414</v>
          </cell>
          <cell r="K979">
            <v>49931.79</v>
          </cell>
          <cell r="L979">
            <v>12287</v>
          </cell>
          <cell r="M979">
            <v>455018</v>
          </cell>
          <cell r="N979">
            <v>7655</v>
          </cell>
          <cell r="O979">
            <v>4923</v>
          </cell>
          <cell r="P979">
            <v>0</v>
          </cell>
          <cell r="Q979">
            <v>0</v>
          </cell>
          <cell r="R979">
            <v>137041.60399999999</v>
          </cell>
          <cell r="S979">
            <v>12.571535366292224</v>
          </cell>
          <cell r="T979">
            <v>7.7889999999999999E-3</v>
          </cell>
          <cell r="U979">
            <v>3.4079575927305102E-3</v>
          </cell>
          <cell r="V979">
            <v>3.6999999999999998E-2</v>
          </cell>
          <cell r="W979">
            <v>0.27259</v>
          </cell>
          <cell r="X979">
            <v>1.18</v>
          </cell>
          <cell r="Y979">
            <v>10.32</v>
          </cell>
          <cell r="Z979">
            <v>0</v>
          </cell>
          <cell r="AA979">
            <v>0</v>
          </cell>
          <cell r="AB979">
            <v>0</v>
          </cell>
          <cell r="AC979">
            <v>0.22710089566101366</v>
          </cell>
          <cell r="AD979">
            <v>0.105791639175754</v>
          </cell>
          <cell r="AE979">
            <v>0</v>
          </cell>
          <cell r="AF979">
            <v>13.890023134841863</v>
          </cell>
          <cell r="AG979">
            <v>6.0110976968950887</v>
          </cell>
          <cell r="AH979">
            <v>202511</v>
          </cell>
          <cell r="AJ979" t="str">
            <v xml:space="preserve">BC-10:Full shutdown until 14 December. Prod'n ramp-up from 14 to 21 December 2025.
Vankor:Prod'n deferred due to repair of defective sections of oil gathering pipeline.
GPOC:Prod'n deferred due to power tripped.
A1-A3:Prod'n deferred due to reduced nomination of CNUOC.
</v>
          </cell>
        </row>
        <row r="980">
          <cell r="C980">
            <v>45988</v>
          </cell>
          <cell r="D980">
            <v>338894</v>
          </cell>
          <cell r="E980">
            <v>0</v>
          </cell>
          <cell r="F980">
            <v>22697.66</v>
          </cell>
          <cell r="G980">
            <v>5461</v>
          </cell>
          <cell r="H980">
            <v>2310</v>
          </cell>
          <cell r="I980">
            <v>134940</v>
          </cell>
          <cell r="J980">
            <v>160973</v>
          </cell>
          <cell r="K980">
            <v>50485.91</v>
          </cell>
          <cell r="L980">
            <v>11854</v>
          </cell>
          <cell r="M980">
            <v>458542</v>
          </cell>
          <cell r="N980">
            <v>7609</v>
          </cell>
          <cell r="O980">
            <v>5040</v>
          </cell>
          <cell r="P980">
            <v>0</v>
          </cell>
          <cell r="Q980">
            <v>0</v>
          </cell>
          <cell r="R980">
            <v>136358.41649999999</v>
          </cell>
          <cell r="S980">
            <v>12.586826449042466</v>
          </cell>
          <cell r="T980">
            <v>6.0099999999999997E-3</v>
          </cell>
          <cell r="U980">
            <v>3.4079575927305102E-3</v>
          </cell>
          <cell r="V980">
            <v>3.4000000000000002E-2</v>
          </cell>
          <cell r="W980">
            <v>0.27113999999999999</v>
          </cell>
          <cell r="X980">
            <v>1.18</v>
          </cell>
          <cell r="Y980">
            <v>10.25</v>
          </cell>
          <cell r="Z980">
            <v>0</v>
          </cell>
          <cell r="AA980">
            <v>0</v>
          </cell>
          <cell r="AB980">
            <v>0</v>
          </cell>
          <cell r="AC980">
            <v>0.21888901788773513</v>
          </cell>
          <cell r="AD980">
            <v>0.10621639147437185</v>
          </cell>
          <cell r="AE980">
            <v>0</v>
          </cell>
          <cell r="AF980">
            <v>13.890844322619191</v>
          </cell>
          <cell r="AG980">
            <v>5.9893208273520653</v>
          </cell>
          <cell r="AH980">
            <v>202511</v>
          </cell>
          <cell r="AJ980" t="str">
            <v>Sakhalin-1:New prod'n data received from the operator.
Sakhalin-1:Prod'n defferred due to ongoing maintenance activities in Gas Injection Compressor in Chayvo.
BC-10:Full shutdown until 14 December. Prod'n ramp-up from 14 to 21 December 2025.
Vankor:Prod'n deferred due to repair of defective sections of oil gathering pipeline.Repair stages include shutdown of 27 wells. 
GPOC:Prod'n deferred due to power tripped.
A1-A3:Prod'n deferred due to reduced nomination of CNUOC.</v>
          </cell>
        </row>
        <row r="981">
          <cell r="C981">
            <v>45989</v>
          </cell>
          <cell r="D981">
            <v>328275</v>
          </cell>
          <cell r="E981">
            <v>31</v>
          </cell>
          <cell r="F981">
            <v>22632.560000000001</v>
          </cell>
          <cell r="G981">
            <v>3792</v>
          </cell>
          <cell r="H981">
            <v>2372</v>
          </cell>
          <cell r="I981">
            <v>134940</v>
          </cell>
          <cell r="J981">
            <v>164280</v>
          </cell>
          <cell r="K981">
            <v>52633.65</v>
          </cell>
          <cell r="L981">
            <v>13368</v>
          </cell>
          <cell r="M981">
            <v>454825</v>
          </cell>
          <cell r="N981">
            <v>7625</v>
          </cell>
          <cell r="O981">
            <v>4987</v>
          </cell>
          <cell r="P981">
            <v>0</v>
          </cell>
          <cell r="Q981">
            <v>0</v>
          </cell>
          <cell r="R981">
            <v>136831.99825</v>
          </cell>
          <cell r="S981">
            <v>12.57238487088946</v>
          </cell>
          <cell r="T981">
            <v>5.6829999999999997E-3</v>
          </cell>
          <cell r="U981">
            <v>3.4079575927305102E-3</v>
          </cell>
          <cell r="V981">
            <v>3.4000000000000002E-2</v>
          </cell>
          <cell r="W981">
            <v>0.28820000000000001</v>
          </cell>
          <cell r="X981">
            <v>1.18</v>
          </cell>
          <cell r="Y981">
            <v>10.210000000000001</v>
          </cell>
          <cell r="Z981">
            <v>0</v>
          </cell>
          <cell r="AA981">
            <v>0</v>
          </cell>
          <cell r="AB981">
            <v>0</v>
          </cell>
          <cell r="AC981">
            <v>0.22030485888312798</v>
          </cell>
          <cell r="AD981">
            <v>6.5298586707518397E-2</v>
          </cell>
          <cell r="AE981">
            <v>0</v>
          </cell>
          <cell r="AF981">
            <v>13.889938184382141</v>
          </cell>
          <cell r="AG981">
            <v>5.9791046982935434</v>
          </cell>
          <cell r="AH981">
            <v>202511</v>
          </cell>
          <cell r="AJ981" t="str">
            <v>Sakhalin-1:Prod'n defferred due to ongoing maintenance activities in Gas Injection Compressor in Chayvo.
BC-10:Full shutdown until 14 December. Prod'n ramp-up from 14 to 21 December 2025.
Vankor:Prod'n deferred due to repair of defective sections of oil gathering pipeline.Repair stages include shutdown of 27 wells. 
A1-A3:Prod'n deferred due to reduced nomination of CNUOC.</v>
          </cell>
        </row>
        <row r="982">
          <cell r="C982">
            <v>45990</v>
          </cell>
          <cell r="D982">
            <v>348212</v>
          </cell>
          <cell r="E982">
            <v>0</v>
          </cell>
          <cell r="F982">
            <v>22715.609999999997</v>
          </cell>
          <cell r="G982">
            <v>5382</v>
          </cell>
          <cell r="H982">
            <v>2373</v>
          </cell>
          <cell r="I982">
            <v>134940</v>
          </cell>
          <cell r="J982">
            <v>160420</v>
          </cell>
          <cell r="K982">
            <v>53764.41</v>
          </cell>
          <cell r="L982">
            <v>13108</v>
          </cell>
          <cell r="M982">
            <v>464916</v>
          </cell>
          <cell r="N982">
            <v>7630</v>
          </cell>
          <cell r="O982">
            <v>4726</v>
          </cell>
          <cell r="P982">
            <v>0</v>
          </cell>
          <cell r="Q982">
            <v>0</v>
          </cell>
          <cell r="R982">
            <v>137777.07550000001</v>
          </cell>
          <cell r="S982">
            <v>12.786743197591935</v>
          </cell>
          <cell r="T982">
            <v>5.1029999999999999E-3</v>
          </cell>
          <cell r="U982">
            <v>3.4079575927305102E-3</v>
          </cell>
          <cell r="V982">
            <v>3.4000000000000002E-2</v>
          </cell>
          <cell r="W982">
            <v>0.28898000000000001</v>
          </cell>
          <cell r="X982">
            <v>1.18</v>
          </cell>
          <cell r="Y982">
            <v>10.42</v>
          </cell>
          <cell r="Z982">
            <v>0</v>
          </cell>
          <cell r="AA982">
            <v>0</v>
          </cell>
          <cell r="AB982">
            <v>0</v>
          </cell>
          <cell r="AC982">
            <v>0.22823356845732798</v>
          </cell>
          <cell r="AD982">
            <v>8.789540899398833E-2</v>
          </cell>
          <cell r="AE982">
            <v>0</v>
          </cell>
          <cell r="AF982">
            <v>13.889343531164075</v>
          </cell>
          <cell r="AG982">
            <v>6.0504078752702704</v>
          </cell>
          <cell r="AH982">
            <v>202511</v>
          </cell>
          <cell r="AJ982" t="str">
            <v>Sakhalin-1:Prod'n defferred due to ongoing maintenance activities in Gas Injection Compressor in Chayvo.
BC-10:Full shutdown until 14 December. Prod'n ramp-up from 14 to 21 December 2025.
Vankor:Prod'n deferred due to repair of defective sections of oil gathering pipeline.Repair stages include shutdown of 27 wells. 
A1-A3:Prod'n deferred due to reduced nomination of CNUOC.</v>
          </cell>
        </row>
        <row r="983">
          <cell r="C983">
            <v>45991</v>
          </cell>
          <cell r="D983">
            <v>342550</v>
          </cell>
          <cell r="E983">
            <v>0</v>
          </cell>
          <cell r="F983">
            <v>22690.11</v>
          </cell>
          <cell r="G983">
            <v>5438</v>
          </cell>
          <cell r="H983">
            <v>2315</v>
          </cell>
          <cell r="I983">
            <v>134940</v>
          </cell>
          <cell r="J983">
            <v>161253</v>
          </cell>
          <cell r="K983">
            <v>50779.15</v>
          </cell>
          <cell r="L983">
            <v>11803</v>
          </cell>
          <cell r="M983">
            <v>418419</v>
          </cell>
          <cell r="N983">
            <v>7724</v>
          </cell>
          <cell r="O983">
            <v>5044</v>
          </cell>
          <cell r="P983">
            <v>0</v>
          </cell>
          <cell r="Q983">
            <v>0</v>
          </cell>
          <cell r="R983">
            <v>134996.70575000002</v>
          </cell>
          <cell r="S983">
            <v>12.671493740566959</v>
          </cell>
          <cell r="T983">
            <v>5.2570000000000004E-3</v>
          </cell>
          <cell r="U983">
            <v>3.4079575927305102E-3</v>
          </cell>
          <cell r="V983">
            <v>3.4000000000000002E-2</v>
          </cell>
          <cell r="W983">
            <v>0.28570000000000001</v>
          </cell>
          <cell r="X983">
            <v>1.18</v>
          </cell>
          <cell r="Y983">
            <v>10.47</v>
          </cell>
          <cell r="Z983">
            <v>0</v>
          </cell>
          <cell r="AA983">
            <v>0</v>
          </cell>
          <cell r="AB983">
            <v>0</v>
          </cell>
          <cell r="AC983">
            <v>0.2355959416333708</v>
          </cell>
          <cell r="AD983">
            <v>9.5710851288556886E-2</v>
          </cell>
          <cell r="AE983">
            <v>0</v>
          </cell>
          <cell r="AF983">
            <v>13.91978411256502</v>
          </cell>
          <cell r="AG983">
            <v>6.0659093454576425</v>
          </cell>
          <cell r="AH983">
            <v>202511</v>
          </cell>
          <cell r="AJ983" t="str">
            <v>Sakhalin-1:Prod'n defferred due to ongoing maintenance activities in Gas Injection Compressor in Chayvo.
BC-10:Full shutdown until 14 December. Prod'n ramp-up from 14 to 21 December 2025.
Vankor:Prod'n deferred due to repair of defective sections of oil gathering pipeline.Repair stages include shutdown of 27 wells. 
A1-A3:Prod'n deferred due to reduced nomination of CNUOC.</v>
          </cell>
        </row>
        <row r="984">
          <cell r="C984">
            <v>45992</v>
          </cell>
          <cell r="D984">
            <v>342069</v>
          </cell>
          <cell r="E984">
            <v>0</v>
          </cell>
          <cell r="F984">
            <v>22633.539999999997</v>
          </cell>
          <cell r="G984">
            <v>5405</v>
          </cell>
          <cell r="H984">
            <v>2317</v>
          </cell>
          <cell r="I984">
            <v>147959</v>
          </cell>
          <cell r="J984">
            <v>158212</v>
          </cell>
          <cell r="K984">
            <v>50908.83</v>
          </cell>
          <cell r="L984">
            <v>12219</v>
          </cell>
          <cell r="M984">
            <v>436912</v>
          </cell>
          <cell r="N984">
            <v>7634</v>
          </cell>
          <cell r="O984">
            <v>4913</v>
          </cell>
          <cell r="P984">
            <v>0</v>
          </cell>
          <cell r="Q984">
            <v>0</v>
          </cell>
          <cell r="R984">
            <v>137551.87750000003</v>
          </cell>
          <cell r="S984">
            <v>12.678006609145767</v>
          </cell>
          <cell r="T984">
            <v>5.0769999999999999E-3</v>
          </cell>
          <cell r="U984">
            <v>3.4079575927305102E-3</v>
          </cell>
          <cell r="V984">
            <v>3.5999999999999997E-2</v>
          </cell>
          <cell r="W984">
            <v>0.28498000000000001</v>
          </cell>
          <cell r="X984">
            <v>1.18</v>
          </cell>
          <cell r="Y984">
            <v>10.34</v>
          </cell>
          <cell r="Z984">
            <v>0</v>
          </cell>
          <cell r="AA984">
            <v>0</v>
          </cell>
          <cell r="AB984">
            <v>0</v>
          </cell>
          <cell r="AC984">
            <v>0.23049891404995654</v>
          </cell>
          <cell r="AD984">
            <v>0.12640628406867396</v>
          </cell>
          <cell r="AE984">
            <v>0</v>
          </cell>
          <cell r="AF984">
            <v>13.745522402852069</v>
          </cell>
          <cell r="AG984">
            <v>6.0146242562902419</v>
          </cell>
          <cell r="AH984">
            <v>202512</v>
          </cell>
          <cell r="AJ984" t="str">
            <v>Sakhalin-1:Prod'n defferred due to ongoing maintenance activities in Gas Injection Compressor in Chayvo.
BC-10:Full shutdown until 14 December. Prod'n ramp-up from 14 to 21 December 2025.
Vankor:Prod'n deferred due to repair of defective sections of oil gathering pipeline.Repair stages include shutdown of 27 wells. 
A1-A3:Prod'n deferred due to reduced nomination of CNUOC.</v>
          </cell>
        </row>
        <row r="985">
          <cell r="C985">
            <v>45993</v>
          </cell>
          <cell r="D985">
            <v>334564</v>
          </cell>
          <cell r="E985">
            <v>0</v>
          </cell>
          <cell r="F985">
            <v>22635.469999999998</v>
          </cell>
          <cell r="G985">
            <v>5345</v>
          </cell>
          <cell r="H985">
            <v>2311</v>
          </cell>
          <cell r="I985">
            <v>147959</v>
          </cell>
          <cell r="J985">
            <v>148721</v>
          </cell>
          <cell r="K985">
            <v>50036.53</v>
          </cell>
          <cell r="L985">
            <v>13099</v>
          </cell>
          <cell r="M985">
            <v>446502</v>
          </cell>
          <cell r="N985">
            <v>6846</v>
          </cell>
          <cell r="O985">
            <v>5263</v>
          </cell>
          <cell r="P985">
            <v>0</v>
          </cell>
          <cell r="Q985">
            <v>0</v>
          </cell>
          <cell r="R985">
            <v>135261.19225000002</v>
          </cell>
          <cell r="S985">
            <v>13.619824039281092</v>
          </cell>
          <cell r="T985">
            <v>5.7429999999999998E-3</v>
          </cell>
          <cell r="U985">
            <v>3.4079575927305102E-3</v>
          </cell>
          <cell r="V985">
            <v>0.03</v>
          </cell>
          <cell r="W985">
            <v>0.28505000000000003</v>
          </cell>
          <cell r="X985">
            <v>1.18</v>
          </cell>
          <cell r="Y985">
            <v>9.9600000000000009</v>
          </cell>
          <cell r="Z985">
            <v>0</v>
          </cell>
          <cell r="AA985">
            <v>0</v>
          </cell>
          <cell r="AB985">
            <v>0</v>
          </cell>
          <cell r="AC985">
            <v>0.23049891404995654</v>
          </cell>
          <cell r="AD985">
            <v>0.12640628406867396</v>
          </cell>
          <cell r="AE985">
            <v>0</v>
          </cell>
          <cell r="AF985">
            <v>13.746145372890041</v>
          </cell>
          <cell r="AG985">
            <v>5.9407281410281554</v>
          </cell>
          <cell r="AH985">
            <v>202512</v>
          </cell>
          <cell r="AJ985" t="str">
            <v>Sakhalin-1:New prod'n data received from the operator.
Sakhalin-1:Prod'n defferred due to ongoing maintenance activities in Gas Injection Compressor in Chayvo.
BC-10:Full shutdown until 14 December. Prod'n ramp-up from 14 to 21 December 2025.
Vankor:Prod'n deferred due to repair of defective sections of oil gathering pipeline.Repair stages include shutdown of 27 wells. 
A1-A3:Prod'n deferred due to reduced nomination of CNUOC.</v>
          </cell>
        </row>
        <row r="986">
          <cell r="C986">
            <v>45994</v>
          </cell>
          <cell r="D986">
            <v>332116</v>
          </cell>
          <cell r="E986">
            <v>0</v>
          </cell>
          <cell r="F986">
            <v>22637.46</v>
          </cell>
          <cell r="G986">
            <v>5419</v>
          </cell>
          <cell r="H986">
            <v>2300</v>
          </cell>
          <cell r="I986">
            <v>147959</v>
          </cell>
          <cell r="J986">
            <v>157299</v>
          </cell>
          <cell r="K986">
            <v>51183.18</v>
          </cell>
          <cell r="L986">
            <v>8353</v>
          </cell>
          <cell r="M986">
            <v>444133</v>
          </cell>
          <cell r="N986">
            <v>7372</v>
          </cell>
          <cell r="O986">
            <v>0</v>
          </cell>
          <cell r="P986">
            <v>0</v>
          </cell>
          <cell r="Q986">
            <v>0</v>
          </cell>
          <cell r="R986">
            <v>134446.85125000001</v>
          </cell>
          <cell r="S986">
            <v>15.111554112026997</v>
          </cell>
          <cell r="T986">
            <v>2.0149999999999999E-3</v>
          </cell>
          <cell r="U986">
            <v>3.4079575927305102E-3</v>
          </cell>
          <cell r="V986">
            <v>3.2000000000000001E-2</v>
          </cell>
          <cell r="W986">
            <v>0.28482000000000002</v>
          </cell>
          <cell r="X986">
            <v>1.18</v>
          </cell>
          <cell r="Y986">
            <v>10.09</v>
          </cell>
          <cell r="Z986">
            <v>0</v>
          </cell>
          <cell r="AA986">
            <v>0</v>
          </cell>
          <cell r="AB986">
            <v>0</v>
          </cell>
          <cell r="AC986">
            <v>0.22795040025824939</v>
          </cell>
          <cell r="AD986">
            <v>8.9594418188459757E-2</v>
          </cell>
          <cell r="AE986">
            <v>0</v>
          </cell>
          <cell r="AF986">
            <v>13.753507746066086</v>
          </cell>
          <cell r="AG986">
            <v>6.0041712062267276</v>
          </cell>
          <cell r="AH986">
            <v>202512</v>
          </cell>
          <cell r="AJ986" t="str">
            <v>Sakhalin-1:Prod'n defferred due to ongoing maintenance activities in Gas Injection Compressor in Chayvo.
BC-10:Full shutdown until 14 December. Prod'n ramp-up from 14 to 21 December 2025.
Vankor:Prod'n deferred due to repair of defective sections of oil gathering pipeline.Repair stages include shutdown of 27 wells. 
A1-A3:Prod'n deferred due to reduced nomination of CNUOC.
SCB:Prod'n deferred due to high water level in storage tank, can't fiscalize volume.
SPOC:Prod'n deferred due to Central Power Plant blackout.</v>
          </cell>
        </row>
        <row r="987">
          <cell r="C987">
            <v>45995</v>
          </cell>
          <cell r="D987">
            <v>337929</v>
          </cell>
          <cell r="E987">
            <v>0</v>
          </cell>
          <cell r="F987">
            <v>22214.94</v>
          </cell>
          <cell r="G987">
            <v>5451</v>
          </cell>
          <cell r="H987">
            <v>2328</v>
          </cell>
          <cell r="I987">
            <v>147959</v>
          </cell>
          <cell r="J987">
            <v>162683</v>
          </cell>
          <cell r="K987">
            <v>51228.24</v>
          </cell>
          <cell r="L987">
            <v>11659</v>
          </cell>
          <cell r="M987">
            <v>436114</v>
          </cell>
          <cell r="N987">
            <v>7430</v>
          </cell>
          <cell r="O987">
            <v>7018</v>
          </cell>
          <cell r="P987">
            <v>0</v>
          </cell>
          <cell r="Q987">
            <v>0</v>
          </cell>
          <cell r="R987">
            <v>139066.61500000002</v>
          </cell>
          <cell r="S987">
            <v>15.221989709667643</v>
          </cell>
          <cell r="T987">
            <v>1.06E-3</v>
          </cell>
          <cell r="U987">
            <v>3.4079575927305102E-3</v>
          </cell>
          <cell r="V987">
            <v>3.2907840000000001E-2</v>
          </cell>
          <cell r="W987">
            <v>0.28276000000000001</v>
          </cell>
          <cell r="X987">
            <v>1.18</v>
          </cell>
          <cell r="Y987">
            <v>10.24</v>
          </cell>
          <cell r="Z987">
            <v>0</v>
          </cell>
          <cell r="AA987">
            <v>0</v>
          </cell>
          <cell r="AB987">
            <v>0</v>
          </cell>
          <cell r="AC987">
            <v>0.23432168473751724</v>
          </cell>
          <cell r="AD987">
            <v>7.1160168428444803E-2</v>
          </cell>
          <cell r="AE987">
            <v>0</v>
          </cell>
          <cell r="AF987">
            <v>13.743030522700179</v>
          </cell>
          <cell r="AG987">
            <v>6.036083530874226</v>
          </cell>
          <cell r="AH987">
            <v>202512</v>
          </cell>
          <cell r="AJ987" t="str">
            <v>Sakhalin-1:Prod'n defferred due to ongoing maintenance activities in Gas Injection Compressor in Chayvo.
BC-10:Full shutdown until 14 December. Prod'n ramp-up from 14 to 21 December 2025.
Vankor:Prod'n deferred due to repair of defective sections of oil gathering pipeline.Repair stages include shutdown of 27 wells. 
A1-A3:Prod'n deferred due to reduced nomination of CNUOC.
SPOC:Prod'n deferred due to Central Power Plant blackout.</v>
          </cell>
        </row>
        <row r="988">
          <cell r="C988">
            <v>45996</v>
          </cell>
          <cell r="D988">
            <v>339344</v>
          </cell>
          <cell r="E988">
            <v>0</v>
          </cell>
          <cell r="F988">
            <v>22099.01</v>
          </cell>
          <cell r="G988">
            <v>5493</v>
          </cell>
          <cell r="H988">
            <v>2274</v>
          </cell>
          <cell r="I988">
            <v>147959</v>
          </cell>
          <cell r="J988">
            <v>159963</v>
          </cell>
          <cell r="K988">
            <v>49363.53</v>
          </cell>
          <cell r="L988">
            <v>13371</v>
          </cell>
          <cell r="M988">
            <v>431688</v>
          </cell>
          <cell r="N988">
            <v>7363</v>
          </cell>
          <cell r="O988">
            <v>6860</v>
          </cell>
          <cell r="P988">
            <v>0</v>
          </cell>
          <cell r="Q988">
            <v>0</v>
          </cell>
          <cell r="R988">
            <v>137985.88524999999</v>
          </cell>
          <cell r="S988">
            <v>14.113103042075965</v>
          </cell>
          <cell r="T988">
            <v>9.6599999999999995E-4</v>
          </cell>
          <cell r="U988">
            <v>3.4079575927305102E-3</v>
          </cell>
          <cell r="V988">
            <v>3.3009792000000003E-2</v>
          </cell>
          <cell r="W988">
            <v>0.28114</v>
          </cell>
          <cell r="X988">
            <v>1.18</v>
          </cell>
          <cell r="Y988">
            <v>10.25</v>
          </cell>
          <cell r="Z988">
            <v>0</v>
          </cell>
          <cell r="AA988">
            <v>0</v>
          </cell>
          <cell r="AB988">
            <v>0</v>
          </cell>
          <cell r="AC988">
            <v>0.24267514661033507</v>
          </cell>
          <cell r="AD988">
            <v>5.5331066099952704E-2</v>
          </cell>
          <cell r="AE988">
            <v>0</v>
          </cell>
          <cell r="AF988">
            <v>13.630924232684972</v>
          </cell>
          <cell r="AG988">
            <v>5.9801833624191971</v>
          </cell>
          <cell r="AH988">
            <v>202512</v>
          </cell>
          <cell r="AJ988" t="str">
            <v xml:space="preserve">Sakhalin-1:Prod'n defferred due to ongoing maintenance activities in Gas Injection Compressor in Chayvo.
BC-10:Full shutdown until 14 December. Prod'n ramp-up from 14 to 21 December 2025.
Vankor:Prod'n deferred due to repair of defective sections of oil gathering pipeline.Repair stages include shutdown of 27 wells. 
A1-A3:Prod'n deferred due to reduced nomination of CNUOC.
</v>
          </cell>
        </row>
        <row r="989">
          <cell r="C989">
            <v>45997</v>
          </cell>
          <cell r="D989">
            <v>336712</v>
          </cell>
          <cell r="E989">
            <v>0</v>
          </cell>
          <cell r="F989">
            <v>22559.63</v>
          </cell>
          <cell r="G989">
            <v>5396</v>
          </cell>
          <cell r="H989">
            <v>2271</v>
          </cell>
          <cell r="I989">
            <v>147959</v>
          </cell>
          <cell r="J989">
            <v>160702</v>
          </cell>
          <cell r="K989">
            <v>49815.07</v>
          </cell>
          <cell r="L989">
            <v>8414</v>
          </cell>
          <cell r="M989">
            <v>423808</v>
          </cell>
          <cell r="N989">
            <v>7219</v>
          </cell>
          <cell r="O989">
            <v>6273</v>
          </cell>
          <cell r="P989">
            <v>0</v>
          </cell>
          <cell r="Q989">
            <v>0</v>
          </cell>
          <cell r="R989">
            <v>136723.14200000002</v>
          </cell>
          <cell r="S989">
            <v>12.700376896872973</v>
          </cell>
          <cell r="T989">
            <v>7.7099999999999998E-4</v>
          </cell>
          <cell r="U989">
            <v>3.4079575927305102E-3</v>
          </cell>
          <cell r="V989">
            <v>3.9568704000000003E-2</v>
          </cell>
          <cell r="W989">
            <v>0.28148000000000001</v>
          </cell>
          <cell r="X989">
            <v>1.18</v>
          </cell>
          <cell r="Y989">
            <v>10.19</v>
          </cell>
          <cell r="Z989">
            <v>0</v>
          </cell>
          <cell r="AA989">
            <v>0</v>
          </cell>
          <cell r="AB989">
            <v>0</v>
          </cell>
          <cell r="AC989">
            <v>0.2315749532064551</v>
          </cell>
          <cell r="AD989">
            <v>7.0508881570564105E-2</v>
          </cell>
          <cell r="AE989">
            <v>0</v>
          </cell>
          <cell r="AF989">
            <v>13.630924232684972</v>
          </cell>
          <cell r="AG989">
            <v>5.9316780335858272</v>
          </cell>
          <cell r="AH989">
            <v>202512</v>
          </cell>
          <cell r="AJ989" t="str">
            <v>Sakhalin-1:Prod'n defferred due to ongoing maintenance activities in Gas Injection Compressor in Chayvo.
BC-10:Full shutdown until 14 December. Prod'n ramp-up from 14 to 21 December 2025.
Vankor:Prod'n deferred due to repair of defective sections of oil gathering pipeline.Repair stages include shutdown of 27 wells. 
A1-A3:Prod'n deferred due to reduced nomination of CNUOC.
SPOC:Prod'n deferred due to Central Power Plant blackout.</v>
          </cell>
        </row>
        <row r="990">
          <cell r="C990">
            <v>45998</v>
          </cell>
          <cell r="D990">
            <v>338252</v>
          </cell>
          <cell r="E990">
            <v>0</v>
          </cell>
          <cell r="F990">
            <v>22586.07</v>
          </cell>
          <cell r="G990">
            <v>5364</v>
          </cell>
          <cell r="H990">
            <v>2251</v>
          </cell>
          <cell r="I990">
            <v>147959</v>
          </cell>
          <cell r="J990">
            <v>162179</v>
          </cell>
          <cell r="K990">
            <v>49815.07</v>
          </cell>
          <cell r="L990">
            <v>14850</v>
          </cell>
          <cell r="M990">
            <v>419308</v>
          </cell>
          <cell r="N990">
            <v>7312</v>
          </cell>
          <cell r="O990">
            <v>5019</v>
          </cell>
          <cell r="P990">
            <v>0</v>
          </cell>
          <cell r="Q990">
            <v>0</v>
          </cell>
          <cell r="R990">
            <v>138016.03</v>
          </cell>
          <cell r="S990">
            <v>12.80429962593481</v>
          </cell>
          <cell r="T990">
            <v>8.2700000000000004E-4</v>
          </cell>
          <cell r="U990">
            <v>3.4079575927305102E-3</v>
          </cell>
          <cell r="V990">
            <v>3.2000000000000001E-2</v>
          </cell>
          <cell r="W990">
            <v>0.27954000000000001</v>
          </cell>
          <cell r="X990">
            <v>1.18</v>
          </cell>
          <cell r="Y990">
            <v>10.23</v>
          </cell>
          <cell r="AA990">
            <v>0</v>
          </cell>
          <cell r="AB990">
            <v>0</v>
          </cell>
          <cell r="AC990">
            <v>0.22285337267483513</v>
          </cell>
          <cell r="AD990">
            <v>7.0707099309919086E-2</v>
          </cell>
          <cell r="AE990">
            <v>0</v>
          </cell>
          <cell r="AF990">
            <v>13.630924232684972</v>
          </cell>
          <cell r="AG990">
            <v>5.93852845464815</v>
          </cell>
          <cell r="AH990">
            <v>202512</v>
          </cell>
          <cell r="AI990" t="str">
            <v>Prev. day data for GPOC</v>
          </cell>
          <cell r="AJ990" t="str">
            <v xml:space="preserve">Sakhalin-1:Prod'n defferred due to ongoing maintenance activities in Gas Injection Compressor in Chayvo.
BC-10:Full shutdown until 14 December. Prod'n ramp-up from 14 to 21 December 2025.
Vankor:Prod'n deferred due to repair of defective sections of oil gathering pipeline.Repair stages include shutdown of 27 wells. 
A1-A3:Prod'n deferred due to reduced nomination of CNUOC.
</v>
          </cell>
        </row>
        <row r="991">
          <cell r="C991">
            <v>45999</v>
          </cell>
          <cell r="D991">
            <v>329634</v>
          </cell>
          <cell r="E991">
            <v>0</v>
          </cell>
          <cell r="F991">
            <v>22560.22</v>
          </cell>
          <cell r="G991">
            <v>5324</v>
          </cell>
          <cell r="H991">
            <v>2319</v>
          </cell>
          <cell r="I991">
            <v>149582</v>
          </cell>
          <cell r="J991">
            <v>155814</v>
          </cell>
          <cell r="K991">
            <v>49815.07</v>
          </cell>
          <cell r="L991">
            <v>14423</v>
          </cell>
          <cell r="M991">
            <v>309999</v>
          </cell>
          <cell r="N991">
            <v>7299</v>
          </cell>
          <cell r="O991">
            <v>5045</v>
          </cell>
          <cell r="P991">
            <v>0</v>
          </cell>
          <cell r="Q991">
            <v>0</v>
          </cell>
          <cell r="R991">
            <v>131997.15475000002</v>
          </cell>
          <cell r="S991">
            <v>12.643460088858181</v>
          </cell>
          <cell r="T991">
            <v>6.0800000000000003E-4</v>
          </cell>
          <cell r="U991">
            <v>3.4079575927305102E-3</v>
          </cell>
          <cell r="V991">
            <v>3.5000000000000003E-2</v>
          </cell>
          <cell r="W991">
            <v>0.27826000000000001</v>
          </cell>
          <cell r="X991">
            <v>1.18</v>
          </cell>
          <cell r="Y991">
            <v>10.119999999999999</v>
          </cell>
          <cell r="AA991">
            <v>0</v>
          </cell>
          <cell r="AB991">
            <v>0</v>
          </cell>
          <cell r="AC991">
            <v>0.22766723205917078</v>
          </cell>
          <cell r="AD991">
            <v>0.10565005507621471</v>
          </cell>
          <cell r="AE991">
            <v>0</v>
          </cell>
          <cell r="AF991">
            <v>13.742973889060362</v>
          </cell>
          <cell r="AG991">
            <v>5.93893991661127</v>
          </cell>
          <cell r="AH991">
            <v>202512</v>
          </cell>
          <cell r="AI991" t="str">
            <v>Prev. day data for GPOC</v>
          </cell>
          <cell r="AJ991" t="str">
            <v xml:space="preserve">Sakhalin-1:Prod'n defferred due to ongoing maintenance activities in Gas Injection Compressor in Chayvo.
BC-10:Full shutdown until 14 December. Prod'n ramp-up from 14 to 21 December 2025.
Vankor:Prod'n deferred due to failure of oil-gathering pipeline, repair work requires shutdown of 59 wells.
A1-A3:Prod'n deferred due to reduced nomination of CNUOC.
LZC:Prod'n reduced due to planned maintenance activity.
</v>
          </cell>
        </row>
        <row r="992">
          <cell r="C992">
            <v>46000</v>
          </cell>
          <cell r="D992">
            <v>320016</v>
          </cell>
          <cell r="E992">
            <v>0</v>
          </cell>
          <cell r="F992">
            <v>22564.68</v>
          </cell>
          <cell r="G992">
            <v>5380</v>
          </cell>
          <cell r="H992">
            <v>2243</v>
          </cell>
          <cell r="I992">
            <v>149582</v>
          </cell>
          <cell r="J992">
            <v>160977</v>
          </cell>
          <cell r="K992">
            <v>49815.07</v>
          </cell>
          <cell r="L992">
            <v>9838</v>
          </cell>
          <cell r="M992">
            <v>309084</v>
          </cell>
          <cell r="N992">
            <v>7303</v>
          </cell>
          <cell r="O992">
            <v>5028</v>
          </cell>
          <cell r="P992">
            <v>0</v>
          </cell>
          <cell r="Q992">
            <v>0</v>
          </cell>
          <cell r="R992">
            <v>131864.239</v>
          </cell>
          <cell r="S992">
            <v>12.571535366292224</v>
          </cell>
          <cell r="T992">
            <v>6.1899999999999998E-4</v>
          </cell>
          <cell r="U992">
            <v>3.4079575927305102E-3</v>
          </cell>
          <cell r="V992">
            <v>3.3661152E-2</v>
          </cell>
          <cell r="W992">
            <v>0.27444999999999997</v>
          </cell>
          <cell r="X992">
            <v>1.18</v>
          </cell>
          <cell r="Y992">
            <v>10.01</v>
          </cell>
          <cell r="AA992">
            <v>0</v>
          </cell>
          <cell r="AB992">
            <v>0</v>
          </cell>
          <cell r="AC992">
            <v>0.22823356845732798</v>
          </cell>
          <cell r="AD992">
            <v>0.1117948049962197</v>
          </cell>
          <cell r="AE992">
            <v>0</v>
          </cell>
          <cell r="AF992">
            <v>14.029370205608428</v>
          </cell>
          <cell r="AG992">
            <v>5.9549672352611855</v>
          </cell>
          <cell r="AH992">
            <v>202512</v>
          </cell>
          <cell r="AI992" t="str">
            <v>Prev. day data for GPOC</v>
          </cell>
          <cell r="AJ992" t="str">
            <v>Sakhalin-1:Prod'n defferred due to ongoing maintenance activities in Gas Injection Compressor in Chayvo.
BC-10:Full shutdown until 14 December. Prod'n ramp-up from 14 to 21 December 2025.
Vankor:Prod'n deferred due to failure of oil-gathering pipeline, repair work requires shutdown of 59 wells.
SPOC:Prod'n deferred due to Central Power Plant blackout.
LZC:Prod'n reduced due to planned maintenance activity.</v>
          </cell>
        </row>
        <row r="993">
          <cell r="C993">
            <v>46001</v>
          </cell>
          <cell r="D993">
            <v>343783</v>
          </cell>
          <cell r="E993">
            <v>0</v>
          </cell>
          <cell r="F993">
            <v>22550.11</v>
          </cell>
          <cell r="G993">
            <v>5260</v>
          </cell>
          <cell r="H993">
            <v>2244</v>
          </cell>
          <cell r="I993">
            <v>149582</v>
          </cell>
          <cell r="J993">
            <v>162029</v>
          </cell>
          <cell r="K993">
            <v>49815.07</v>
          </cell>
          <cell r="L993">
            <v>6022</v>
          </cell>
          <cell r="M993">
            <v>417251</v>
          </cell>
          <cell r="N993">
            <v>7401</v>
          </cell>
          <cell r="O993">
            <v>4936</v>
          </cell>
          <cell r="P993">
            <v>0</v>
          </cell>
          <cell r="Q993">
            <v>0</v>
          </cell>
          <cell r="R993">
            <v>136143.79474999997</v>
          </cell>
          <cell r="S993">
            <v>12.654503648622248</v>
          </cell>
          <cell r="T993">
            <v>6.0400000000000004E-4</v>
          </cell>
          <cell r="U993">
            <v>3.4079575927305102E-3</v>
          </cell>
          <cell r="V993">
            <v>3.4236048000000005E-2</v>
          </cell>
          <cell r="W993">
            <v>0.27781</v>
          </cell>
          <cell r="X993">
            <v>1.18</v>
          </cell>
          <cell r="Y993">
            <v>9.89</v>
          </cell>
          <cell r="AA993">
            <v>0</v>
          </cell>
          <cell r="AB993">
            <v>0</v>
          </cell>
          <cell r="AC993">
            <v>0.22823356845732798</v>
          </cell>
          <cell r="AD993">
            <v>0.13235281624932393</v>
          </cell>
          <cell r="AE993">
            <v>0</v>
          </cell>
          <cell r="AF993">
            <v>14.030049809286217</v>
          </cell>
          <cell r="AG993">
            <v>5.9381761926458045</v>
          </cell>
          <cell r="AH993">
            <v>202512</v>
          </cell>
          <cell r="AI993" t="str">
            <v>Prev. day data for GPOC</v>
          </cell>
          <cell r="AJ993" t="str">
            <v>Sakhalin-1:Prod'n defferred due to ongoing maintenance activities in Gas Injection Compressor in Chayvo.
BC-10:Full shutdown until 14 Dec. Prod'n ramp-up from 14 to 21 Dec 2025.
Vankor:Prod'n deferred due to failure of oil-gathering pipeline.
SPOC:Prod'n deferred due to Central Power Plant blackout.
LZC:Prod'n reduced due to planned maintenance activity.
GPOC:Export of crude oil was halted due to security concerns &amp; diverted to local Crude Oil Storage Tanks. Reconciled production &amp; DPR are unavailable.</v>
          </cell>
        </row>
        <row r="994">
          <cell r="C994">
            <v>46002</v>
          </cell>
          <cell r="D994">
            <v>346203</v>
          </cell>
          <cell r="E994">
            <v>0</v>
          </cell>
          <cell r="F994">
            <v>22545.7</v>
          </cell>
          <cell r="G994">
            <v>5164</v>
          </cell>
          <cell r="H994">
            <v>2279</v>
          </cell>
          <cell r="I994">
            <v>149582</v>
          </cell>
          <cell r="J994">
            <v>162247</v>
          </cell>
          <cell r="K994">
            <v>49815.07</v>
          </cell>
          <cell r="L994">
            <v>1200</v>
          </cell>
          <cell r="M994">
            <v>409082</v>
          </cell>
          <cell r="N994">
            <v>7393</v>
          </cell>
          <cell r="O994">
            <v>5100</v>
          </cell>
          <cell r="P994">
            <v>0</v>
          </cell>
          <cell r="Q994">
            <v>0</v>
          </cell>
          <cell r="R994">
            <v>134829.82525000002</v>
          </cell>
          <cell r="S994">
            <v>13.589808210178765</v>
          </cell>
          <cell r="T994">
            <v>7.6499999999999995E-4</v>
          </cell>
          <cell r="U994">
            <v>3.4079575927305102E-3</v>
          </cell>
          <cell r="V994">
            <v>3.3879216000000004E-2</v>
          </cell>
          <cell r="W994">
            <v>0.29531000000000002</v>
          </cell>
          <cell r="X994">
            <v>1.18</v>
          </cell>
          <cell r="Y994">
            <v>9.8699999999999992</v>
          </cell>
          <cell r="AA994">
            <v>0</v>
          </cell>
          <cell r="AB994">
            <v>0</v>
          </cell>
          <cell r="AC994">
            <v>0.23333059604074224</v>
          </cell>
          <cell r="AD994">
            <v>0.10443243182017686</v>
          </cell>
          <cell r="AE994">
            <v>0</v>
          </cell>
          <cell r="AF994">
            <v>14.032116937139492</v>
          </cell>
          <cell r="AG994">
            <v>5.9674428360689067</v>
          </cell>
          <cell r="AH994">
            <v>202512</v>
          </cell>
          <cell r="AI994" t="str">
            <v>Prev. day data for GPOC</v>
          </cell>
          <cell r="AJ994" t="str">
            <v>Sakhalin-1:Prod'n defferred due to ongoing maintenance activities in Gas Injection Compressor in Chayvo.
BC-10:Full shutdown until 14 Dec. Prod'n ramp-up from 14 to 21 Dec 2025.
Vankor:Prod'n deferred due to failure of oil-gathering pipeline.
SPOC:Prod'n deferred due to Central Power Plant blackout.
LZC:Prod'n reduced due to planned maintenance activity.
GPOC:Export of crude oil was halted due to security concerns &amp; diverted to local Crude Oil Storage Tanks. Reconciled production &amp; DPR are unavailable.</v>
          </cell>
        </row>
        <row r="995">
          <cell r="C995">
            <v>46003</v>
          </cell>
          <cell r="D995">
            <v>342426</v>
          </cell>
          <cell r="E995">
            <v>0</v>
          </cell>
          <cell r="F995">
            <v>22511.95</v>
          </cell>
          <cell r="G995">
            <v>5202</v>
          </cell>
          <cell r="H995">
            <v>2339</v>
          </cell>
          <cell r="I995">
            <v>149582</v>
          </cell>
          <cell r="J995">
            <v>163873</v>
          </cell>
          <cell r="K995">
            <v>49815.07</v>
          </cell>
          <cell r="L995">
            <v>1200</v>
          </cell>
          <cell r="M995">
            <v>426167</v>
          </cell>
          <cell r="N995">
            <v>7388</v>
          </cell>
          <cell r="O995">
            <v>4964</v>
          </cell>
          <cell r="P995">
            <v>0</v>
          </cell>
          <cell r="Q995">
            <v>0</v>
          </cell>
          <cell r="R995">
            <v>135825.93300000002</v>
          </cell>
          <cell r="S995">
            <v>12.514901726476509</v>
          </cell>
          <cell r="T995">
            <v>7.4399999999999998E-4</v>
          </cell>
          <cell r="U995">
            <v>3.4079575927305102E-3</v>
          </cell>
          <cell r="V995">
            <v>3.3573360000000003E-2</v>
          </cell>
          <cell r="W995">
            <v>0.30610000000000004</v>
          </cell>
          <cell r="X995">
            <v>1.18</v>
          </cell>
          <cell r="Y995">
            <v>10.09</v>
          </cell>
          <cell r="AA995">
            <v>0</v>
          </cell>
          <cell r="AB995">
            <v>0</v>
          </cell>
          <cell r="AC995">
            <v>0.23106525044811366</v>
          </cell>
          <cell r="AD995">
            <v>0.10443243182017686</v>
          </cell>
          <cell r="AE995">
            <v>0</v>
          </cell>
          <cell r="AF995">
            <v>14.031040897982992</v>
          </cell>
          <cell r="AG995">
            <v>6.0034011087488217</v>
          </cell>
          <cell r="AH995">
            <v>202512</v>
          </cell>
          <cell r="AI995" t="str">
            <v>Prev. day data for GPOC</v>
          </cell>
          <cell r="AJ995" t="str">
            <v>Sakhalin-1:Prod'n defferred due to ongoing maintenance activities in Gas Injection Compressor in Chayvo.
BC-10:Full shutdown until 14 Dec. Prod'n ramp-up from 14 to 21 Dec 2025.
Vankor:Prod'n deferred due to failure of oil-gathering pipeline.
SPOC:Prod'n deferred due to force majeure.
GPOC:Export of crude oil was halted due to security concerns &amp; diverted to local Crude Oil Storage Tanks. Reconciled production &amp; DPR are unavailable.</v>
          </cell>
        </row>
        <row r="996">
          <cell r="C996">
            <v>46004</v>
          </cell>
          <cell r="D996">
            <v>322618</v>
          </cell>
          <cell r="E996">
            <v>0</v>
          </cell>
          <cell r="F996">
            <v>22537.7</v>
          </cell>
          <cell r="G996">
            <v>5239</v>
          </cell>
          <cell r="H996">
            <v>2307</v>
          </cell>
          <cell r="I996">
            <v>149582</v>
          </cell>
          <cell r="J996">
            <v>164737</v>
          </cell>
          <cell r="K996">
            <v>49815.07</v>
          </cell>
          <cell r="L996">
            <v>1102</v>
          </cell>
          <cell r="M996">
            <v>435191</v>
          </cell>
          <cell r="N996">
            <v>7169</v>
          </cell>
          <cell r="O996">
            <v>5167</v>
          </cell>
          <cell r="P996">
            <v>0</v>
          </cell>
          <cell r="Q996">
            <v>0</v>
          </cell>
          <cell r="R996">
            <v>135870.1415</v>
          </cell>
          <cell r="S996">
            <v>14.201734688387553</v>
          </cell>
          <cell r="T996">
            <v>1.194E-3</v>
          </cell>
          <cell r="U996">
            <v>3.4079575927305102E-3</v>
          </cell>
          <cell r="V996">
            <v>3.2769072000000003E-2</v>
          </cell>
          <cell r="W996">
            <v>0.30101</v>
          </cell>
          <cell r="X996">
            <v>1.18</v>
          </cell>
          <cell r="Y996">
            <v>10.17</v>
          </cell>
          <cell r="AA996">
            <v>0</v>
          </cell>
          <cell r="AB996">
            <v>0</v>
          </cell>
          <cell r="AC996">
            <v>0.20699595352643516</v>
          </cell>
          <cell r="AD996">
            <v>0.10839678660727685</v>
          </cell>
          <cell r="AE996">
            <v>0</v>
          </cell>
          <cell r="AF996">
            <v>14.028605651470917</v>
          </cell>
          <cell r="AG996">
            <v>6.0666944562311222</v>
          </cell>
          <cell r="AH996">
            <v>202512</v>
          </cell>
          <cell r="AI996" t="str">
            <v>Prev. day data for GPOC</v>
          </cell>
          <cell r="AJ996" t="str">
            <v>Sakhalin-1:Prod'n defferred due to ongoing maintenance activities in Gas Injection Compressor in Chayvo.
BC-10:Full shutdown until 14 Dec. Prod'n ramp-up from 14 to 21 Dec 2025.
Vankor:Prod'n deferred due to failure of oil-gathering pipeline.
SPOC:Prod'n deferred due to force majeure.
GPOC:Export of crude oil was halted due to security concerns &amp; diverted to local Crude Oil Storage Tanks. Reconciled production &amp; DPR are unavailable.</v>
          </cell>
        </row>
        <row r="997">
          <cell r="C997">
            <v>46005</v>
          </cell>
          <cell r="D997">
            <v>332330</v>
          </cell>
          <cell r="E997">
            <v>0</v>
          </cell>
          <cell r="F997">
            <v>22528.309999999998</v>
          </cell>
          <cell r="G997">
            <v>5115</v>
          </cell>
          <cell r="H997">
            <v>2292</v>
          </cell>
          <cell r="I997">
            <v>149582</v>
          </cell>
          <cell r="J997">
            <v>164053</v>
          </cell>
          <cell r="K997">
            <v>49815.07</v>
          </cell>
          <cell r="L997">
            <v>1200</v>
          </cell>
          <cell r="M997">
            <v>439777</v>
          </cell>
          <cell r="N997">
            <v>7062</v>
          </cell>
          <cell r="O997">
            <v>5012</v>
          </cell>
          <cell r="P997">
            <v>0</v>
          </cell>
          <cell r="Q997">
            <v>0</v>
          </cell>
          <cell r="R997">
            <v>136026.117</v>
          </cell>
          <cell r="S997">
            <v>12.807131307925593</v>
          </cell>
          <cell r="T997">
            <v>4.7100000000000001E-4</v>
          </cell>
          <cell r="U997">
            <v>3.4079575927305102E-3</v>
          </cell>
          <cell r="V997">
            <v>3.2613311999999998E-2</v>
          </cell>
          <cell r="W997">
            <v>0.29485</v>
          </cell>
          <cell r="X997">
            <v>1.18</v>
          </cell>
          <cell r="Y997">
            <v>10.210000000000001</v>
          </cell>
          <cell r="AA997">
            <v>0</v>
          </cell>
          <cell r="AB997">
            <v>0</v>
          </cell>
          <cell r="AC997">
            <v>0.23219792324442792</v>
          </cell>
          <cell r="AD997">
            <v>0.10060966113261616</v>
          </cell>
          <cell r="AE997">
            <v>0</v>
          </cell>
          <cell r="AF997">
            <v>14.016571003010077</v>
          </cell>
          <cell r="AG997">
            <v>6.0274806935933816</v>
          </cell>
          <cell r="AH997">
            <v>202512</v>
          </cell>
          <cell r="AI997" t="str">
            <v>Prev. day data for GPOC</v>
          </cell>
          <cell r="AJ997" t="str">
            <v>Sakhalin-1:Prod'n defferred due to ongoing maintenance activities in Gas Injection Compressor in Chayvo.
BC-10:Full shutdown until 14 Dec. Prod'n ramp-up from 14 to 21 Dec 2025.
Vankor:Prod'n deferred due to failure of oil-gathering pipeline.
SPOC:Prod'n deferred due to force majeure.
GPOC:Export of crude oil was halted due to security concerns &amp; diverted to local Crude Oil Storage Tanks. Reconciled production &amp; DPR are unavailable.</v>
          </cell>
        </row>
        <row r="998">
          <cell r="C998">
            <v>46006</v>
          </cell>
          <cell r="D998">
            <v>328362</v>
          </cell>
          <cell r="E998">
            <v>0</v>
          </cell>
          <cell r="F998">
            <v>22524.63</v>
          </cell>
          <cell r="G998">
            <v>5133</v>
          </cell>
          <cell r="H998">
            <v>2312</v>
          </cell>
          <cell r="I998">
            <v>147524</v>
          </cell>
          <cell r="J998">
            <v>165160</v>
          </cell>
          <cell r="K998">
            <v>49815.07</v>
          </cell>
          <cell r="L998">
            <v>1166</v>
          </cell>
          <cell r="M998">
            <v>433361</v>
          </cell>
          <cell r="N998">
            <v>7102</v>
          </cell>
          <cell r="O998">
            <v>5032</v>
          </cell>
          <cell r="P998">
            <v>0</v>
          </cell>
          <cell r="Q998">
            <v>0</v>
          </cell>
          <cell r="R998">
            <v>135560.25449999998</v>
          </cell>
          <cell r="S998">
            <v>12.74256895853568</v>
          </cell>
          <cell r="T998">
            <v>2.1459999999999999E-3</v>
          </cell>
          <cell r="U998">
            <v>3.4079575927305102E-3</v>
          </cell>
          <cell r="V998">
            <v>0.03</v>
          </cell>
          <cell r="W998">
            <v>0.29114999999999996</v>
          </cell>
          <cell r="X998">
            <v>1.18</v>
          </cell>
          <cell r="Y998">
            <v>10.09</v>
          </cell>
          <cell r="AA998">
            <v>0</v>
          </cell>
          <cell r="AB998">
            <v>0</v>
          </cell>
          <cell r="AC998">
            <v>0.22455238186930654</v>
          </cell>
          <cell r="AD998">
            <v>8.984926956763048E-2</v>
          </cell>
          <cell r="AE998">
            <v>0</v>
          </cell>
          <cell r="AF998">
            <v>14.017477141247129</v>
          </cell>
          <cell r="AG998">
            <v>5.9848467161967678</v>
          </cell>
          <cell r="AH998">
            <v>202512</v>
          </cell>
          <cell r="AI998" t="str">
            <v>Prev. day data for GPOC</v>
          </cell>
          <cell r="AJ998" t="str">
            <v>Sakhalin-1:Prod'n defferred due to ongoing maintenance activities in Gas Injection Compressor in Chayvo.
BC-10:Full shutdown until 14 Dec. Prod'n ramp-up from 16 to 29 Dec 2025.
Vankor:Prod'n deferred due to failure of oil-gathering pipeline.
SPOC:Prod'n deferred due to force majeure.
GPOC:Export of crude oil was halted due to security concerns &amp; diverted to local Crude Oil Storage Tanks. Reconciled production &amp; DPR are unavailable.</v>
          </cell>
        </row>
        <row r="999">
          <cell r="C999">
            <v>46007</v>
          </cell>
          <cell r="D999">
            <v>343687</v>
          </cell>
          <cell r="E999">
            <v>0</v>
          </cell>
          <cell r="F999">
            <v>22519.25</v>
          </cell>
          <cell r="G999">
            <v>5108</v>
          </cell>
          <cell r="H999">
            <v>2280</v>
          </cell>
          <cell r="I999">
            <v>147524</v>
          </cell>
          <cell r="J999">
            <v>163914</v>
          </cell>
          <cell r="K999">
            <v>49815.07</v>
          </cell>
          <cell r="L999">
            <v>971</v>
          </cell>
          <cell r="M999">
            <v>360775</v>
          </cell>
          <cell r="N999">
            <v>7469</v>
          </cell>
          <cell r="O999">
            <v>5044</v>
          </cell>
          <cell r="P999">
            <v>0</v>
          </cell>
          <cell r="Q999">
            <v>0</v>
          </cell>
          <cell r="R999">
            <v>132730.97099999999</v>
          </cell>
          <cell r="S999">
            <v>12.811661999110852</v>
          </cell>
          <cell r="T999">
            <v>1.31E-3</v>
          </cell>
          <cell r="U999">
            <v>3.4079575927305102E-3</v>
          </cell>
          <cell r="V999">
            <v>3.1E-2</v>
          </cell>
          <cell r="W999">
            <v>0.28789999999999999</v>
          </cell>
          <cell r="X999">
            <v>1.18</v>
          </cell>
          <cell r="Y999">
            <v>10.210000000000001</v>
          </cell>
          <cell r="AA999">
            <v>0</v>
          </cell>
          <cell r="AB999">
            <v>0</v>
          </cell>
          <cell r="AC999">
            <v>0.22625139106377798</v>
          </cell>
          <cell r="AD999">
            <v>8.4978776543479059E-2</v>
          </cell>
          <cell r="AE999">
            <v>0</v>
          </cell>
          <cell r="AF999">
            <v>14.016882488029063</v>
          </cell>
          <cell r="AG999">
            <v>6.013229570388253</v>
          </cell>
          <cell r="AH999">
            <v>202512</v>
          </cell>
          <cell r="AI999" t="str">
            <v>Prev. day data for GPOC</v>
          </cell>
          <cell r="AJ999" t="str">
            <v>Sakhalin-1:Prod'n defferred due to ongoing maintenance activities in Gas Injection Compressor in Chayvo.
BC-10:Full shutdown until 14 Dec. Prod'n ramp-up from 16 to 31 Dec 2025.
Vankor:Prod'n deferred due to failure of oil-gathering pipeline.
SPOC:Prod'n deferred due to force majeure.
LZC:Prod’n deferred due to closure of Das Port for berthing caused by adverse weather.
GPOC:Reconciled production figures and DPRs are currently unavailable. Production has been deferred due to force majeure.</v>
          </cell>
        </row>
        <row r="1000">
          <cell r="C1000">
            <v>46008</v>
          </cell>
          <cell r="D1000">
            <v>335357</v>
          </cell>
          <cell r="E1000">
            <v>0</v>
          </cell>
          <cell r="F1000">
            <v>22476.79</v>
          </cell>
          <cell r="G1000">
            <v>3949</v>
          </cell>
          <cell r="H1000">
            <v>2292</v>
          </cell>
          <cell r="I1000">
            <v>147524</v>
          </cell>
          <cell r="J1000">
            <v>164235</v>
          </cell>
          <cell r="K1000">
            <v>49815.07</v>
          </cell>
          <cell r="L1000">
            <v>794</v>
          </cell>
          <cell r="M1000">
            <v>339153</v>
          </cell>
          <cell r="N1000">
            <v>7450</v>
          </cell>
          <cell r="O1000">
            <v>5036</v>
          </cell>
          <cell r="P1000">
            <v>0</v>
          </cell>
          <cell r="R1000">
            <v>131060.68524999999</v>
          </cell>
          <cell r="S1000">
            <v>12.763806573466573</v>
          </cell>
          <cell r="T1000">
            <v>-8.4999999999999995E-4</v>
          </cell>
          <cell r="U1000">
            <v>3.4079575927305102E-3</v>
          </cell>
          <cell r="V1000">
            <v>3.1E-2</v>
          </cell>
          <cell r="W1000">
            <v>0.29181000000000001</v>
          </cell>
          <cell r="X1000">
            <v>1.18</v>
          </cell>
          <cell r="Y1000">
            <v>10.06</v>
          </cell>
          <cell r="AA1000">
            <v>0</v>
          </cell>
          <cell r="AB1000">
            <v>0</v>
          </cell>
          <cell r="AC1000">
            <v>0.21911555244699799</v>
          </cell>
          <cell r="AD1000">
            <v>8.5799964320806901E-2</v>
          </cell>
          <cell r="AE1000">
            <v>0</v>
          </cell>
          <cell r="AF1000">
            <v>14.014843676995698</v>
          </cell>
          <cell r="AG1000">
            <v>5.9753535341755697</v>
          </cell>
          <cell r="AH1000">
            <v>202512</v>
          </cell>
          <cell r="AI1000" t="str">
            <v>Prev. day data for GPOC</v>
          </cell>
          <cell r="AJ1000" t="str">
            <v>Sakhalin-1:New prod'n data received from the operator.
Sakhalin-1:Prod'n defferred due to ongoing maintenance activities in Gas Injection Compressor in Chayvo.
PCB:The production report is unavailable due to a cyberattack affecting the system.
SCB:The production report is unavailable due to a cyberattack affecting the system.
BC-10:Prod'n ramp-up is ongoing from 16 to 31 Dec 2025.
Vankor:Prod'n deferred due to failure of oil-gathering pipeline.
SPOC:Prod'n deferred due to force majeure.
LZC:Prod’n deferred due to closure of Das Port for berthing caused by adverse weather.
GPOC:Reconciled production figures and DPRs are currently unavailable. Production has been deferred due to force majeure.</v>
          </cell>
        </row>
        <row r="1001">
          <cell r="C1001">
            <v>46009</v>
          </cell>
          <cell r="D1001">
            <v>322713</v>
          </cell>
          <cell r="E1001">
            <v>0</v>
          </cell>
          <cell r="F1001">
            <v>22462.510000000002</v>
          </cell>
          <cell r="G1001">
            <v>4260</v>
          </cell>
          <cell r="H1001">
            <v>2300</v>
          </cell>
          <cell r="I1001">
            <v>147524</v>
          </cell>
          <cell r="J1001">
            <v>164888</v>
          </cell>
          <cell r="K1001">
            <v>49815.07</v>
          </cell>
          <cell r="L1001">
            <v>793</v>
          </cell>
          <cell r="M1001">
            <v>419489</v>
          </cell>
          <cell r="N1001">
            <v>7594</v>
          </cell>
          <cell r="O1001">
            <v>5000</v>
          </cell>
          <cell r="P1001">
            <v>0</v>
          </cell>
          <cell r="Q1001">
            <v>0</v>
          </cell>
          <cell r="R1001">
            <v>134228.77100000001</v>
          </cell>
          <cell r="S1001">
            <v>12.660450180802899</v>
          </cell>
          <cell r="T1001">
            <v>5.4970000000000001E-3</v>
          </cell>
          <cell r="U1001">
            <v>3.4079575927305102E-3</v>
          </cell>
          <cell r="V1001">
            <v>3.1E-2</v>
          </cell>
          <cell r="W1001">
            <v>0.29181000000000001</v>
          </cell>
          <cell r="X1001">
            <v>1.18</v>
          </cell>
          <cell r="Y1001">
            <v>10.08</v>
          </cell>
          <cell r="AA1001">
            <v>0</v>
          </cell>
          <cell r="AB1001">
            <v>0</v>
          </cell>
          <cell r="AC1001">
            <v>0.21968188884515513</v>
          </cell>
          <cell r="AD1001">
            <v>9.4974613970952609E-2</v>
          </cell>
          <cell r="AE1001">
            <v>0</v>
          </cell>
          <cell r="AF1001">
            <v>14.300475439406252</v>
          </cell>
          <cell r="AG1001">
            <v>6.0315336061638067</v>
          </cell>
          <cell r="AH1001">
            <v>202512</v>
          </cell>
          <cell r="AI1001" t="str">
            <v>Prev. day data for GPOC</v>
          </cell>
          <cell r="AJ1001" t="str">
            <v>Sakhalin-1:Prod'n defferred due to ongoing maintenance activities in Gas Injection Compressor in Chayvo.
PCB &amp; SCB:DPR is unavailable due to a cyberattack affecting the system.
BC-10:Prod'n ramp-up is ongoing from 16 to 31 Dec 2025. MECL:Prod'n deferred due to efficiency issues (stabilization after service,gas interference), ongoing and waiting well services.
Vankor:Prod'n deferred due to failure of oil-gathering pipeline.
SPOC &amp; GPOC:Prod'n figures are currently unavailable due to force majeure.</v>
          </cell>
        </row>
        <row r="1002">
          <cell r="C1002">
            <v>46010</v>
          </cell>
          <cell r="D1002">
            <v>344143</v>
          </cell>
          <cell r="E1002">
            <v>0</v>
          </cell>
          <cell r="F1002">
            <v>22443.69</v>
          </cell>
          <cell r="G1002">
            <v>4542</v>
          </cell>
          <cell r="H1002">
            <v>2256</v>
          </cell>
          <cell r="I1002">
            <v>147524</v>
          </cell>
          <cell r="J1002">
            <v>163040</v>
          </cell>
          <cell r="K1002">
            <v>49815.07</v>
          </cell>
          <cell r="L1002">
            <v>437</v>
          </cell>
          <cell r="M1002">
            <v>243799</v>
          </cell>
          <cell r="N1002">
            <v>7474</v>
          </cell>
          <cell r="O1002">
            <v>5072</v>
          </cell>
          <cell r="P1002">
            <v>0</v>
          </cell>
          <cell r="Q1002">
            <v>0</v>
          </cell>
          <cell r="R1002">
            <v>127361.05950000002</v>
          </cell>
          <cell r="S1002">
            <v>12.574650216482093</v>
          </cell>
          <cell r="T1002">
            <v>1.1350000000000001E-2</v>
          </cell>
          <cell r="U1002">
            <v>3.4079575927305102E-3</v>
          </cell>
          <cell r="V1002">
            <v>2.1999999999999999E-2</v>
          </cell>
          <cell r="W1002">
            <v>0.28077999999999997</v>
          </cell>
          <cell r="X1002">
            <v>1.18</v>
          </cell>
          <cell r="Y1002">
            <v>10.09</v>
          </cell>
          <cell r="AA1002">
            <v>0</v>
          </cell>
          <cell r="AB1002">
            <v>0</v>
          </cell>
          <cell r="AC1002">
            <v>0.22738406386009222</v>
          </cell>
          <cell r="AD1002">
            <v>0.11901559407272326</v>
          </cell>
          <cell r="AE1002">
            <v>0</v>
          </cell>
          <cell r="AF1002">
            <v>14.301041775804409</v>
          </cell>
          <cell r="AG1002">
            <v>6.0282341756874622</v>
          </cell>
          <cell r="AH1002">
            <v>202512</v>
          </cell>
          <cell r="AI1002" t="str">
            <v>Prev. day data for GPOC</v>
          </cell>
          <cell r="AJ1002" t="str">
            <v>Sakhalin-1:Prod'n defferred due to ongoing maintenance activities in Gas Injection Compressor in Chayvo.
PCB &amp; SCB:DPR is unavailable due to a cyberattack affecting the system.
BC-10:Prod'n ramp-up is ongoing from 16 to 31 Dec 2025. MECL:Prod'n deferred due to efficiency issues (stabilization after service,gas interference), ongoing and waiting well services.
Vankor:Prod'n deferred due to failure of oil-gathering pipeline.
SPOC &amp; GPOC:Prod'n figures are currently unavailable due to force majeure.</v>
          </cell>
        </row>
        <row r="1003">
          <cell r="C1003">
            <v>46011</v>
          </cell>
          <cell r="D1003">
            <v>342149</v>
          </cell>
          <cell r="E1003">
            <v>0</v>
          </cell>
          <cell r="F1003">
            <v>22434.880000000001</v>
          </cell>
          <cell r="G1003">
            <v>4608</v>
          </cell>
          <cell r="H1003">
            <v>2212</v>
          </cell>
          <cell r="I1003">
            <v>147524</v>
          </cell>
          <cell r="J1003">
            <v>162011</v>
          </cell>
          <cell r="K1003">
            <v>49815.07</v>
          </cell>
          <cell r="L1003">
            <v>155</v>
          </cell>
          <cell r="M1003">
            <v>183472</v>
          </cell>
          <cell r="N1003">
            <v>7324</v>
          </cell>
          <cell r="O1003">
            <v>4909</v>
          </cell>
          <cell r="P1003">
            <v>0</v>
          </cell>
          <cell r="Q1003">
            <v>0</v>
          </cell>
          <cell r="R1003">
            <v>124455.21550000002</v>
          </cell>
          <cell r="S1003">
            <v>12.114785061178489</v>
          </cell>
          <cell r="T1003">
            <v>1.5067000000000001E-2</v>
          </cell>
          <cell r="U1003">
            <v>3.4079575927305102E-3</v>
          </cell>
          <cell r="V1003">
            <v>0.03</v>
          </cell>
          <cell r="W1003">
            <v>0.27582999999999996</v>
          </cell>
          <cell r="X1003">
            <v>1.18</v>
          </cell>
          <cell r="Y1003">
            <v>10.050000000000001</v>
          </cell>
          <cell r="AA1003">
            <v>0</v>
          </cell>
          <cell r="AB1003">
            <v>0</v>
          </cell>
          <cell r="AC1003">
            <v>0.24295831480941363</v>
          </cell>
          <cell r="AD1003">
            <v>9.4040158913993324E-2</v>
          </cell>
          <cell r="AE1003">
            <v>0</v>
          </cell>
          <cell r="AF1003">
            <v>14.301976230861369</v>
          </cell>
          <cell r="AG1003">
            <v>5.9963185607954479</v>
          </cell>
          <cell r="AH1003">
            <v>202512</v>
          </cell>
          <cell r="AI1003" t="str">
            <v>Prev. day data for GPOC</v>
          </cell>
          <cell r="AJ1003" t="str">
            <v>Sakhalin-1:Prod'n defferred due to ongoing maintenance activities in Gas Injection Compressor in Chayvo.
PCB &amp; SCB:DPR is unavailable due to a cyberattack affecting the system.
BC-10:Prod'n ramp-up is ongoing from 16 to 31 Dec 2025. MECL:Prod'n deferred due to efficiency issues (stabilization after service,gas interference), ongoing and waiting well services.
Vankor:Prod'n deferred due to failure of oil-gathering pipeline.
SPOC &amp; GPOC:Prod'n figures are currently unavailable due to force majeure.</v>
          </cell>
        </row>
        <row r="1004">
          <cell r="C1004">
            <v>46012</v>
          </cell>
          <cell r="D1004">
            <v>344525</v>
          </cell>
          <cell r="E1004">
            <v>0</v>
          </cell>
          <cell r="F1004">
            <v>22442.140000000003</v>
          </cell>
          <cell r="G1004">
            <v>4570</v>
          </cell>
          <cell r="H1004">
            <v>2202</v>
          </cell>
          <cell r="I1004">
            <v>147524</v>
          </cell>
          <cell r="J1004">
            <v>162236</v>
          </cell>
          <cell r="K1004">
            <v>49815.07</v>
          </cell>
          <cell r="L1004">
            <v>160</v>
          </cell>
          <cell r="M1004">
            <v>221111</v>
          </cell>
          <cell r="N1004">
            <v>7399</v>
          </cell>
          <cell r="O1004">
            <v>5146</v>
          </cell>
          <cell r="P1004">
            <v>0</v>
          </cell>
          <cell r="Q1004">
            <v>0</v>
          </cell>
          <cell r="R1004">
            <v>126169.11175000001</v>
          </cell>
          <cell r="S1004">
            <v>12.506973016902311</v>
          </cell>
          <cell r="T1004">
            <v>1.6983999999999999E-2</v>
          </cell>
          <cell r="U1004">
            <v>3.4079575927305102E-3</v>
          </cell>
          <cell r="V1004">
            <v>2.9781312000000001E-2</v>
          </cell>
          <cell r="W1004">
            <v>0.27464999999999995</v>
          </cell>
          <cell r="X1004">
            <v>1.18</v>
          </cell>
          <cell r="Y1004">
            <v>10.08</v>
          </cell>
          <cell r="AA1004">
            <v>0</v>
          </cell>
          <cell r="AB1004">
            <v>0</v>
          </cell>
          <cell r="AC1004">
            <v>0.23871079182323507</v>
          </cell>
          <cell r="AD1004">
            <v>9.1689862861641186E-2</v>
          </cell>
          <cell r="AE1004">
            <v>0</v>
          </cell>
          <cell r="AF1004">
            <v>14.302089498141001</v>
          </cell>
          <cell r="AG1004">
            <v>6.013430213988487</v>
          </cell>
          <cell r="AH1004">
            <v>202512</v>
          </cell>
          <cell r="AI1004" t="str">
            <v>Prev. day data for GPOC</v>
          </cell>
          <cell r="AJ1004" t="str">
            <v>Sakhalin-1:Prod'n defferred due to ongoing maintenance activities in Gas Injection Compressor in Chayvo.
PCB &amp; SCB:DPR is unavailable due to a cyberattack affecting the system.
BC-10:Prod'n ramp-up is ongoing from 16 to 31 Dec 2025. 
SPOC &amp; GPOC:Prod'n figures are currently unavailable due to force majeure.
LZC:Reason awaited from operator.</v>
          </cell>
        </row>
        <row r="1005">
          <cell r="C1005">
            <v>46013</v>
          </cell>
          <cell r="D1005">
            <v>347501</v>
          </cell>
          <cell r="E1005">
            <v>0</v>
          </cell>
          <cell r="F1005">
            <v>22421.360000000001</v>
          </cell>
          <cell r="G1005">
            <v>4424</v>
          </cell>
          <cell r="H1005">
            <v>2349</v>
          </cell>
          <cell r="I1005">
            <v>147524</v>
          </cell>
          <cell r="J1005">
            <v>163152</v>
          </cell>
          <cell r="K1005">
            <v>49815.07</v>
          </cell>
          <cell r="L1005">
            <v>151</v>
          </cell>
          <cell r="M1005">
            <v>432793</v>
          </cell>
          <cell r="N1005">
            <v>7417</v>
          </cell>
          <cell r="O1005">
            <v>5056</v>
          </cell>
          <cell r="P1005">
            <v>0</v>
          </cell>
          <cell r="Q1005">
            <v>0</v>
          </cell>
          <cell r="R1005">
            <v>134984.86250000002</v>
          </cell>
          <cell r="S1005">
            <v>12.438729480924376</v>
          </cell>
          <cell r="T1005">
            <v>1.5273E-2</v>
          </cell>
          <cell r="U1005">
            <v>3.4079575927305102E-3</v>
          </cell>
          <cell r="V1005">
            <v>2.3E-2</v>
          </cell>
          <cell r="W1005">
            <v>0.29374</v>
          </cell>
          <cell r="X1005">
            <v>1.18</v>
          </cell>
          <cell r="Y1005">
            <v>10.039999999999999</v>
          </cell>
          <cell r="AA1005">
            <v>0</v>
          </cell>
          <cell r="AB1005">
            <v>0</v>
          </cell>
          <cell r="AC1005">
            <v>0.23474643703613507</v>
          </cell>
          <cell r="AD1005">
            <v>0.13068212387476036</v>
          </cell>
          <cell r="AE1005">
            <v>0</v>
          </cell>
          <cell r="AF1005">
            <v>14.301749696302107</v>
          </cell>
          <cell r="AG1005">
            <v>6.0313745236271865</v>
          </cell>
          <cell r="AH1005">
            <v>202512</v>
          </cell>
          <cell r="AI1005" t="str">
            <v>Prev. day data for GPOC</v>
          </cell>
          <cell r="AJ1005" t="str">
            <v>Sakhalin-1:Prod'n defferred due to ongoing maintenance activities in Gas Injection Compressor in Chayvo.
PCB &amp; SCB:DPR is unavailable due to a cyberattack affecting the system.
BC-10:Prod'n ramp-up is ongoing from 16 to 31 Dec 2025. 
SPOC &amp; GPOC:Prod'n figures are currently unavailable due to force majeure.
LZC:Reason awaited from operator.</v>
          </cell>
        </row>
        <row r="1006">
          <cell r="C1006">
            <v>46014</v>
          </cell>
          <cell r="D1006">
            <v>345646</v>
          </cell>
          <cell r="E1006">
            <v>0</v>
          </cell>
          <cell r="F1006">
            <v>22435.14</v>
          </cell>
          <cell r="G1006">
            <v>5009</v>
          </cell>
          <cell r="H1006">
            <v>2279</v>
          </cell>
          <cell r="I1006">
            <v>147524</v>
          </cell>
          <cell r="J1006">
            <v>163340</v>
          </cell>
          <cell r="K1006">
            <v>49815.07</v>
          </cell>
          <cell r="L1006">
            <v>165</v>
          </cell>
          <cell r="M1006">
            <v>420527</v>
          </cell>
          <cell r="N1006">
            <v>7448</v>
          </cell>
          <cell r="O1006">
            <v>5058</v>
          </cell>
          <cell r="P1006">
            <v>0</v>
          </cell>
          <cell r="Q1006">
            <v>0</v>
          </cell>
          <cell r="R1006">
            <v>134728.57725</v>
          </cell>
          <cell r="S1006">
            <v>12.331691901672677</v>
          </cell>
          <cell r="T1006">
            <v>9.214E-3</v>
          </cell>
          <cell r="U1006">
            <v>3.4079575927305102E-3</v>
          </cell>
          <cell r="V1006">
            <v>2.9000000000000001E-2</v>
          </cell>
          <cell r="W1006">
            <v>0.28782999999999997</v>
          </cell>
          <cell r="X1006">
            <v>1.18</v>
          </cell>
          <cell r="Y1006">
            <v>9.81</v>
          </cell>
          <cell r="AA1006">
            <v>0</v>
          </cell>
          <cell r="AB1006">
            <v>0</v>
          </cell>
          <cell r="AC1006">
            <v>0.22851673665640654</v>
          </cell>
          <cell r="AD1006">
            <v>9.1831446961180466E-2</v>
          </cell>
          <cell r="AE1006">
            <v>0</v>
          </cell>
          <cell r="AF1006">
            <v>14.302004547681276</v>
          </cell>
          <cell r="AG1006">
            <v>5.9477155313613306</v>
          </cell>
          <cell r="AH1006">
            <v>202512</v>
          </cell>
          <cell r="AI1006" t="str">
            <v>Prev. day data for GPOC</v>
          </cell>
          <cell r="AJ1006" t="str">
            <v>Sakhalin-1:Prod'n defferred due to ongoing maintenance activities in Gas Injection Compressor in Chayvo.
PCB &amp; SCB:DPR is unavailable due to a cyberattack affecting the system.
BC-10:Prod'n ramp-up is ongoing from 16 to 31 Dec 2025. 
SPOC &amp; GPOC:Prod'n figures are currently unavailable due to force majeure.</v>
          </cell>
        </row>
        <row r="1007">
          <cell r="C1007">
            <v>46015</v>
          </cell>
          <cell r="D1007">
            <v>339506</v>
          </cell>
          <cell r="E1007">
            <v>0</v>
          </cell>
          <cell r="F1007">
            <v>22387.63</v>
          </cell>
          <cell r="G1007">
            <v>4908</v>
          </cell>
          <cell r="H1007">
            <v>2269</v>
          </cell>
          <cell r="I1007">
            <v>147524</v>
          </cell>
          <cell r="J1007">
            <v>164059</v>
          </cell>
          <cell r="K1007">
            <v>49815.07</v>
          </cell>
          <cell r="L1007">
            <v>161</v>
          </cell>
          <cell r="M1007">
            <v>423378</v>
          </cell>
          <cell r="N1007">
            <v>5531</v>
          </cell>
          <cell r="O1007">
            <v>5130</v>
          </cell>
          <cell r="P1007">
            <v>0</v>
          </cell>
          <cell r="Q1007">
            <v>0</v>
          </cell>
          <cell r="R1007">
            <v>134573.17025000002</v>
          </cell>
          <cell r="S1007">
            <v>12.372184954140906</v>
          </cell>
          <cell r="T1007">
            <v>9.6600000000000002E-3</v>
          </cell>
          <cell r="U1007">
            <v>3.4079575927305102E-3</v>
          </cell>
          <cell r="V1007">
            <v>2.8000000000000001E-2</v>
          </cell>
          <cell r="W1007">
            <v>0.28445999999999999</v>
          </cell>
          <cell r="X1007">
            <v>1.18</v>
          </cell>
          <cell r="Y1007">
            <v>9.94</v>
          </cell>
          <cell r="AA1007">
            <v>0</v>
          </cell>
          <cell r="AB1007">
            <v>0</v>
          </cell>
          <cell r="AC1007">
            <v>0.20982763551722086</v>
          </cell>
          <cell r="AD1007">
            <v>8.8320161292606197E-2</v>
          </cell>
          <cell r="AE1007">
            <v>0</v>
          </cell>
          <cell r="AF1007">
            <v>14.302117814960907</v>
          </cell>
          <cell r="AG1007">
            <v>5.9755093131908241</v>
          </cell>
          <cell r="AH1007">
            <v>202512</v>
          </cell>
          <cell r="AI1007" t="str">
            <v>Prev. day data for GPOC</v>
          </cell>
          <cell r="AJ1007" t="str">
            <v>Sakhalin-1:Prod'n defferred due to ongoing maintenance activities in Gas Injection Compressor in Chayvo.
PCB &amp; SCB:DPR is unavailable due to a cyberattack affecting the system.
BC-10:Prod'n ramp-up is ongoing from 16 to 31 Dec 2025. 
SPOC &amp; GPOC:Prod'n figures are currently unavailable due to force majeure.</v>
          </cell>
        </row>
        <row r="1008">
          <cell r="C1008">
            <v>46016</v>
          </cell>
          <cell r="D1008">
            <v>336479</v>
          </cell>
          <cell r="E1008">
            <v>0</v>
          </cell>
          <cell r="F1008">
            <v>20425.129999999997</v>
          </cell>
          <cell r="G1008">
            <v>4721</v>
          </cell>
          <cell r="H1008">
            <v>2304</v>
          </cell>
          <cell r="I1008">
            <v>147524</v>
          </cell>
          <cell r="J1008">
            <v>162958</v>
          </cell>
          <cell r="K1008">
            <v>49815.07</v>
          </cell>
          <cell r="L1008">
            <v>161</v>
          </cell>
          <cell r="M1008">
            <v>441861</v>
          </cell>
          <cell r="N1008">
            <v>5533</v>
          </cell>
          <cell r="O1008">
            <v>5152</v>
          </cell>
          <cell r="P1008">
            <v>0</v>
          </cell>
          <cell r="Q1008">
            <v>0</v>
          </cell>
          <cell r="R1008">
            <v>133514.46049999999</v>
          </cell>
          <cell r="S1008">
            <v>12.728410548581754</v>
          </cell>
          <cell r="T1008">
            <v>1.2945999999999999E-2</v>
          </cell>
          <cell r="U1008">
            <v>3.4079575927305102E-3</v>
          </cell>
          <cell r="V1008">
            <v>2.5999999999999999E-2</v>
          </cell>
          <cell r="W1008">
            <v>0.29564999999999997</v>
          </cell>
          <cell r="X1008">
            <v>1.18</v>
          </cell>
          <cell r="Y1008">
            <v>9.6300000000000008</v>
          </cell>
          <cell r="AA1008">
            <v>0</v>
          </cell>
          <cell r="AB1008">
            <v>0</v>
          </cell>
          <cell r="AC1008">
            <v>0.19198803897527092</v>
          </cell>
          <cell r="AD1008">
            <v>8.8744913591224037E-2</v>
          </cell>
          <cell r="AE1008">
            <v>0</v>
          </cell>
          <cell r="AF1008">
            <v>14.44653359649098</v>
          </cell>
          <cell r="AG1008">
            <v>5.9391643599881645</v>
          </cell>
          <cell r="AH1008">
            <v>202512</v>
          </cell>
          <cell r="AI1008" t="str">
            <v>Prev. day data for GPOC</v>
          </cell>
          <cell r="AJ1008" t="str">
            <v>Sakhalin-1:New prod'n data received from the operator.
Sakhalin-1:Prod'n defferred due to ongoing maintenance activities in Gas Injection Compressor Train-2 in Odoptu.
PCB &amp; SCB:DPR is unavailable due to a cyberattack affecting the system.
BC-10:Prod'n ramp-up is ongoing from 16 to 31 Dec 2025. 
SPOC &amp; GPOC:Prod'n figures are currently unavailable due to force majeure.</v>
          </cell>
        </row>
        <row r="1009">
          <cell r="C1009">
            <v>46017</v>
          </cell>
          <cell r="D1009">
            <v>343578</v>
          </cell>
          <cell r="E1009">
            <v>0</v>
          </cell>
          <cell r="F1009">
            <v>22350.63</v>
          </cell>
          <cell r="G1009">
            <v>4610</v>
          </cell>
          <cell r="H1009">
            <v>2232</v>
          </cell>
          <cell r="I1009">
            <v>163641</v>
          </cell>
          <cell r="J1009">
            <v>157887</v>
          </cell>
          <cell r="K1009">
            <v>49815.07</v>
          </cell>
          <cell r="L1009">
            <v>161</v>
          </cell>
          <cell r="M1009">
            <v>462131</v>
          </cell>
          <cell r="N1009">
            <v>5540</v>
          </cell>
          <cell r="O1009">
            <v>5016</v>
          </cell>
          <cell r="P1009">
            <v>0</v>
          </cell>
          <cell r="Q1009">
            <v>0</v>
          </cell>
          <cell r="R1009">
            <v>137604.56625</v>
          </cell>
          <cell r="S1009">
            <v>12.854137228972634</v>
          </cell>
          <cell r="T1009">
            <v>1.6874E-2</v>
          </cell>
          <cell r="U1009">
            <v>3.4079575927305102E-3</v>
          </cell>
          <cell r="V1009">
            <v>2.8000000000000001E-2</v>
          </cell>
          <cell r="W1009">
            <v>0.29283999999999999</v>
          </cell>
          <cell r="X1009">
            <v>12.148</v>
          </cell>
          <cell r="Y1009">
            <v>9.52</v>
          </cell>
          <cell r="AB1009">
            <v>0</v>
          </cell>
          <cell r="AC1009">
            <v>0.18632467499369951</v>
          </cell>
          <cell r="AD1009">
            <v>0.11213460683511398</v>
          </cell>
          <cell r="AE1009">
            <v>0</v>
          </cell>
          <cell r="AF1009">
            <v>14.448940526183147</v>
          </cell>
          <cell r="AG1009">
            <v>8.1162345106968488</v>
          </cell>
          <cell r="AH1009">
            <v>202512</v>
          </cell>
          <cell r="AI1009" t="str">
            <v>Prev. day data for GPOC</v>
          </cell>
          <cell r="AJ1009" t="str">
            <v>Sakhalin-1:Prod'n defferred due to ongoing maintenance activities in Gas Injection Compressor Train-2 in Odoptu.
PCB &amp; SCB:DPR is unavailable due to a cyberattack affecting the system.
BC-10:Prod'n ramp-up is ongoing from 16 to 31 Dec 2025. 
SPOC &amp; GPOC:Prod'n figures are currently unavailable due to force majeure.</v>
          </cell>
        </row>
        <row r="1010">
          <cell r="C1010">
            <v>46018</v>
          </cell>
          <cell r="D1010">
            <v>343651</v>
          </cell>
          <cell r="E1010">
            <v>0</v>
          </cell>
          <cell r="F1010">
            <v>22389.4</v>
          </cell>
          <cell r="G1010">
            <v>4435</v>
          </cell>
          <cell r="H1010">
            <v>2211</v>
          </cell>
          <cell r="I1010">
            <v>171105</v>
          </cell>
          <cell r="J1010">
            <v>161253</v>
          </cell>
          <cell r="K1010">
            <v>49815.07</v>
          </cell>
          <cell r="L1010">
            <v>161</v>
          </cell>
          <cell r="M1010">
            <v>461875</v>
          </cell>
          <cell r="N1010">
            <v>5502</v>
          </cell>
          <cell r="O1010">
            <v>5338</v>
          </cell>
          <cell r="P1010">
            <v>0</v>
          </cell>
          <cell r="Q1010">
            <v>0</v>
          </cell>
          <cell r="R1010">
            <v>140007.68049999999</v>
          </cell>
          <cell r="S1010">
            <v>12.735489753558715</v>
          </cell>
          <cell r="T1010">
            <v>1.8006000000000001E-2</v>
          </cell>
          <cell r="U1010">
            <v>3.4079575927305102E-3</v>
          </cell>
          <cell r="V1010">
            <v>2.8000000000000001E-2</v>
          </cell>
          <cell r="W1010">
            <v>0.29160000000000003</v>
          </cell>
          <cell r="X1010">
            <v>12.14</v>
          </cell>
          <cell r="Y1010">
            <v>9.08</v>
          </cell>
          <cell r="AB1010">
            <v>0</v>
          </cell>
          <cell r="AC1010">
            <v>0.19340387997066377</v>
          </cell>
          <cell r="AD1010">
            <v>9.4436594392703313E-2</v>
          </cell>
          <cell r="AE1010">
            <v>0</v>
          </cell>
          <cell r="AF1010">
            <v>14.085182657646815</v>
          </cell>
          <cell r="AG1010">
            <v>7.9276903819603177</v>
          </cell>
          <cell r="AH1010">
            <v>202512</v>
          </cell>
          <cell r="AI1010" t="str">
            <v>Prev. day data for GPOC</v>
          </cell>
          <cell r="AJ1010" t="str">
            <v>Sakhalin-1:Prod'n defferred due to ongoing maintenance activities in Gas Injection Compressor Train-2 in Odoptu.
PCB &amp; SCB:DPR is unavailable due to a cyberattack affecting the system.
BC-10:Prod'n ramp-up is ongoing from 16 to 31 Dec 2025. 
SPOC &amp; GPOC:Prod'n figures are currently unavailable due to force majeure.</v>
          </cell>
        </row>
        <row r="1011">
          <cell r="C1011">
            <v>46019</v>
          </cell>
          <cell r="D1011">
            <v>345777</v>
          </cell>
          <cell r="E1011">
            <v>0</v>
          </cell>
          <cell r="F1011">
            <v>22354.55</v>
          </cell>
          <cell r="G1011">
            <v>4467</v>
          </cell>
          <cell r="H1011">
            <v>2213</v>
          </cell>
          <cell r="I1011">
            <v>170956</v>
          </cell>
          <cell r="J1011">
            <v>160494</v>
          </cell>
          <cell r="K1011">
            <v>13510</v>
          </cell>
          <cell r="L1011">
            <v>157</v>
          </cell>
          <cell r="M1011">
            <v>467699</v>
          </cell>
          <cell r="N1011">
            <v>2949</v>
          </cell>
          <cell r="O1011">
            <v>5131</v>
          </cell>
          <cell r="P1011">
            <v>0</v>
          </cell>
          <cell r="Q1011">
            <v>0</v>
          </cell>
          <cell r="R1011">
            <v>130628.42849999999</v>
          </cell>
          <cell r="S1011">
            <v>13.386776611439428</v>
          </cell>
          <cell r="T1011">
            <v>1.5528E-2</v>
          </cell>
          <cell r="U1011">
            <v>3.4079575927305102E-3</v>
          </cell>
          <cell r="V1011">
            <v>2.7E-2</v>
          </cell>
          <cell r="W1011">
            <v>0.29191</v>
          </cell>
          <cell r="X1011">
            <v>12.189</v>
          </cell>
          <cell r="Y1011">
            <v>9.27</v>
          </cell>
          <cell r="Z1011">
            <v>0</v>
          </cell>
          <cell r="AA1011">
            <v>0</v>
          </cell>
          <cell r="AB1011">
            <v>0</v>
          </cell>
          <cell r="AC1011">
            <v>0.17641378802594954</v>
          </cell>
          <cell r="AD1011">
            <v>8.4667291524492636E-2</v>
          </cell>
          <cell r="AE1011">
            <v>0</v>
          </cell>
          <cell r="AF1011">
            <v>12.708305606447173</v>
          </cell>
          <cell r="AG1011">
            <v>7.7652357325881862</v>
          </cell>
          <cell r="AH1011">
            <v>202512</v>
          </cell>
          <cell r="AJ1011" t="str">
            <v>Sakhalin-1:Prod'n defferred due to ongoing maintenance activities in Gas Injection Compressor Train-2 in Odoptu.
PCB &amp; SCB:DPR is unavailable due to a cyberattack affecting the system.
BC-10:Prod'n ramp-up is ongoing from 16 to 31 Dec 2025. 
SPOC:Prod'n figures are currently unavailable due to force majeure.
GPOC:Prod'n deferred due to export shutdown at Heglig, resumed on 27 December from Toma South with 8 wells started.
A1-A3:Prod'n deferred due to maintenance activities.</v>
          </cell>
        </row>
        <row r="1012">
          <cell r="C1012">
            <v>46020</v>
          </cell>
          <cell r="D1012">
            <v>344722</v>
          </cell>
          <cell r="E1012">
            <v>0</v>
          </cell>
          <cell r="F1012">
            <v>22335.83</v>
          </cell>
          <cell r="G1012">
            <v>4518</v>
          </cell>
          <cell r="H1012">
            <v>2171</v>
          </cell>
          <cell r="I1012">
            <v>169907</v>
          </cell>
          <cell r="J1012">
            <v>160484</v>
          </cell>
          <cell r="K1012">
            <v>21779</v>
          </cell>
          <cell r="L1012">
            <v>163</v>
          </cell>
          <cell r="M1012">
            <v>466127</v>
          </cell>
          <cell r="N1012">
            <v>3367</v>
          </cell>
          <cell r="O1012">
            <v>5145</v>
          </cell>
          <cell r="P1012">
            <v>0</v>
          </cell>
          <cell r="Q1012">
            <v>0</v>
          </cell>
          <cell r="R1012">
            <v>132412.96325</v>
          </cell>
          <cell r="S1012">
            <v>12.721614511803866</v>
          </cell>
          <cell r="T1012">
            <v>1.2330000000000001E-2</v>
          </cell>
          <cell r="U1012">
            <v>3.4079575927305102E-3</v>
          </cell>
          <cell r="V1012">
            <v>0.03</v>
          </cell>
          <cell r="W1012">
            <v>0.29176999999999997</v>
          </cell>
          <cell r="X1012">
            <v>12.154999999999999</v>
          </cell>
          <cell r="Y1012">
            <v>9.25</v>
          </cell>
          <cell r="Z1012">
            <v>0</v>
          </cell>
          <cell r="AA1012">
            <v>0</v>
          </cell>
          <cell r="AB1012">
            <v>0</v>
          </cell>
          <cell r="AC1012">
            <v>0.18972269338264236</v>
          </cell>
          <cell r="AD1012">
            <v>0.10468728319934757</v>
          </cell>
          <cell r="AE1012">
            <v>0</v>
          </cell>
          <cell r="AF1012">
            <v>15.304221754680063</v>
          </cell>
          <cell r="AG1012">
            <v>8.1850540026326151</v>
          </cell>
          <cell r="AH1012">
            <v>202512</v>
          </cell>
          <cell r="AJ1012" t="str">
            <v>Sakhalin-1:Prod'n defferred due to ongoing maintenance activities in Gas Injection Compressor Train-2 in Odoptu.
PCB:DPR is unavailable due to a cyberattack affecting the system.
BC-10:Prod'n ramp-up is ongoing from 16 to 31 Dec 2025. 
SPOC:Prod'n figures are currently unavailable due to force majeure.
GPOC: Prod'n deferred due to the export shutdown at Heglig. After clearance, export resumed with Toma South restarted on 27 December and El Nar on 28 December.</v>
          </cell>
        </row>
        <row r="1013">
          <cell r="C1013">
            <v>46021</v>
          </cell>
          <cell r="D1013">
            <v>341127</v>
          </cell>
          <cell r="E1013">
            <v>0</v>
          </cell>
          <cell r="F1013">
            <v>22317.489999999998</v>
          </cell>
          <cell r="G1013">
            <v>4425</v>
          </cell>
          <cell r="H1013">
            <v>2228</v>
          </cell>
          <cell r="I1013">
            <v>168775</v>
          </cell>
          <cell r="J1013">
            <v>159603</v>
          </cell>
          <cell r="K1013">
            <v>21584.19</v>
          </cell>
          <cell r="L1013">
            <v>157</v>
          </cell>
          <cell r="M1013">
            <v>451854</v>
          </cell>
          <cell r="N1013">
            <v>3376</v>
          </cell>
          <cell r="O1013">
            <v>5145</v>
          </cell>
          <cell r="P1013">
            <v>0</v>
          </cell>
          <cell r="Q1013">
            <v>0</v>
          </cell>
          <cell r="R1013">
            <v>131229.93150000001</v>
          </cell>
          <cell r="S1013">
            <v>12.641194743265547</v>
          </cell>
          <cell r="T1013">
            <v>1.2619E-2</v>
          </cell>
          <cell r="U1013">
            <v>3.4079575927305102E-3</v>
          </cell>
          <cell r="V1013">
            <v>2.9000000000000001E-2</v>
          </cell>
          <cell r="W1013">
            <v>0.29158000000000001</v>
          </cell>
          <cell r="X1013">
            <v>12.004</v>
          </cell>
          <cell r="Y1013">
            <v>9.94</v>
          </cell>
          <cell r="Z1013">
            <v>0</v>
          </cell>
          <cell r="AA1013">
            <v>0</v>
          </cell>
          <cell r="AB1013">
            <v>0</v>
          </cell>
          <cell r="AC1013">
            <v>0.22143753167944227</v>
          </cell>
          <cell r="AD1013">
            <v>0.10468728319934757</v>
          </cell>
          <cell r="AE1013">
            <v>0</v>
          </cell>
          <cell r="AF1013">
            <v>15.180448934862817</v>
          </cell>
          <cell r="AG1013">
            <v>8.3137370072465853</v>
          </cell>
          <cell r="AH1013">
            <v>202512</v>
          </cell>
          <cell r="AJ1013" t="str">
            <v xml:space="preserve">Sakhalin-1:Prod'n defferred due to ongoing maintenance activities in Gas Injection Compressor Train-2 in Odoptu.
BC-10: Gas and Hot Oil bypasses installed awaiting final safety approvals. New formal update expected on Monday.
GPOC: Prod'n deferred due to export shutdown from all FPFs to Heglig. After clearance, export resumed with Toma South on 27 December, El Nar on 28 December, and Unity on 29 December.
SPOC:Prod'n figures are currently unavailable due to force majeure.
PCB:DPR is unavailable due to a cyberattack affecting the system._x000D_
</v>
          </cell>
        </row>
        <row r="1014">
          <cell r="C1014">
            <v>46022</v>
          </cell>
          <cell r="D1014">
            <v>331818</v>
          </cell>
          <cell r="E1014">
            <v>0</v>
          </cell>
          <cell r="F1014">
            <v>22322.46</v>
          </cell>
          <cell r="G1014">
            <v>4446</v>
          </cell>
          <cell r="H1014">
            <v>2206</v>
          </cell>
          <cell r="I1014">
            <v>175556</v>
          </cell>
          <cell r="J1014">
            <v>157492</v>
          </cell>
          <cell r="K1014">
            <v>14214.37</v>
          </cell>
          <cell r="L1014">
            <v>163</v>
          </cell>
          <cell r="M1014">
            <v>452125</v>
          </cell>
          <cell r="N1014">
            <v>3526</v>
          </cell>
          <cell r="O1014">
            <v>5091</v>
          </cell>
          <cell r="P1014">
            <v>0</v>
          </cell>
          <cell r="Q1014">
            <v>0</v>
          </cell>
          <cell r="R1014">
            <v>129921.69475</v>
          </cell>
          <cell r="S1014">
            <v>13.057735164110126</v>
          </cell>
          <cell r="T1014">
            <v>1.3462E-2</v>
          </cell>
          <cell r="U1014">
            <v>3.4079575927305102E-3</v>
          </cell>
          <cell r="V1014">
            <v>2.9499999999999998E-2</v>
          </cell>
          <cell r="W1014">
            <v>0.29052</v>
          </cell>
          <cell r="X1014">
            <v>12.035</v>
          </cell>
          <cell r="Y1014">
            <v>9.9600000000000009</v>
          </cell>
          <cell r="Z1014">
            <v>0</v>
          </cell>
          <cell r="AA1014">
            <v>0</v>
          </cell>
          <cell r="AB1014">
            <v>0</v>
          </cell>
          <cell r="AC1014">
            <v>0.1514949865070353</v>
          </cell>
          <cell r="AD1014">
            <v>9.9930057454827581E-2</v>
          </cell>
          <cell r="AE1014">
            <v>0</v>
          </cell>
          <cell r="AF1014">
            <v>15.107561440419994</v>
          </cell>
          <cell r="AG1014">
            <v>8.314750980234237</v>
          </cell>
          <cell r="AH1014">
            <v>202512</v>
          </cell>
          <cell r="AJ1014" t="str">
            <v>Sakhalin-1:Prod'n defferred due to ongoing maintenance activities in Gas Injection Compressor Train-2 in Odoptu.
BC-10: Gas and Hot Oil bypasses installed awaiting final safety approvals. New formal update expected on Monday.
GPOC: Prod'n deferred due to export shutdown from all FPFs to Heglig. After clearance, export resumed with Toma South on 27 Dec, El Nar on 28 Dec, Unity on 29 Dec, and Munga on 30 Dec.
SPOC:Prod'n figures are currently unavailable due to force majeure.
PCB:DPR is unavailable due to a cyberattack affecting the system.</v>
          </cell>
        </row>
        <row r="1015">
          <cell r="C1015">
            <v>46023</v>
          </cell>
          <cell r="D1015">
            <v>328463</v>
          </cell>
          <cell r="E1015">
            <v>0</v>
          </cell>
          <cell r="F1015">
            <v>20110.190000000002</v>
          </cell>
          <cell r="G1015">
            <v>4519</v>
          </cell>
          <cell r="H1015">
            <v>2213</v>
          </cell>
          <cell r="I1015">
            <v>181305</v>
          </cell>
          <cell r="J1015">
            <v>157209</v>
          </cell>
          <cell r="K1015">
            <v>30776.97</v>
          </cell>
          <cell r="L1015">
            <v>152</v>
          </cell>
          <cell r="M1015">
            <v>440519</v>
          </cell>
          <cell r="N1015">
            <v>3526</v>
          </cell>
          <cell r="O1015">
            <v>5128</v>
          </cell>
          <cell r="P1015">
            <v>0</v>
          </cell>
          <cell r="Q1015">
            <v>0</v>
          </cell>
          <cell r="R1015">
            <v>133083.24825</v>
          </cell>
          <cell r="S1015">
            <v>13.87495858665088</v>
          </cell>
          <cell r="T1015">
            <v>1.3462E-2</v>
          </cell>
          <cell r="U1015">
            <v>3.4079575927305102E-3</v>
          </cell>
          <cell r="V1015">
            <v>3.1E-2</v>
          </cell>
          <cell r="W1015">
            <v>0.29170000000000001</v>
          </cell>
          <cell r="X1015">
            <v>12.095000000000001</v>
          </cell>
          <cell r="Y1015">
            <v>9.73</v>
          </cell>
          <cell r="Z1015">
            <v>0</v>
          </cell>
          <cell r="AB1015">
            <v>0</v>
          </cell>
          <cell r="AC1015">
            <v>0.1514949865070353</v>
          </cell>
          <cell r="AD1015">
            <v>0.10171401710902259</v>
          </cell>
          <cell r="AE1015">
            <v>0</v>
          </cell>
          <cell r="AF1015">
            <v>15.728096231880773</v>
          </cell>
          <cell r="AG1015">
            <v>8.3989892637535668</v>
          </cell>
          <cell r="AH1015">
            <v>202601</v>
          </cell>
          <cell r="AJ1015" t="str">
            <v>BC-10: Gas and Hot Oil bypasses installed awaiting final safety approvals. New formal update expected on Monday.
GPOC: Prod'n deferred due to export shutdown from all FPFs to Heglig. After clearance, export resumed with Toma South on 27 Dec, El Nar on 28 Dec, Unity on 29 Dec, and Munga on 30 Dec.
SPOC:Prod'n figures are currently unavailable due to force majeure.
PCB:Prod'n deferred due to low diluent inventories and high levels in storage tanks in P.T.O</v>
          </cell>
        </row>
        <row r="1016">
          <cell r="C1016">
            <v>46024</v>
          </cell>
          <cell r="D1016">
            <v>329674</v>
          </cell>
          <cell r="E1016">
            <v>0</v>
          </cell>
          <cell r="F1016">
            <v>21833.65</v>
          </cell>
          <cell r="G1016">
            <v>4434</v>
          </cell>
          <cell r="H1016">
            <v>2266</v>
          </cell>
          <cell r="I1016">
            <v>182093</v>
          </cell>
          <cell r="J1016">
            <v>157178</v>
          </cell>
          <cell r="K1016">
            <v>40883.08</v>
          </cell>
          <cell r="L1016">
            <v>178</v>
          </cell>
          <cell r="M1016">
            <v>436900</v>
          </cell>
          <cell r="N1016">
            <v>3526</v>
          </cell>
          <cell r="O1016">
            <v>5051</v>
          </cell>
          <cell r="P1016">
            <v>0</v>
          </cell>
          <cell r="Q1016">
            <v>0</v>
          </cell>
          <cell r="R1016">
            <v>136842.372</v>
          </cell>
          <cell r="S1016">
            <v>15.545650961214449</v>
          </cell>
          <cell r="T1016">
            <v>1.3004999999999999E-2</v>
          </cell>
          <cell r="U1016">
            <v>3.4079575927305102E-3</v>
          </cell>
          <cell r="V1016">
            <v>2.7E-2</v>
          </cell>
          <cell r="W1016">
            <v>0.28863</v>
          </cell>
          <cell r="X1016">
            <v>12.159000000000001</v>
          </cell>
          <cell r="Y1016">
            <v>9.9700000000000006</v>
          </cell>
          <cell r="Z1016">
            <v>0</v>
          </cell>
          <cell r="AA1016">
            <v>0</v>
          </cell>
          <cell r="AB1016">
            <v>0</v>
          </cell>
          <cell r="AC1016">
            <v>0.1514949865070353</v>
          </cell>
          <cell r="AD1016">
            <v>0.10392272906183543</v>
          </cell>
          <cell r="AE1016">
            <v>0</v>
          </cell>
          <cell r="AF1016">
            <v>15.691595851019546</v>
          </cell>
          <cell r="AG1016">
            <v>8.5125420457442669</v>
          </cell>
          <cell r="AH1016">
            <v>202601</v>
          </cell>
          <cell r="AJ1016" t="str">
            <v>BC-10: Gas and Hot Oil bypasses installed awaiting final safety approvals. New formal update expected on Monday.
GPOC: Prod'n deferred due to export shutdown from all FPFs to Heglig. After clearance, export resumed with Toma South on 27 Dec, El Nar on 28 Dec, Unity on 29 Dec, and Munga on 30 Dec.
SPOC:Prod'n figures are currently unavailable due to force majeure.
PCB:Prod'n deferred due to low diluent inventories and high levels in storage tanks in P.T.O</v>
          </cell>
        </row>
        <row r="1017">
          <cell r="C1017">
            <v>46025</v>
          </cell>
          <cell r="D1017">
            <v>305554</v>
          </cell>
          <cell r="E1017">
            <v>0</v>
          </cell>
          <cell r="F1017">
            <v>22419.03</v>
          </cell>
          <cell r="G1017">
            <v>4562</v>
          </cell>
          <cell r="H1017">
            <v>2110</v>
          </cell>
          <cell r="I1017">
            <v>180484</v>
          </cell>
          <cell r="J1017">
            <v>154516</v>
          </cell>
          <cell r="K1017">
            <v>46858.75</v>
          </cell>
          <cell r="L1017">
            <v>175</v>
          </cell>
          <cell r="M1017">
            <v>437968</v>
          </cell>
          <cell r="N1017">
            <v>3526</v>
          </cell>
          <cell r="O1017">
            <v>5088</v>
          </cell>
          <cell r="P1017">
            <v>0</v>
          </cell>
          <cell r="Q1017">
            <v>0</v>
          </cell>
          <cell r="R1017">
            <v>136991.42175000001</v>
          </cell>
          <cell r="S1017">
            <v>15.954829008882983</v>
          </cell>
          <cell r="T1017">
            <v>1.5082999999999999E-2</v>
          </cell>
          <cell r="U1017">
            <v>3.4079575927305102E-3</v>
          </cell>
          <cell r="V1017">
            <v>2.7E-2</v>
          </cell>
          <cell r="W1017">
            <v>0.28188000000000002</v>
          </cell>
          <cell r="X1017">
            <v>12.183999999999999</v>
          </cell>
          <cell r="Y1017">
            <v>9.82</v>
          </cell>
          <cell r="Z1017">
            <v>0</v>
          </cell>
          <cell r="AA1017">
            <v>0</v>
          </cell>
          <cell r="AB1017">
            <v>0</v>
          </cell>
          <cell r="AC1017">
            <v>0.1514949865070353</v>
          </cell>
          <cell r="AD1017">
            <v>9.4549861672334742E-2</v>
          </cell>
          <cell r="AE1017">
            <v>0</v>
          </cell>
          <cell r="AF1017">
            <v>15.668121207315934</v>
          </cell>
          <cell r="AG1017">
            <v>8.4765817272531567</v>
          </cell>
          <cell r="AH1017">
            <v>202601</v>
          </cell>
          <cell r="AJ1017" t="str">
            <v>BC-10: Gas and Hot Oil bypasses installed awaiting final safety approvals. New formal update expected on Monday.
GPOC: Prod'n deferred due to export shutdown from all FPFs to Heglig. After clearance, export resumed with Toma South on 27 Dec, El Nar on 28 Dec, Unity on 29 Dec, and Munga on 30 Dec.
SPOC:Prod'n figures are currently unavailable due to force majeure.
PCB:Prod'n deferred due to low diluent inventories and high levels in storage tanks in P.T.O</v>
          </cell>
        </row>
        <row r="1018">
          <cell r="C1018">
            <v>46026</v>
          </cell>
          <cell r="D1018">
            <v>171458</v>
          </cell>
          <cell r="E1018">
            <v>0</v>
          </cell>
          <cell r="F1018">
            <v>22249.99</v>
          </cell>
          <cell r="G1018">
            <v>4719</v>
          </cell>
          <cell r="H1018">
            <v>2240</v>
          </cell>
          <cell r="I1018">
            <v>178397</v>
          </cell>
          <cell r="J1018">
            <v>155854</v>
          </cell>
          <cell r="K1018">
            <v>46487.61</v>
          </cell>
          <cell r="L1018">
            <v>178</v>
          </cell>
          <cell r="M1018">
            <v>443560</v>
          </cell>
          <cell r="N1018">
            <v>3385</v>
          </cell>
          <cell r="O1018">
            <v>0</v>
          </cell>
          <cell r="P1018">
            <v>0</v>
          </cell>
          <cell r="Q1018">
            <v>0</v>
          </cell>
          <cell r="R1018">
            <v>131170.67449999999</v>
          </cell>
          <cell r="S1018">
            <v>12.114501892979412</v>
          </cell>
          <cell r="T1018">
            <v>1.3191E-2</v>
          </cell>
          <cell r="U1018">
            <v>3.4079575927305102E-3</v>
          </cell>
          <cell r="V1018">
            <v>2.7E-2</v>
          </cell>
          <cell r="W1018">
            <v>0.29058</v>
          </cell>
          <cell r="X1018">
            <v>12.201000000000001</v>
          </cell>
          <cell r="Y1018">
            <v>9.74</v>
          </cell>
          <cell r="Z1018">
            <v>0</v>
          </cell>
          <cell r="AA1018">
            <v>0</v>
          </cell>
          <cell r="AB1018">
            <v>0</v>
          </cell>
          <cell r="AC1018">
            <v>0.10477223365907115</v>
          </cell>
          <cell r="AD1018">
            <v>0.10015659201409044</v>
          </cell>
          <cell r="AE1018">
            <v>0</v>
          </cell>
          <cell r="AF1018">
            <v>15.670075067889575</v>
          </cell>
          <cell r="AG1018">
            <v>8.3524766647339224</v>
          </cell>
          <cell r="AH1018">
            <v>202601</v>
          </cell>
          <cell r="AJ1018" t="str">
            <v>BC-10: Gas and Hot Oil bypasses installed awaiting final safety approvals. A formal update and further communication are awaited. ALM 2 train B,  ALM 1 train C and ALM 3 train A are offline.
MECL:Prod'n deferred due to waiting well services, BSW increases &amp; sand problem.
GPOC:Prod'n deferred due to power tripped at Toma South &amp; El Toor.
SPOC: Produ'n deferred due to wells not started because of high back pressure.
PCB:Prod'n deferred due to low diluent inventories and high levels in storage tanks in P.T.O and Jose terminal tanks.
Vankor:Prod'n deferred due to failure of oil-gathering pipeline.</v>
          </cell>
        </row>
        <row r="1019">
          <cell r="C1019">
            <v>46027</v>
          </cell>
          <cell r="D1019">
            <v>295549</v>
          </cell>
          <cell r="E1019">
            <v>0</v>
          </cell>
          <cell r="F1019">
            <v>22204.11</v>
          </cell>
          <cell r="G1019">
            <v>4785</v>
          </cell>
          <cell r="H1019">
            <v>2230</v>
          </cell>
          <cell r="I1019">
            <v>180699</v>
          </cell>
          <cell r="J1019">
            <v>157301</v>
          </cell>
          <cell r="K1019">
            <v>43697.84</v>
          </cell>
          <cell r="L1019">
            <v>181</v>
          </cell>
          <cell r="M1019">
            <v>443273</v>
          </cell>
          <cell r="N1019">
            <v>3388</v>
          </cell>
          <cell r="O1019">
            <v>5063</v>
          </cell>
          <cell r="P1019">
            <v>0</v>
          </cell>
          <cell r="Q1019">
            <v>0</v>
          </cell>
          <cell r="R1019">
            <v>136945.1715</v>
          </cell>
          <cell r="S1019">
            <v>18.915918866647598</v>
          </cell>
          <cell r="T1019">
            <v>6.2760000000000003E-3</v>
          </cell>
          <cell r="U1019">
            <v>3.4079575927305102E-3</v>
          </cell>
          <cell r="V1019">
            <v>2.6535840000000002E-2</v>
          </cell>
          <cell r="W1019">
            <v>0.28820000000000001</v>
          </cell>
          <cell r="X1019">
            <v>12.231</v>
          </cell>
          <cell r="Y1019">
            <v>9.75</v>
          </cell>
          <cell r="Z1019">
            <v>0</v>
          </cell>
          <cell r="AA1019">
            <v>0</v>
          </cell>
          <cell r="AB1019">
            <v>0</v>
          </cell>
          <cell r="AC1019">
            <v>0.10477223365907115</v>
          </cell>
          <cell r="AD1019">
            <v>0.10194055166828545</v>
          </cell>
          <cell r="AE1019">
            <v>0</v>
          </cell>
          <cell r="AF1019">
            <v>15.679532885738798</v>
          </cell>
          <cell r="AG1019">
            <v>8.5578603941097615</v>
          </cell>
          <cell r="AH1019">
            <v>202601</v>
          </cell>
          <cell r="AJ1019" t="str">
            <v>BC-10: Gas and Hot Oil bypasses installed awaiting final safety approvals. New formal update expected on 10th January.
MECL:Prod'n deferred due to waiting well services, BSW increases &amp; sand problem.
GPOC:Prod'n deferred due to power tripped at Toma South &amp; El Toor.
SPOC:Produ'n deferred due to wells not started because of high back pressure.
ACG:Prod'n deferred due to ICSS card malfunction. ACG Oil Plant shutdown 03 to 04 January 2026.
PCB:Prod'n deferred due to low diluent inventories and high levels in storage tanks in P.T.O and Jose terminal tanks.
Vankor:Prod'n deferred due to failure of oil-gathering pipeline.</v>
          </cell>
        </row>
        <row r="1020">
          <cell r="C1020">
            <v>46028</v>
          </cell>
          <cell r="D1020">
            <v>299796</v>
          </cell>
          <cell r="E1020">
            <v>0</v>
          </cell>
          <cell r="F1020">
            <v>22214.010000000002</v>
          </cell>
          <cell r="G1020">
            <v>4821</v>
          </cell>
          <cell r="H1020">
            <v>2213</v>
          </cell>
          <cell r="I1020">
            <v>179633</v>
          </cell>
          <cell r="J1020">
            <v>156856</v>
          </cell>
          <cell r="K1020">
            <v>41104</v>
          </cell>
          <cell r="L1020">
            <v>193</v>
          </cell>
          <cell r="M1020">
            <v>440934</v>
          </cell>
          <cell r="N1020">
            <v>3492</v>
          </cell>
          <cell r="O1020">
            <v>5979</v>
          </cell>
          <cell r="P1020">
            <v>0</v>
          </cell>
          <cell r="Q1020">
            <v>0</v>
          </cell>
          <cell r="R1020">
            <v>136387.14125000002</v>
          </cell>
          <cell r="S1020">
            <v>20.530260769594531</v>
          </cell>
          <cell r="T1020">
            <v>3.5829999999999998E-3</v>
          </cell>
          <cell r="U1020">
            <v>3.4079575927305102E-3</v>
          </cell>
          <cell r="V1020">
            <v>2.7878208000000002E-2</v>
          </cell>
          <cell r="W1020">
            <v>0.30269000000000001</v>
          </cell>
          <cell r="X1020">
            <v>12.231999999999999</v>
          </cell>
          <cell r="Y1020">
            <v>9.7100000000000009</v>
          </cell>
          <cell r="Z1020">
            <v>0</v>
          </cell>
          <cell r="AA1020">
            <v>0</v>
          </cell>
          <cell r="AC1020">
            <v>0.10927460802442042</v>
          </cell>
          <cell r="AD1020">
            <v>0.10250688806644258</v>
          </cell>
          <cell r="AE1020">
            <v>0</v>
          </cell>
          <cell r="AF1020">
            <v>15.659201409044957</v>
          </cell>
          <cell r="AG1020">
            <v>8.6065794134724598</v>
          </cell>
          <cell r="AH1020">
            <v>202601</v>
          </cell>
          <cell r="AJ1020" t="str">
            <v>BC-10:Expected ramp up from 11 Jan, due to the  problem of gas line and hot oil system in Swivel.
MECL:Prod'n deferred due to waiting well services, BSW increases &amp; sand problem.
GPOC:Prod'n deferred due to power tripped at Toma South &amp; El Toor.
SPOC:Produ'n deferred due to wells not started because of high back pressure.
ACG:Prod'n deferred due to ICSS card malfunction &amp; oil Plant shutdown.
PCB:Prod'n deferred due to low diluent inventories and high levels in storage tanks in P.T.O and Jose terminal tanks.
Vankor:Prod'n deferred due to failure of oil-gathering pipeline.</v>
          </cell>
        </row>
        <row r="1021">
          <cell r="C1021">
            <v>46029</v>
          </cell>
          <cell r="D1021">
            <v>273381</v>
          </cell>
          <cell r="E1021">
            <v>0</v>
          </cell>
          <cell r="F1021">
            <v>22103.21</v>
          </cell>
          <cell r="G1021">
            <v>4836</v>
          </cell>
          <cell r="H1021">
            <v>2281</v>
          </cell>
          <cell r="I1021">
            <v>177604</v>
          </cell>
          <cell r="J1021">
            <v>157401</v>
          </cell>
          <cell r="K1021">
            <v>47717.919999999998</v>
          </cell>
          <cell r="L1021">
            <v>192</v>
          </cell>
          <cell r="M1021">
            <v>419009</v>
          </cell>
          <cell r="N1021">
            <v>3348</v>
          </cell>
          <cell r="O1021">
            <v>5019</v>
          </cell>
          <cell r="P1021">
            <v>0</v>
          </cell>
          <cell r="Q1021">
            <v>0</v>
          </cell>
          <cell r="R1021">
            <v>135724.74125000002</v>
          </cell>
          <cell r="S1021">
            <v>17.209264130801053</v>
          </cell>
          <cell r="T1021">
            <v>2.5379999999999999E-3</v>
          </cell>
          <cell r="U1021">
            <v>3.4079575927305102E-3</v>
          </cell>
          <cell r="V1021">
            <v>2.5960944E-2</v>
          </cell>
          <cell r="W1021">
            <v>0.30575999999999998</v>
          </cell>
          <cell r="X1021">
            <v>12.221</v>
          </cell>
          <cell r="Y1021">
            <v>9.68</v>
          </cell>
          <cell r="Z1021">
            <v>0</v>
          </cell>
          <cell r="AA1021">
            <v>0</v>
          </cell>
          <cell r="AB1021">
            <v>0</v>
          </cell>
          <cell r="AC1021">
            <v>0.10477223365907115</v>
          </cell>
          <cell r="AD1021">
            <v>9.6616989525608307E-2</v>
          </cell>
          <cell r="AE1021">
            <v>0</v>
          </cell>
          <cell r="AF1021">
            <v>15.660362398661182</v>
          </cell>
          <cell r="AG1021">
            <v>8.4986156274259841</v>
          </cell>
          <cell r="AH1021">
            <v>202601</v>
          </cell>
          <cell r="AJ1021" t="str">
            <v>BC-10:Expected ramp up from 11 Jan, due to the  problem of gas line and hot oil system in Swivel.
MECL:Prod'n deferred due to waiting well services, BSW increases &amp; sand problem.
GPOC:Prod'n deferred due to power tripped at Toma South &amp; El Toor.
SPOC:Produ'n deferred due to wells not started because of high back pressure.
ACG:Prod'n deferred due to ICSS card malfunction &amp; oil Plant shutdown.
PCB:Prod'n deferred due to low diluent inventories and high levels in storage tanks in P.T.O and Jose terminal tanks.
Vankor:Prod'n deferred due to failure of oil-gathering pipeline.</v>
          </cell>
        </row>
        <row r="1022">
          <cell r="C1022">
            <v>46030</v>
          </cell>
          <cell r="D1022">
            <v>292919</v>
          </cell>
          <cell r="E1022">
            <v>0</v>
          </cell>
          <cell r="F1022">
            <v>22263.399999999998</v>
          </cell>
          <cell r="G1022">
            <v>4825</v>
          </cell>
          <cell r="H1022">
            <v>2179</v>
          </cell>
          <cell r="I1022">
            <v>178471</v>
          </cell>
          <cell r="J1022">
            <v>157083</v>
          </cell>
          <cell r="K1022">
            <v>51688.3</v>
          </cell>
          <cell r="L1022">
            <v>192</v>
          </cell>
          <cell r="M1022">
            <v>426344</v>
          </cell>
          <cell r="N1022">
            <v>3332</v>
          </cell>
          <cell r="O1022">
            <v>4962</v>
          </cell>
          <cell r="P1022">
            <v>0</v>
          </cell>
          <cell r="Q1022">
            <v>0</v>
          </cell>
          <cell r="R1022">
            <v>137653.01574999999</v>
          </cell>
          <cell r="S1022">
            <v>21.2217575117444</v>
          </cell>
          <cell r="T1022">
            <v>4.2199999999999998E-3</v>
          </cell>
          <cell r="U1022">
            <v>3.4079575927305102E-3</v>
          </cell>
          <cell r="V1022">
            <v>2.7E-2</v>
          </cell>
          <cell r="W1022">
            <v>0.29704000000000003</v>
          </cell>
          <cell r="X1022">
            <v>12.226000000000001</v>
          </cell>
          <cell r="Y1022">
            <v>9.66</v>
          </cell>
          <cell r="Z1022">
            <v>0</v>
          </cell>
          <cell r="AA1022">
            <v>0</v>
          </cell>
          <cell r="AB1022">
            <v>0</v>
          </cell>
          <cell r="AC1022">
            <v>0.10426253090072972</v>
          </cell>
          <cell r="AD1022">
            <v>8.1156005855918353E-2</v>
          </cell>
          <cell r="AE1022">
            <v>0</v>
          </cell>
          <cell r="AF1022">
            <v>15.637680625914987</v>
          </cell>
          <cell r="AG1022">
            <v>8.5939383646804313</v>
          </cell>
          <cell r="AH1022">
            <v>202601</v>
          </cell>
          <cell r="AJ1022" t="str">
            <v>BC-10:Expected ramp up from 11 Jan, due to the  problem of gas line and hot oil system in Swivel.
MECL:Prod'n deferred due to waiting well services, BSW increases &amp; sand problem.
GPOC:Prod'n deferred due to power tripped at Toma South &amp; El Toor.
SPOC:Produ'n deferred due to wells not started because of high back pressure.
ACG:Prod'n deferred due to ICSS card malfunction &amp; oil Plant shutdown.
PCB:Prod'n deferred due to low diluent inventories and high levels in storage tanks in P.T.O and Jose terminal tanks.
Vankor:Prod'n deferred due to failure of oil-gathering pipeline.</v>
          </cell>
        </row>
        <row r="1023">
          <cell r="C1023">
            <v>46031</v>
          </cell>
          <cell r="D1023">
            <v>318143</v>
          </cell>
          <cell r="E1023">
            <v>0</v>
          </cell>
          <cell r="F1023">
            <v>22071.32</v>
          </cell>
          <cell r="G1023">
            <v>4818</v>
          </cell>
          <cell r="H1023">
            <v>2218</v>
          </cell>
          <cell r="I1023">
            <v>178021</v>
          </cell>
          <cell r="J1023">
            <v>157288</v>
          </cell>
          <cell r="K1023">
            <v>54622.1</v>
          </cell>
          <cell r="L1023">
            <v>2593</v>
          </cell>
          <cell r="M1023">
            <v>431465</v>
          </cell>
          <cell r="N1023">
            <v>3344</v>
          </cell>
          <cell r="O1023">
            <v>0</v>
          </cell>
          <cell r="P1023">
            <v>0</v>
          </cell>
          <cell r="Q1023">
            <v>0</v>
          </cell>
          <cell r="R1023">
            <v>137789.21299999999</v>
          </cell>
          <cell r="S1023">
            <v>22.146018513536852</v>
          </cell>
          <cell r="T1023">
            <v>4.3550000000000004E-3</v>
          </cell>
          <cell r="U1023">
            <v>3.4079575927305102E-3</v>
          </cell>
          <cell r="V1023">
            <v>0.03</v>
          </cell>
          <cell r="W1023">
            <v>0.29183999999999999</v>
          </cell>
          <cell r="X1023">
            <v>12.247</v>
          </cell>
          <cell r="Y1023">
            <v>9.82</v>
          </cell>
          <cell r="Z1023">
            <v>0</v>
          </cell>
          <cell r="AA1023">
            <v>0</v>
          </cell>
          <cell r="AB1023">
            <v>0</v>
          </cell>
          <cell r="AC1023">
            <v>0.10463064955953186</v>
          </cell>
          <cell r="AD1023">
            <v>8.8914814510671195E-2</v>
          </cell>
          <cell r="AE1023">
            <v>0</v>
          </cell>
          <cell r="AF1023">
            <v>15.6377372595548</v>
          </cell>
          <cell r="AG1023">
            <v>8.6662630932159992</v>
          </cell>
          <cell r="AH1023">
            <v>202601</v>
          </cell>
          <cell r="AJ1023" t="str">
            <v>BC-10:Expected ramp up from 11 Jan, due to the  problem of gas line and hot oil system in Swivel.
ACG:Prod'n deferred due to ICSS card malfunction &amp; oil Plant shutdown.
PCB:Prod'n deferred due all terminal inventories are full, all wells are shutdown.
Vankor:Prod'n deferred due to failure of oil-gathering pipeline.</v>
          </cell>
        </row>
        <row r="1024">
          <cell r="C1024">
            <v>46032</v>
          </cell>
          <cell r="D1024">
            <v>314850</v>
          </cell>
          <cell r="E1024">
            <v>0</v>
          </cell>
          <cell r="F1024">
            <v>22207.62</v>
          </cell>
          <cell r="G1024">
            <v>4148</v>
          </cell>
          <cell r="H1024">
            <v>2261</v>
          </cell>
          <cell r="I1024">
            <v>177053</v>
          </cell>
          <cell r="J1024">
            <v>148696</v>
          </cell>
          <cell r="K1024">
            <v>52463.76</v>
          </cell>
          <cell r="L1024">
            <v>11363</v>
          </cell>
          <cell r="M1024">
            <v>439911</v>
          </cell>
          <cell r="N1024">
            <v>0</v>
          </cell>
          <cell r="O1024">
            <v>0</v>
          </cell>
          <cell r="P1024">
            <v>0</v>
          </cell>
          <cell r="Q1024">
            <v>0</v>
          </cell>
          <cell r="R1024">
            <v>136614.96024999997</v>
          </cell>
          <cell r="S1024">
            <v>22.946251844132892</v>
          </cell>
          <cell r="T1024">
            <v>4.7819999999999998E-3</v>
          </cell>
          <cell r="U1024">
            <v>3.4079575927305102E-3</v>
          </cell>
          <cell r="V1024">
            <v>2.8000000000000001E-2</v>
          </cell>
          <cell r="W1024">
            <v>0.28608</v>
          </cell>
          <cell r="X1024">
            <v>12.279</v>
          </cell>
          <cell r="Y1024">
            <v>9.76</v>
          </cell>
          <cell r="Z1024">
            <v>0</v>
          </cell>
          <cell r="AA1024">
            <v>0</v>
          </cell>
          <cell r="AB1024">
            <v>0</v>
          </cell>
          <cell r="AC1024">
            <v>0</v>
          </cell>
          <cell r="AD1024">
            <v>9.2256199259798319E-2</v>
          </cell>
          <cell r="AE1024">
            <v>0</v>
          </cell>
          <cell r="AF1024">
            <v>14.941256757101149</v>
          </cell>
          <cell r="AG1024">
            <v>8.5452507051669144</v>
          </cell>
          <cell r="AH1024">
            <v>202601</v>
          </cell>
          <cell r="AJ1024" t="str">
            <v xml:space="preserve">BC-10:Expected ramp up from 11 Jan, due to the  problem of gas line and hot oil system in Swivel.
MECL:Prod'n deferred due to oil/water interface stabilization at Gun Barrel-10000-1 (-544 BOPD).
ACG:Prod'n deferred due to ICSS card malfunction &amp; oil Plant shutdown.
PCB:Prod'n deferred due to full storage capacity and lack of offtake, resulting in a complete shut-in of 63 wells.
Vankor:Prod'n deferred due to failure of oil-gathering pipeline.
</v>
          </cell>
        </row>
        <row r="1025">
          <cell r="C1025">
            <v>46033</v>
          </cell>
          <cell r="D1025">
            <v>328700</v>
          </cell>
          <cell r="E1025">
            <v>0</v>
          </cell>
          <cell r="F1025">
            <v>22213.99</v>
          </cell>
          <cell r="G1025">
            <v>4747</v>
          </cell>
          <cell r="H1025">
            <v>2236</v>
          </cell>
          <cell r="I1025">
            <v>179220</v>
          </cell>
          <cell r="J1025">
            <v>159770</v>
          </cell>
          <cell r="K1025">
            <v>51684.55</v>
          </cell>
          <cell r="L1025">
            <v>5137</v>
          </cell>
          <cell r="M1025">
            <v>433322</v>
          </cell>
          <cell r="N1025">
            <v>0</v>
          </cell>
          <cell r="O1025">
            <v>0</v>
          </cell>
          <cell r="P1025">
            <v>0</v>
          </cell>
          <cell r="Q1025">
            <v>0</v>
          </cell>
          <cell r="R1025">
            <v>138651.28675</v>
          </cell>
          <cell r="S1025">
            <v>23.436982333136058</v>
          </cell>
          <cell r="T1025">
            <v>5.1749999999999999E-3</v>
          </cell>
          <cell r="U1025">
            <v>3.4079575927305102E-3</v>
          </cell>
          <cell r="V1025">
            <v>2.9000000000000001E-2</v>
          </cell>
          <cell r="W1025">
            <v>0.28354000000000001</v>
          </cell>
          <cell r="X1025">
            <v>12.22</v>
          </cell>
          <cell r="Y1025">
            <v>9.85</v>
          </cell>
          <cell r="Z1025">
            <v>0</v>
          </cell>
          <cell r="AA1025">
            <v>0</v>
          </cell>
          <cell r="AB1025">
            <v>0</v>
          </cell>
          <cell r="AC1025">
            <v>0</v>
          </cell>
          <cell r="AD1025">
            <v>7.5889077353056944E-2</v>
          </cell>
          <cell r="AE1025">
            <v>0</v>
          </cell>
          <cell r="AF1025">
            <v>14.987130005351878</v>
          </cell>
          <cell r="AG1025">
            <v>8.5705222854101848</v>
          </cell>
          <cell r="AH1025">
            <v>202601</v>
          </cell>
          <cell r="AJ1025" t="str">
            <v xml:space="preserve">BC-10:Revised ramp-up ~25 Feb 2026, as informed in the BC-10 JV Meeting.
MECL:Prod'n deferred due to oil/water interface stabilization at Gun Barrel-10000-1 (-544 BOPD).
ACG:Prod'n deferred due to ICSS card malfunction &amp; oil Plant shutdown.
SPOC:6,879 bbl transfer to Tharjiath COST tank level.
PCB:Prod'n deferred due to full storage capacity and lack of offtake, resulting in a complete shut-in of 63 wells.
Vankor:Prod'n deferred due to failure of oil-gathering pipeline.
</v>
          </cell>
        </row>
        <row r="1026">
          <cell r="C1026">
            <v>46034</v>
          </cell>
          <cell r="D1026">
            <v>346381</v>
          </cell>
          <cell r="E1026">
            <v>0</v>
          </cell>
          <cell r="F1026">
            <v>22231.13</v>
          </cell>
          <cell r="G1026">
            <v>4806</v>
          </cell>
          <cell r="H1026">
            <v>2181</v>
          </cell>
          <cell r="I1026">
            <v>175668</v>
          </cell>
          <cell r="J1026">
            <v>160620</v>
          </cell>
          <cell r="K1026">
            <v>56177.3</v>
          </cell>
          <cell r="L1026">
            <v>9138</v>
          </cell>
          <cell r="M1026">
            <v>450399</v>
          </cell>
          <cell r="N1026">
            <v>2044</v>
          </cell>
          <cell r="O1026">
            <v>0</v>
          </cell>
          <cell r="P1026">
            <v>0</v>
          </cell>
          <cell r="Q1026">
            <v>0</v>
          </cell>
          <cell r="R1026">
            <v>141661.90274999998</v>
          </cell>
          <cell r="S1026">
            <v>23.044511209213159</v>
          </cell>
          <cell r="T1026">
            <v>-4.3800000000000002E-4</v>
          </cell>
          <cell r="U1026">
            <v>3.4079575927305102E-3</v>
          </cell>
          <cell r="V1026">
            <v>2.8781616000000003E-2</v>
          </cell>
          <cell r="W1026">
            <v>0.27453</v>
          </cell>
          <cell r="X1026">
            <v>12.204000000000001</v>
          </cell>
          <cell r="Y1026">
            <v>9.9</v>
          </cell>
          <cell r="Z1026">
            <v>0</v>
          </cell>
          <cell r="AA1026">
            <v>0</v>
          </cell>
          <cell r="AB1026">
            <v>0</v>
          </cell>
          <cell r="AC1026">
            <v>6.3967696171849109E-2</v>
          </cell>
          <cell r="AD1026">
            <v>7.1018584328905524E-2</v>
          </cell>
          <cell r="AE1026">
            <v>0</v>
          </cell>
          <cell r="AF1026">
            <v>15.615310338187781</v>
          </cell>
          <cell r="AG1026">
            <v>8.6700867089867852</v>
          </cell>
          <cell r="AH1026">
            <v>202601</v>
          </cell>
          <cell r="AJ1026" t="str">
            <v>BC-10:Revised ramp-up ~25 Feb 2026, as informed in the BC-10 JV Meeting.
ACG:Prod'n deferred due to ICSS card malfunction &amp; oil Plant shutdown.
SPOC:2,655 bbl transfer to Tharjiath COST tank level.
MECL:Prod'n deferred due to waiting well services, BSW increases &amp; sand problem.
Vankor:Prod'n deferred due to failure of oil-gathering pipeline.
PCB:Prod'n deferred due to low diluent inventories and high levels in storage tanks.</v>
          </cell>
        </row>
        <row r="1027">
          <cell r="C1027">
            <v>46035</v>
          </cell>
          <cell r="D1027">
            <v>355026</v>
          </cell>
          <cell r="E1027">
            <v>0</v>
          </cell>
          <cell r="F1027">
            <v>22222.54</v>
          </cell>
          <cell r="G1027">
            <v>4830</v>
          </cell>
          <cell r="H1027">
            <v>2167</v>
          </cell>
          <cell r="I1027">
            <v>160646</v>
          </cell>
          <cell r="J1027">
            <v>160243</v>
          </cell>
          <cell r="K1027">
            <v>54685.5</v>
          </cell>
          <cell r="L1027">
            <v>10972</v>
          </cell>
          <cell r="M1027">
            <v>425920</v>
          </cell>
          <cell r="N1027">
            <v>2149</v>
          </cell>
          <cell r="O1027">
            <v>0</v>
          </cell>
          <cell r="P1027">
            <v>0</v>
          </cell>
          <cell r="Q1027">
            <v>0</v>
          </cell>
          <cell r="R1027">
            <v>137906.2285</v>
          </cell>
          <cell r="S1027">
            <v>22.999770633758747</v>
          </cell>
          <cell r="T1027">
            <v>-1.474E-3</v>
          </cell>
          <cell r="U1027">
            <v>3.4079575927305102E-3</v>
          </cell>
          <cell r="V1027">
            <v>0.03</v>
          </cell>
          <cell r="W1027">
            <v>0.28022000000000002</v>
          </cell>
          <cell r="X1027">
            <v>12.198</v>
          </cell>
          <cell r="Y1027">
            <v>10.11</v>
          </cell>
          <cell r="Z1027">
            <v>0</v>
          </cell>
          <cell r="AA1027">
            <v>0</v>
          </cell>
          <cell r="AB1027">
            <v>0</v>
          </cell>
          <cell r="AC1027">
            <v>6.7252447281160532E-2</v>
          </cell>
          <cell r="AD1027">
            <v>8.5176994282834054E-2</v>
          </cell>
          <cell r="AE1027">
            <v>0</v>
          </cell>
          <cell r="AF1027">
            <v>15.64107864430393</v>
          </cell>
          <cell r="AG1027">
            <v>8.7386028177980837</v>
          </cell>
          <cell r="AH1027">
            <v>202601</v>
          </cell>
          <cell r="AJ1027" t="str">
            <v>BC-10:Revised ramp-up ~25 Feb 2026, as informed in the BC-10 JV Meeting.
ACG:Prod'n deferred due to ICSS card malfunction &amp; oil Plant shutdown.
SPOC:2,655 bbl transfer to Tharjiath COST tank level.
MECL:Prod'n deferred due to waiting well services, BSW increases &amp; sand problem.
Vankor:Prod'n deferred due to failure of oil-gathering pipeline.
PCB:Prod'n deferred due to low diluent inventories and high levels in storage tanks.</v>
          </cell>
        </row>
        <row r="1028">
          <cell r="C1028">
            <v>46036</v>
          </cell>
          <cell r="D1028">
            <v>311260</v>
          </cell>
          <cell r="E1028">
            <v>0</v>
          </cell>
          <cell r="F1028">
            <v>21779.31</v>
          </cell>
          <cell r="G1028">
            <v>4733</v>
          </cell>
          <cell r="H1028">
            <v>2212</v>
          </cell>
          <cell r="I1028">
            <v>176682</v>
          </cell>
          <cell r="J1028">
            <v>160295</v>
          </cell>
          <cell r="K1028">
            <v>54360.66</v>
          </cell>
          <cell r="L1028">
            <v>12928</v>
          </cell>
          <cell r="M1028">
            <v>448966</v>
          </cell>
          <cell r="N1028">
            <v>2152</v>
          </cell>
          <cell r="O1028">
            <v>4000</v>
          </cell>
          <cell r="P1028">
            <v>0</v>
          </cell>
          <cell r="Q1028">
            <v>0</v>
          </cell>
          <cell r="R1028">
            <v>142445.87700000001</v>
          </cell>
          <cell r="S1028">
            <v>22.309123396206111</v>
          </cell>
          <cell r="T1028">
            <v>-1.5949999999999999E-2</v>
          </cell>
          <cell r="U1028">
            <v>3.4079575927305102E-3</v>
          </cell>
          <cell r="V1028">
            <v>2.9163936000000001E-2</v>
          </cell>
          <cell r="W1028">
            <v>0.28974</v>
          </cell>
          <cell r="X1028">
            <v>12.177</v>
          </cell>
          <cell r="Y1028">
            <v>9.92</v>
          </cell>
          <cell r="Z1028">
            <v>0</v>
          </cell>
          <cell r="AA1028">
            <v>0</v>
          </cell>
          <cell r="AB1028">
            <v>0</v>
          </cell>
          <cell r="AC1028">
            <v>6.7337397740884111E-2</v>
          </cell>
          <cell r="AD1028">
            <v>9.0528873245419042E-2</v>
          </cell>
          <cell r="AE1028">
            <v>0</v>
          </cell>
          <cell r="AF1028">
            <v>15.632045578753324</v>
          </cell>
          <cell r="AG1028">
            <v>8.6706093090916703</v>
          </cell>
          <cell r="AH1028">
            <v>202601</v>
          </cell>
          <cell r="AJ1028" t="str">
            <v>BC-10:Revised ramp-up ~25 Feb 2026, as informed in the BC-10 JV Meeting.
MECL:Prod'n deferred due to waiting well services.
Vankor:Prod'n deferred due to the shutdown of 47 wells for repair of the oil-gathering pipeline.
PCB:Prod'n deferred due to low diluent inventories and high levels in storage tanks.</v>
          </cell>
        </row>
        <row r="1029">
          <cell r="C1029">
            <v>46037</v>
          </cell>
          <cell r="D1029">
            <v>325713</v>
          </cell>
          <cell r="E1029">
            <v>0</v>
          </cell>
          <cell r="F1029">
            <v>22073.16</v>
          </cell>
          <cell r="G1029">
            <v>4660</v>
          </cell>
          <cell r="H1029">
            <v>2198</v>
          </cell>
          <cell r="I1029">
            <v>175865</v>
          </cell>
          <cell r="J1029">
            <v>159764</v>
          </cell>
          <cell r="K1029">
            <v>55538.19</v>
          </cell>
          <cell r="L1029">
            <v>18037</v>
          </cell>
          <cell r="M1029">
            <v>461797</v>
          </cell>
          <cell r="N1029">
            <v>3038</v>
          </cell>
          <cell r="O1029">
            <v>4982</v>
          </cell>
          <cell r="P1029">
            <v>0</v>
          </cell>
          <cell r="Q1029">
            <v>0</v>
          </cell>
          <cell r="R1029">
            <v>145252.791</v>
          </cell>
          <cell r="S1029">
            <v>15.698561788716878</v>
          </cell>
          <cell r="T1029">
            <v>3.8299999999999999E-4</v>
          </cell>
          <cell r="U1029">
            <v>3.4079575927305102E-3</v>
          </cell>
          <cell r="V1029">
            <v>2.9000000000000001E-2</v>
          </cell>
          <cell r="W1029">
            <v>0.28383999999999998</v>
          </cell>
          <cell r="X1029">
            <v>12.156920489201379</v>
          </cell>
          <cell r="Y1029">
            <v>9.94</v>
          </cell>
          <cell r="Z1029">
            <v>0</v>
          </cell>
          <cell r="AA1029">
            <v>0</v>
          </cell>
          <cell r="AB1029">
            <v>0</v>
          </cell>
          <cell r="AC1029">
            <v>9.5059564430676174E-2</v>
          </cell>
          <cell r="AD1029">
            <v>9.3841941174638316E-2</v>
          </cell>
          <cell r="AE1029">
            <v>0</v>
          </cell>
          <cell r="AF1029">
            <v>15.629553698601431</v>
          </cell>
          <cell r="AG1029">
            <v>8.4808134677946292</v>
          </cell>
          <cell r="AH1029">
            <v>202601</v>
          </cell>
          <cell r="AJ1029" t="str">
            <v>BC-10:Revised ramp-up ~25 Feb 2026, as informed in the BC-10 JV Meeting.
MECL:Prod'n deferred due to waiting well services.
PCB:Prod'n deferred due to low diluent inventories and high levels in storage tanks.</v>
          </cell>
        </row>
        <row r="1030">
          <cell r="C1030">
            <v>46038</v>
          </cell>
          <cell r="D1030">
            <v>321991</v>
          </cell>
          <cell r="E1030">
            <v>0</v>
          </cell>
          <cell r="F1030">
            <v>22095.55</v>
          </cell>
          <cell r="G1030">
            <v>4637</v>
          </cell>
          <cell r="H1030">
            <v>2221</v>
          </cell>
          <cell r="I1030">
            <v>176795</v>
          </cell>
          <cell r="J1030">
            <v>160194</v>
          </cell>
          <cell r="K1030">
            <v>56044.84</v>
          </cell>
          <cell r="L1030">
            <v>10816</v>
          </cell>
          <cell r="M1030">
            <v>419303</v>
          </cell>
          <cell r="N1030">
            <v>3313</v>
          </cell>
          <cell r="O1030">
            <v>0</v>
          </cell>
          <cell r="P1030">
            <v>0</v>
          </cell>
          <cell r="Q1030">
            <v>0</v>
          </cell>
          <cell r="R1030">
            <v>140191.18174999999</v>
          </cell>
          <cell r="S1030">
            <v>14.762407722563122</v>
          </cell>
          <cell r="T1030">
            <v>2.542E-3</v>
          </cell>
          <cell r="U1030">
            <v>3.4079575927305102E-3</v>
          </cell>
          <cell r="V1030">
            <v>2.9000000000000001E-2</v>
          </cell>
          <cell r="W1030">
            <v>0.28355000000000002</v>
          </cell>
          <cell r="X1030">
            <v>12.167</v>
          </cell>
          <cell r="Y1030">
            <v>10</v>
          </cell>
          <cell r="Z1030">
            <v>0</v>
          </cell>
          <cell r="AA1030">
            <v>0</v>
          </cell>
          <cell r="AB1030">
            <v>0</v>
          </cell>
          <cell r="AC1030">
            <v>0.10366787768266472</v>
          </cell>
          <cell r="AD1030">
            <v>8.8376794932421898E-2</v>
          </cell>
          <cell r="AE1030">
            <v>0</v>
          </cell>
          <cell r="AF1030">
            <v>15.613866180372479</v>
          </cell>
          <cell r="AG1030">
            <v>8.4674337713812662</v>
          </cell>
          <cell r="AH1030">
            <v>202601</v>
          </cell>
          <cell r="AJ1030" t="str">
            <v>BC-10:Revised ramp-up ~25 Feb 2026, as informed in the BC-10 JV Meeting.
MECL:Prod'n deferred due to waiting well services.
PCB:Prod'n deferred due to low diluent inventories and high levels in storage tanks.
SPOC:1,008 bbl transfer to Tharjiath COST tank level.</v>
          </cell>
        </row>
        <row r="1031">
          <cell r="C1031">
            <v>46039</v>
          </cell>
          <cell r="D1031">
            <v>332410</v>
          </cell>
          <cell r="E1031">
            <v>0</v>
          </cell>
          <cell r="F1031">
            <v>22631.64</v>
          </cell>
          <cell r="G1031">
            <v>4588</v>
          </cell>
          <cell r="H1031">
            <v>2179</v>
          </cell>
          <cell r="I1031">
            <v>176835</v>
          </cell>
          <cell r="J1031">
            <v>162898</v>
          </cell>
          <cell r="K1031">
            <v>54844.31</v>
          </cell>
          <cell r="L1031">
            <v>9212</v>
          </cell>
          <cell r="M1031">
            <v>447417</v>
          </cell>
          <cell r="N1031">
            <v>3373</v>
          </cell>
          <cell r="O1031">
            <v>4992</v>
          </cell>
          <cell r="P1031">
            <v>0</v>
          </cell>
          <cell r="Q1031">
            <v>0</v>
          </cell>
          <cell r="R1031">
            <v>143956.603</v>
          </cell>
          <cell r="S1031">
            <v>15.87157755835389</v>
          </cell>
          <cell r="T1031">
            <v>-6.6709999999999998E-3</v>
          </cell>
          <cell r="U1031">
            <v>3.4079575927305102E-3</v>
          </cell>
          <cell r="V1031">
            <v>0.03</v>
          </cell>
          <cell r="W1031">
            <v>0.28010000000000002</v>
          </cell>
          <cell r="X1031">
            <v>12.132</v>
          </cell>
          <cell r="Y1031">
            <v>10.029999999999999</v>
          </cell>
          <cell r="Z1031">
            <v>0</v>
          </cell>
          <cell r="AA1031">
            <v>0</v>
          </cell>
          <cell r="AB1031">
            <v>0</v>
          </cell>
          <cell r="AC1031">
            <v>0.10553678779658328</v>
          </cell>
          <cell r="AD1031">
            <v>0</v>
          </cell>
          <cell r="AE1031">
            <v>0</v>
          </cell>
          <cell r="AF1031">
            <v>15.605427768039938</v>
          </cell>
          <cell r="AG1031">
            <v>8.4586598111211764</v>
          </cell>
          <cell r="AH1031">
            <v>202601</v>
          </cell>
          <cell r="AJ1031" t="str">
            <v>BC-10:Revised ramp-up ~25 Feb 2026, as informed in the BC-10 JV Meeting.
MECL:Prod'n deferred due to waiting well services.
PCB:Prod'n deferred due to low diluent inventories and high levels in storage tanks.
SPOC:2,572 bbl transfer to Tharjiath COST tank level.</v>
          </cell>
        </row>
        <row r="1032">
          <cell r="C1032">
            <v>46040</v>
          </cell>
          <cell r="D1032">
            <v>339172</v>
          </cell>
          <cell r="E1032">
            <v>0</v>
          </cell>
          <cell r="F1032">
            <v>22128.49</v>
          </cell>
          <cell r="G1032">
            <v>4561</v>
          </cell>
          <cell r="H1032">
            <v>2205</v>
          </cell>
          <cell r="I1032">
            <v>175801</v>
          </cell>
          <cell r="J1032">
            <v>158890</v>
          </cell>
          <cell r="K1032">
            <v>55888.15</v>
          </cell>
          <cell r="L1032">
            <v>15052</v>
          </cell>
          <cell r="M1032">
            <v>440360</v>
          </cell>
          <cell r="N1032">
            <v>3357</v>
          </cell>
          <cell r="O1032">
            <v>1997</v>
          </cell>
          <cell r="P1032">
            <v>0</v>
          </cell>
          <cell r="Q1032">
            <v>0</v>
          </cell>
          <cell r="R1032">
            <v>142753.62649999998</v>
          </cell>
          <cell r="S1032">
            <v>14.951564079547607</v>
          </cell>
          <cell r="T1032">
            <v>1.5786000000000001E-2</v>
          </cell>
          <cell r="U1032">
            <v>3.4079575927305102E-3</v>
          </cell>
          <cell r="V1032">
            <v>0.03</v>
          </cell>
          <cell r="W1032">
            <v>0.27947000000000005</v>
          </cell>
          <cell r="X1032">
            <v>12.180999999999999</v>
          </cell>
          <cell r="Y1032">
            <v>9.99</v>
          </cell>
          <cell r="Z1032">
            <v>0</v>
          </cell>
          <cell r="AA1032">
            <v>0</v>
          </cell>
          <cell r="AB1032">
            <v>0</v>
          </cell>
          <cell r="AC1032">
            <v>0.10502708503824186</v>
          </cell>
          <cell r="AD1032">
            <v>0</v>
          </cell>
          <cell r="AE1032">
            <v>0</v>
          </cell>
          <cell r="AF1032">
            <v>15.584926390426647</v>
          </cell>
          <cell r="AG1032">
            <v>8.4330415053684149</v>
          </cell>
          <cell r="AH1032">
            <v>202601</v>
          </cell>
          <cell r="AJ1032" t="str">
            <v>BC-10::Ramp up ongoing, ALM 1 Train C - ONLINE with MOBO 3 and MOBO 2.
MECL:Prod'n deferred due to waiting well services.
PCB:Prod'n deferred due to low diluent inventories and high levels in storage tanks.</v>
          </cell>
        </row>
        <row r="1033">
          <cell r="C1033">
            <v>46041</v>
          </cell>
          <cell r="D1033">
            <v>307670</v>
          </cell>
          <cell r="E1033">
            <v>497</v>
          </cell>
          <cell r="F1033">
            <v>22141.4</v>
          </cell>
          <cell r="G1033">
            <v>4532</v>
          </cell>
          <cell r="H1033">
            <v>2192</v>
          </cell>
          <cell r="I1033">
            <v>176516</v>
          </cell>
          <cell r="J1033">
            <v>159784</v>
          </cell>
          <cell r="K1033">
            <v>54686.82</v>
          </cell>
          <cell r="L1033">
            <v>14753</v>
          </cell>
          <cell r="M1033">
            <v>466754</v>
          </cell>
          <cell r="N1033">
            <v>3361</v>
          </cell>
          <cell r="O1033">
            <v>0</v>
          </cell>
          <cell r="P1033">
            <v>0</v>
          </cell>
          <cell r="Q1033">
            <v>0</v>
          </cell>
          <cell r="R1033">
            <v>142208.29375000001</v>
          </cell>
          <cell r="S1033">
            <v>14.837447295318945</v>
          </cell>
          <cell r="T1033">
            <v>8.0682000000000004E-2</v>
          </cell>
          <cell r="U1033">
            <v>3.4079575927305102E-3</v>
          </cell>
          <cell r="V1033">
            <v>2.941032E-2</v>
          </cell>
          <cell r="W1033">
            <v>0.28593999999999997</v>
          </cell>
          <cell r="X1033">
            <v>12.122</v>
          </cell>
          <cell r="Y1033">
            <v>9.85</v>
          </cell>
          <cell r="Z1033">
            <v>0</v>
          </cell>
          <cell r="AA1033">
            <v>0</v>
          </cell>
          <cell r="AB1033">
            <v>0</v>
          </cell>
          <cell r="AC1033">
            <v>0.1127858936929947</v>
          </cell>
          <cell r="AD1033">
            <v>0</v>
          </cell>
          <cell r="AE1033">
            <v>0</v>
          </cell>
          <cell r="AF1033">
            <v>15.573231543804706</v>
          </cell>
          <cell r="AG1033">
            <v>8.4040660144560206</v>
          </cell>
          <cell r="AH1033">
            <v>202601</v>
          </cell>
          <cell r="AJ1033" t="str">
            <v>BC-10:ALM1 1 is online from 17.01.2026 and Hot Oil circulation has also started from 17.01.2026.
MECL:Prod'n deferred due to waiting well services.
PCB:Prod'n deferred due to low diluent inventories and high levels in storage tanks.
SCB:Prod'n deferred due to the unavailability of ullage, the dispatch of produced hydrocarbons has been affected.</v>
          </cell>
        </row>
        <row r="1034">
          <cell r="C1034">
            <v>46042</v>
          </cell>
          <cell r="D1034">
            <v>344755</v>
          </cell>
          <cell r="E1034">
            <v>12453</v>
          </cell>
          <cell r="F1034">
            <v>22106.280000000002</v>
          </cell>
          <cell r="G1034">
            <v>4571</v>
          </cell>
          <cell r="H1034">
            <v>2223</v>
          </cell>
          <cell r="I1034">
            <v>177863</v>
          </cell>
          <cell r="J1034">
            <v>157456</v>
          </cell>
          <cell r="K1034">
            <v>52654.25</v>
          </cell>
          <cell r="L1034">
            <v>12617</v>
          </cell>
          <cell r="M1034">
            <v>480938</v>
          </cell>
          <cell r="N1034">
            <v>3372</v>
          </cell>
          <cell r="O1034">
            <v>0</v>
          </cell>
          <cell r="P1034">
            <v>0</v>
          </cell>
          <cell r="Q1034">
            <v>0</v>
          </cell>
          <cell r="R1034">
            <v>145756.30350000001</v>
          </cell>
          <cell r="S1034">
            <v>14.950997743149456</v>
          </cell>
          <cell r="T1034">
            <v>0.10671600000000001</v>
          </cell>
          <cell r="U1034">
            <v>3.4079575927305102E-3</v>
          </cell>
          <cell r="V1034">
            <v>0.03</v>
          </cell>
          <cell r="W1034">
            <v>0.29586000000000001</v>
          </cell>
          <cell r="X1034">
            <v>12.185945229606933</v>
          </cell>
          <cell r="Y1034">
            <v>9.93</v>
          </cell>
          <cell r="Z1034">
            <v>0</v>
          </cell>
          <cell r="AA1034">
            <v>0</v>
          </cell>
          <cell r="AB1034">
            <v>0</v>
          </cell>
          <cell r="AC1034">
            <v>0.11315401235179684</v>
          </cell>
          <cell r="AD1034">
            <v>0</v>
          </cell>
          <cell r="AE1034">
            <v>0</v>
          </cell>
          <cell r="AF1034">
            <v>15.57444916706074</v>
          </cell>
          <cell r="AG1034">
            <v>8.4584679199824429</v>
          </cell>
          <cell r="AH1034">
            <v>202601</v>
          </cell>
          <cell r="AJ1034" t="str">
            <v>BC-10:ALM1 1 is online from 17.01.2026 and Hot Oil circulation has also started from 17.01.2026.
MECL:Prod'n deferred due to waiting well services.
PCB:Prod'n deferred due to low diluent inventories and high levels in storage tanks.
SCB:Prod'n deferred due to the unavailability of ullage, the dispatch of produced hydrocarbons has been affected.</v>
          </cell>
        </row>
        <row r="1035">
          <cell r="C1035">
            <v>46043</v>
          </cell>
          <cell r="D1035">
            <v>332084</v>
          </cell>
          <cell r="E1035">
            <v>22226</v>
          </cell>
          <cell r="F1035">
            <v>22131.919999999998</v>
          </cell>
          <cell r="G1035">
            <v>4088</v>
          </cell>
          <cell r="H1035">
            <v>2241</v>
          </cell>
          <cell r="I1035">
            <v>187181</v>
          </cell>
          <cell r="J1035">
            <v>158384</v>
          </cell>
          <cell r="K1035">
            <v>55815.31</v>
          </cell>
          <cell r="L1035">
            <v>14336</v>
          </cell>
          <cell r="M1035">
            <v>470492</v>
          </cell>
          <cell r="N1035">
            <v>3427</v>
          </cell>
          <cell r="O1035">
            <v>0</v>
          </cell>
          <cell r="P1035">
            <v>0</v>
          </cell>
          <cell r="Q1035">
            <v>0</v>
          </cell>
          <cell r="R1035">
            <v>150716.89850000001</v>
          </cell>
          <cell r="S1035">
            <v>14.896629448926365</v>
          </cell>
          <cell r="T1035">
            <v>0.174513</v>
          </cell>
          <cell r="U1035">
            <v>3.4079575927305102E-3</v>
          </cell>
          <cell r="V1035">
            <v>2.8591872000000004E-2</v>
          </cell>
          <cell r="W1035">
            <v>0.30354999999999999</v>
          </cell>
          <cell r="X1035">
            <v>12.124000000000001</v>
          </cell>
          <cell r="Y1035">
            <v>9.85</v>
          </cell>
          <cell r="Z1035">
            <v>0</v>
          </cell>
          <cell r="AA1035">
            <v>0</v>
          </cell>
          <cell r="AB1035">
            <v>0</v>
          </cell>
          <cell r="AC1035">
            <v>0.11499460564580755</v>
          </cell>
          <cell r="AD1035">
            <v>0</v>
          </cell>
          <cell r="AE1035">
            <v>0</v>
          </cell>
          <cell r="AF1035">
            <v>15.610892914282154</v>
          </cell>
          <cell r="AG1035">
            <v>8.4553776297450121</v>
          </cell>
          <cell r="AH1035">
            <v>202601</v>
          </cell>
          <cell r="AJ1035" t="str">
            <v>BC-10:ALM1 1 is online from 17.01.2026 and Hot Oil circulation has also started from 17.01.2026.
PCB:Prod'n deferred due to low diluent inventories and high levels in storage tanks.
SCB:Prod'n deferred due to the unavailability of ullage, the dispatch of produced hydrocarbons has been affected.
MECL:Prod'n deferred due to increase in BSW (Basic Sediment and Water) levels.</v>
          </cell>
        </row>
        <row r="1036">
          <cell r="C1036">
            <v>46044</v>
          </cell>
          <cell r="D1036">
            <v>329424</v>
          </cell>
          <cell r="E1036">
            <v>26214</v>
          </cell>
          <cell r="F1036">
            <v>22104.32</v>
          </cell>
          <cell r="G1036">
            <v>4037</v>
          </cell>
          <cell r="H1036">
            <v>2296</v>
          </cell>
          <cell r="I1036">
            <v>165506</v>
          </cell>
          <cell r="J1036">
            <v>158903</v>
          </cell>
          <cell r="K1036">
            <v>52543.91</v>
          </cell>
          <cell r="L1036">
            <v>14160</v>
          </cell>
          <cell r="M1036">
            <v>441883</v>
          </cell>
          <cell r="N1036">
            <v>3403</v>
          </cell>
          <cell r="O1036">
            <v>0</v>
          </cell>
          <cell r="P1036">
            <v>0</v>
          </cell>
          <cell r="Q1036">
            <v>0</v>
          </cell>
          <cell r="R1036">
            <v>145518.6635</v>
          </cell>
          <cell r="S1036">
            <v>14.985261095237961</v>
          </cell>
          <cell r="T1036">
            <v>0.189248</v>
          </cell>
          <cell r="U1036">
            <v>3.4079575927305102E-3</v>
          </cell>
          <cell r="V1036">
            <v>0.03</v>
          </cell>
          <cell r="W1036">
            <v>0.29675999999999997</v>
          </cell>
          <cell r="X1036">
            <v>12.151936728897597</v>
          </cell>
          <cell r="Y1036">
            <v>9.84</v>
          </cell>
          <cell r="Z1036">
            <v>0</v>
          </cell>
          <cell r="AA1036">
            <v>0</v>
          </cell>
          <cell r="AB1036">
            <v>0</v>
          </cell>
          <cell r="AC1036">
            <v>0.11420173468838755</v>
          </cell>
          <cell r="AD1036">
            <v>0</v>
          </cell>
          <cell r="AE1036">
            <v>0</v>
          </cell>
          <cell r="AF1036">
            <v>15.621285187188336</v>
          </cell>
          <cell r="AG1036">
            <v>8.4605294357678815</v>
          </cell>
          <cell r="AH1036">
            <v>202601</v>
          </cell>
          <cell r="AJ1036" t="str">
            <v>BC-10:ALM1 1 is online from 17.01.2026 and Hot Oil circulation has also started from 17.01.2026.
PCB:Prod'n deferred due to low diluent inventories and high levels in storage tanks.
SCB:Prod'n deferred due to the unavailability of ullage, the dispatch of produced hydrocarbons has been affected.
MECL:Prod'n deferred due to Gun Barrel 10000-2 filling (-422 BOPD)</v>
          </cell>
        </row>
        <row r="1037">
          <cell r="C1037">
            <v>46045</v>
          </cell>
          <cell r="D1037">
            <v>336873</v>
          </cell>
          <cell r="E1037">
            <v>37239</v>
          </cell>
          <cell r="F1037">
            <v>22069.25</v>
          </cell>
          <cell r="G1037">
            <v>4157</v>
          </cell>
          <cell r="H1037">
            <v>2209</v>
          </cell>
          <cell r="I1037">
            <v>133469</v>
          </cell>
          <cell r="J1037">
            <v>158390</v>
          </cell>
          <cell r="K1037">
            <v>55226.65</v>
          </cell>
          <cell r="L1037">
            <v>13388</v>
          </cell>
          <cell r="M1037">
            <v>424803</v>
          </cell>
          <cell r="N1037">
            <v>3462</v>
          </cell>
          <cell r="O1037">
            <v>3989</v>
          </cell>
          <cell r="P1037">
            <v>0</v>
          </cell>
          <cell r="Q1037">
            <v>0</v>
          </cell>
          <cell r="R1037">
            <v>143524.29775000003</v>
          </cell>
          <cell r="S1037">
            <v>14.780247319105076</v>
          </cell>
          <cell r="T1037">
            <v>0.254029</v>
          </cell>
          <cell r="U1037">
            <v>3.4079575927305102E-3</v>
          </cell>
          <cell r="V1037">
            <v>2.9000000000000001E-2</v>
          </cell>
          <cell r="W1037">
            <v>0.29143999999999998</v>
          </cell>
          <cell r="X1037">
            <v>12.119</v>
          </cell>
          <cell r="Y1037">
            <v>9.9600000000000009</v>
          </cell>
          <cell r="Z1037">
            <v>0</v>
          </cell>
          <cell r="AA1037">
            <v>0</v>
          </cell>
          <cell r="AB1037">
            <v>0</v>
          </cell>
          <cell r="AC1037">
            <v>0.11615559526202969</v>
          </cell>
          <cell r="AD1037">
            <v>0</v>
          </cell>
          <cell r="AE1037">
            <v>0</v>
          </cell>
          <cell r="AF1037">
            <v>15.602765986968597</v>
          </cell>
          <cell r="AG1037">
            <v>8.4878829676622196</v>
          </cell>
          <cell r="AH1037">
            <v>202601</v>
          </cell>
          <cell r="AJ1037" t="str">
            <v>PCB:Prod'n deferred due to low diluent inventories and high levels in storage tanks.
SCB:Prod'n deferred due to the unavailability of ullage, the dispatch of produced hydrocarbons has been affected.
Sakhalin-1:Prod'n deferred due to tanker fleet delays arising from adverse weather conditions.
BC-10:ALM-1 Train C online with MOBO-3 and MOBO-2, ALM-3 Train A online with MOBO-9 and MOBO-7.
MECL:Prod'n deferred due to Gun Barrel 10000-2 filling (+495 BOPD)</v>
          </cell>
        </row>
        <row r="1038">
          <cell r="C1038">
            <v>46046</v>
          </cell>
          <cell r="D1038">
            <v>312149</v>
          </cell>
          <cell r="E1038">
            <v>24396</v>
          </cell>
          <cell r="F1038">
            <v>22054.620000000003</v>
          </cell>
          <cell r="G1038">
            <v>4625</v>
          </cell>
          <cell r="H1038">
            <v>2183</v>
          </cell>
          <cell r="I1038">
            <v>134431</v>
          </cell>
          <cell r="J1038">
            <v>157622</v>
          </cell>
          <cell r="K1038">
            <v>55309.62</v>
          </cell>
          <cell r="L1038">
            <v>13713</v>
          </cell>
          <cell r="M1038">
            <v>484308</v>
          </cell>
          <cell r="N1038">
            <v>3481</v>
          </cell>
          <cell r="O1038">
            <v>0</v>
          </cell>
          <cell r="P1038">
            <v>0</v>
          </cell>
          <cell r="Q1038">
            <v>0</v>
          </cell>
          <cell r="R1038">
            <v>140409.8285</v>
          </cell>
          <cell r="S1038">
            <v>14.617425604634898</v>
          </cell>
          <cell r="T1038">
            <v>0.13048499999999999</v>
          </cell>
          <cell r="U1038">
            <v>3.4079575927305102E-3</v>
          </cell>
          <cell r="V1038">
            <v>2.9000000000000001E-2</v>
          </cell>
          <cell r="W1038">
            <v>0.28910000000000002</v>
          </cell>
          <cell r="X1038">
            <v>12.047000000000001</v>
          </cell>
          <cell r="Y1038">
            <v>9.8699999999999992</v>
          </cell>
          <cell r="Z1038">
            <v>0</v>
          </cell>
          <cell r="AA1038">
            <v>0</v>
          </cell>
          <cell r="AB1038">
            <v>0</v>
          </cell>
          <cell r="AC1038">
            <v>0.1168068821199104</v>
          </cell>
          <cell r="AD1038">
            <v>0</v>
          </cell>
          <cell r="AE1038">
            <v>0</v>
          </cell>
          <cell r="AF1038">
            <v>15.598518463982419</v>
          </cell>
          <cell r="AG1038">
            <v>8.4089731151606824</v>
          </cell>
          <cell r="AH1038">
            <v>202601</v>
          </cell>
          <cell r="AJ1038" t="str">
            <v>PCB:Prod'n deferred due to low diluent inventories and high levels in storage tanks.
SCB:Prod'n deferred due to the unavailability of ullage, the dispatch of produced hydrocarbons has been affected.
Sakhalin-1:Prod'n deferred due to tanker fleet delays arising from adverse weather conditions.
BC-10:ALM-3 Train A online with MOBO-7.
MECL:Prod'n deferred due to Gun Barrel 10000-2 filling (+431 BOPD)</v>
          </cell>
        </row>
        <row r="1039">
          <cell r="C1039">
            <v>46047</v>
          </cell>
          <cell r="D1039">
            <v>354720</v>
          </cell>
          <cell r="E1039">
            <v>16704</v>
          </cell>
          <cell r="F1039">
            <v>22044.68</v>
          </cell>
          <cell r="G1039">
            <v>4715</v>
          </cell>
          <cell r="H1039">
            <v>2169</v>
          </cell>
          <cell r="I1039">
            <v>131372</v>
          </cell>
          <cell r="J1039">
            <v>157905</v>
          </cell>
          <cell r="K1039">
            <v>53411.58</v>
          </cell>
          <cell r="L1039">
            <v>12280</v>
          </cell>
          <cell r="M1039">
            <v>486562</v>
          </cell>
          <cell r="N1039">
            <v>3801</v>
          </cell>
          <cell r="O1039">
            <v>0</v>
          </cell>
          <cell r="P1039">
            <v>0</v>
          </cell>
          <cell r="Q1039">
            <v>0</v>
          </cell>
          <cell r="R1039">
            <v>138369.15100000001</v>
          </cell>
          <cell r="S1039">
            <v>14.638946387764864</v>
          </cell>
          <cell r="T1039">
            <v>0.13829</v>
          </cell>
          <cell r="U1039">
            <v>3.4079575927305102E-3</v>
          </cell>
          <cell r="V1039">
            <v>2.9000000000000001E-2</v>
          </cell>
          <cell r="W1039">
            <v>0.28372000000000003</v>
          </cell>
          <cell r="X1039">
            <v>12.053000000000001</v>
          </cell>
          <cell r="Y1039">
            <v>9.7100000000000009</v>
          </cell>
          <cell r="Z1039">
            <v>0</v>
          </cell>
          <cell r="AA1039">
            <v>0</v>
          </cell>
          <cell r="AB1039">
            <v>0</v>
          </cell>
          <cell r="AC1039">
            <v>0.1275389568649882</v>
          </cell>
          <cell r="AD1039">
            <v>0</v>
          </cell>
          <cell r="AE1039">
            <v>0</v>
          </cell>
          <cell r="AF1039">
            <v>15.629157263122721</v>
          </cell>
          <cell r="AG1039">
            <v>8.3723190721430463</v>
          </cell>
          <cell r="AH1039">
            <v>202601</v>
          </cell>
          <cell r="AJ1039" t="str">
            <v>PCB:Prod'n deferred due to low diluent inventories and high levels in storage tanks.
SCB:Prod'n deferred due to the unavailability of ullage, the dispatch of produced hydrocarbons has been affected.
Sakhalin-1:Prod'n deferred due to tanker fleet delays arising from adverse weather conditions.
BC-10:ALM 1 Train C - ONLINE with MOBO-2.</v>
          </cell>
        </row>
        <row r="1040">
          <cell r="C1040">
            <v>46048</v>
          </cell>
          <cell r="D1040">
            <v>343051</v>
          </cell>
          <cell r="E1040">
            <v>3277</v>
          </cell>
          <cell r="F1040">
            <v>22036.670000000002</v>
          </cell>
          <cell r="G1040">
            <v>4731</v>
          </cell>
          <cell r="H1040">
            <v>2168</v>
          </cell>
          <cell r="I1040">
            <v>152885</v>
          </cell>
          <cell r="J1040">
            <v>156711</v>
          </cell>
          <cell r="K1040">
            <v>51261.64</v>
          </cell>
          <cell r="L1040">
            <v>13833</v>
          </cell>
          <cell r="M1040">
            <v>466909</v>
          </cell>
          <cell r="N1040">
            <v>4116</v>
          </cell>
          <cell r="O1040">
            <v>0</v>
          </cell>
          <cell r="P1040">
            <v>0</v>
          </cell>
          <cell r="Q1040">
            <v>0</v>
          </cell>
          <cell r="R1040">
            <v>137481.80200000003</v>
          </cell>
          <cell r="S1040">
            <v>14.786193851285724</v>
          </cell>
          <cell r="T1040">
            <v>4.581E-3</v>
          </cell>
          <cell r="U1040">
            <v>3.4079575927305102E-3</v>
          </cell>
          <cell r="V1040">
            <v>2.9393328000000003E-2</v>
          </cell>
          <cell r="W1040">
            <v>0.28222000000000003</v>
          </cell>
          <cell r="X1040">
            <v>12.145</v>
          </cell>
          <cell r="Y1040">
            <v>9.75</v>
          </cell>
          <cell r="Z1040">
            <v>0</v>
          </cell>
          <cell r="AA1040">
            <v>0</v>
          </cell>
          <cell r="AB1040">
            <v>0</v>
          </cell>
          <cell r="AC1040">
            <v>0.13810113069061891</v>
          </cell>
          <cell r="AD1040">
            <v>0</v>
          </cell>
          <cell r="AE1040">
            <v>0</v>
          </cell>
          <cell r="AF1040">
            <v>15.395713399802348</v>
          </cell>
          <cell r="AG1040">
            <v>8.329497676807387</v>
          </cell>
          <cell r="AH1040">
            <v>202601</v>
          </cell>
          <cell r="AJ1040" t="str">
            <v>PCB:Prod'n deferred due to low diluent inventories and high levels in storage tanks.
SCB:Prod'n deferred due to the unavailability of ullage, the dispatch of produced hydrocarbons has been affected.
BC-10:ALM 1, ALM 2 and ALM 3 are offline.</v>
          </cell>
        </row>
        <row r="1041">
          <cell r="C1041">
            <v>46049</v>
          </cell>
          <cell r="D1041">
            <v>337396</v>
          </cell>
          <cell r="E1041">
            <v>912</v>
          </cell>
          <cell r="F1041">
            <v>22023.88</v>
          </cell>
          <cell r="G1041">
            <v>4625</v>
          </cell>
          <cell r="H1041">
            <v>2166</v>
          </cell>
          <cell r="I1041">
            <v>183364</v>
          </cell>
          <cell r="J1041">
            <v>157141</v>
          </cell>
          <cell r="K1041">
            <v>49875.41</v>
          </cell>
          <cell r="L1041">
            <v>12777</v>
          </cell>
          <cell r="M1041">
            <v>463546</v>
          </cell>
          <cell r="N1041">
            <v>5103</v>
          </cell>
          <cell r="O1041">
            <v>0</v>
          </cell>
          <cell r="P1041">
            <v>0</v>
          </cell>
          <cell r="Q1041">
            <v>0</v>
          </cell>
          <cell r="R1041">
            <v>142194.22275000002</v>
          </cell>
          <cell r="S1041">
            <v>14.735223575451585</v>
          </cell>
          <cell r="T1041">
            <v>3.5873000000000002E-2</v>
          </cell>
          <cell r="U1041">
            <v>3.4079575927305102E-3</v>
          </cell>
          <cell r="V1041">
            <v>2.9000000000000001E-2</v>
          </cell>
          <cell r="W1041">
            <v>0.28041000000000005</v>
          </cell>
          <cell r="X1041">
            <v>12.118551198226234</v>
          </cell>
          <cell r="Y1041">
            <v>9.82</v>
          </cell>
          <cell r="Z1041">
            <v>0</v>
          </cell>
          <cell r="AA1041">
            <v>0</v>
          </cell>
          <cell r="AB1041">
            <v>0</v>
          </cell>
          <cell r="AC1041">
            <v>0.18142586514964024</v>
          </cell>
          <cell r="AD1041">
            <v>0</v>
          </cell>
          <cell r="AE1041">
            <v>0</v>
          </cell>
          <cell r="AF1041">
            <v>15.610015092865011</v>
          </cell>
          <cell r="AG1041">
            <v>8.3885562204956301</v>
          </cell>
          <cell r="AH1041">
            <v>202601</v>
          </cell>
          <cell r="AJ1041" t="str">
            <v>PCB:Prod'n deferred due to low diluent inventories and high levels in storage tanks.
SCB:Prod'n deferred due to the unavailability of ullage, the dispatch of produced hydrocarbons has been affected.
BC-10:ALM 1, ALM 2 and ALM 3 are offline.</v>
          </cell>
        </row>
        <row r="1042">
          <cell r="C1042">
            <v>46050</v>
          </cell>
          <cell r="D1042">
            <v>326548</v>
          </cell>
          <cell r="E1042">
            <v>1113</v>
          </cell>
          <cell r="F1042">
            <v>22011.07</v>
          </cell>
          <cell r="G1042">
            <v>4561</v>
          </cell>
          <cell r="H1042">
            <v>2149</v>
          </cell>
          <cell r="I1042">
            <v>187985</v>
          </cell>
          <cell r="J1042">
            <v>157616</v>
          </cell>
          <cell r="K1042">
            <v>53149.69</v>
          </cell>
          <cell r="L1042">
            <v>12435</v>
          </cell>
          <cell r="M1042">
            <v>441886</v>
          </cell>
          <cell r="N1042">
            <v>5065</v>
          </cell>
          <cell r="O1042">
            <v>0</v>
          </cell>
          <cell r="P1042">
            <v>0</v>
          </cell>
          <cell r="Q1042">
            <v>0</v>
          </cell>
          <cell r="R1042">
            <v>142786.40424999999</v>
          </cell>
          <cell r="S1042">
            <v>14.871993815606533</v>
          </cell>
          <cell r="T1042">
            <v>4.0523000000000003E-2</v>
          </cell>
          <cell r="U1042">
            <v>3.4079575927305102E-3</v>
          </cell>
          <cell r="V1042">
            <v>2.5000000000000001E-2</v>
          </cell>
          <cell r="W1042">
            <v>0.27845999999999999</v>
          </cell>
          <cell r="X1042">
            <v>12.369</v>
          </cell>
          <cell r="Y1042">
            <v>9.7899999999999991</v>
          </cell>
          <cell r="Z1042">
            <v>0</v>
          </cell>
          <cell r="AA1042">
            <v>0</v>
          </cell>
          <cell r="AB1042">
            <v>0</v>
          </cell>
          <cell r="AC1042">
            <v>0.16995755308695812</v>
          </cell>
          <cell r="AD1042">
            <v>0</v>
          </cell>
          <cell r="AE1042">
            <v>0</v>
          </cell>
          <cell r="AF1042">
            <v>15.597499058465738</v>
          </cell>
          <cell r="AG1042">
            <v>8.4287627702001444</v>
          </cell>
          <cell r="AH1042">
            <v>202601</v>
          </cell>
          <cell r="AJ1042" t="str">
            <v>PCB:Prod'n deferred due to low diluent inventories and high levels in storage tanks.
SCB:Prod'n deferred due to the unavailability of ullage, the dispatch of produced hydrocarbons has been affected.
BC-10:ALM-3 Train A online.
MECL:Prod'n deferred due to waiting well services.</v>
          </cell>
        </row>
        <row r="1043">
          <cell r="C1043">
            <v>46051</v>
          </cell>
          <cell r="D1043">
            <v>344761</v>
          </cell>
          <cell r="E1043">
            <v>44</v>
          </cell>
          <cell r="F1043">
            <v>21978.89</v>
          </cell>
          <cell r="G1043">
            <v>4577</v>
          </cell>
          <cell r="H1043">
            <v>2164</v>
          </cell>
          <cell r="I1043">
            <v>187403</v>
          </cell>
          <cell r="J1043">
            <v>157422</v>
          </cell>
          <cell r="K1043">
            <v>52347.71</v>
          </cell>
          <cell r="L1043">
            <v>12848</v>
          </cell>
          <cell r="M1043">
            <v>421943</v>
          </cell>
          <cell r="N1043">
            <v>5076</v>
          </cell>
          <cell r="O1043">
            <v>0</v>
          </cell>
          <cell r="P1043">
            <v>0</v>
          </cell>
          <cell r="Q1043">
            <v>0</v>
          </cell>
          <cell r="R1043">
            <v>141966.76974999998</v>
          </cell>
          <cell r="S1043">
            <v>14.811678989202793</v>
          </cell>
          <cell r="T1043">
            <v>7.7769000000000005E-2</v>
          </cell>
          <cell r="U1043">
            <v>3.4079575927305102E-3</v>
          </cell>
          <cell r="V1043">
            <v>2.8000000000000001E-2</v>
          </cell>
          <cell r="W1043">
            <v>0.28981000000000001</v>
          </cell>
          <cell r="X1043">
            <v>12.038</v>
          </cell>
          <cell r="Y1043">
            <v>9.92</v>
          </cell>
          <cell r="Z1043">
            <v>0</v>
          </cell>
          <cell r="AA1043">
            <v>0</v>
          </cell>
          <cell r="AB1043">
            <v>0</v>
          </cell>
          <cell r="AC1043">
            <v>0.17032567174576024</v>
          </cell>
          <cell r="AD1043">
            <v>0</v>
          </cell>
          <cell r="AE1043">
            <v>0</v>
          </cell>
          <cell r="AF1043">
            <v>15.590844605787391</v>
          </cell>
          <cell r="AG1043">
            <v>8.4164142176249825</v>
          </cell>
          <cell r="AH1043">
            <v>202601</v>
          </cell>
          <cell r="AJ1043" t="str">
            <v>PCB:Prod'n deferred due to low diluent inventories and high levels in storage tanks.
SCB:Prod'n deferred due to the unavailability of ullage, the dispatch of produced hydrocarbons has been affected.
BC-10:ALM-3 Train A online.
MECL:Prod'n deferred due to waiting well services.
GPOC:Prod'n deferred due to power tripped at Toma South &amp; El Toor.</v>
          </cell>
        </row>
        <row r="1044">
          <cell r="C1044">
            <v>46052</v>
          </cell>
          <cell r="D1044">
            <v>314298</v>
          </cell>
          <cell r="E1044">
            <v>0</v>
          </cell>
          <cell r="F1044">
            <v>21941.119999999999</v>
          </cell>
          <cell r="G1044">
            <v>4611</v>
          </cell>
          <cell r="H1044">
            <v>2208</v>
          </cell>
          <cell r="I1044">
            <v>188997</v>
          </cell>
          <cell r="J1044">
            <v>159145</v>
          </cell>
          <cell r="K1044">
            <v>50317.37</v>
          </cell>
          <cell r="L1044">
            <v>13439</v>
          </cell>
          <cell r="M1044">
            <v>435689</v>
          </cell>
          <cell r="N1044">
            <v>5051</v>
          </cell>
          <cell r="O1044">
            <v>4976</v>
          </cell>
          <cell r="P1044">
            <v>0</v>
          </cell>
          <cell r="Q1044">
            <v>0</v>
          </cell>
          <cell r="R1044">
            <v>144037.67174999998</v>
          </cell>
          <cell r="S1044">
            <v>14.470744477512199</v>
          </cell>
          <cell r="T1044">
            <v>7.3098999999999997E-2</v>
          </cell>
          <cell r="U1044">
            <v>3.4079575927305102E-3</v>
          </cell>
          <cell r="V1044">
            <v>2.9000000000000001E-2</v>
          </cell>
          <cell r="W1044">
            <v>0.31061</v>
          </cell>
          <cell r="X1044">
            <v>12.02</v>
          </cell>
          <cell r="Y1044">
            <v>9.68</v>
          </cell>
          <cell r="Z1044">
            <v>0</v>
          </cell>
          <cell r="AA1044">
            <v>0</v>
          </cell>
          <cell r="AB1044">
            <v>0</v>
          </cell>
          <cell r="AC1044">
            <v>0.16947616714852456</v>
          </cell>
          <cell r="AD1044">
            <v>0</v>
          </cell>
          <cell r="AE1044">
            <v>0</v>
          </cell>
          <cell r="AF1044">
            <v>15.580395699241391</v>
          </cell>
          <cell r="AG1044">
            <v>8.3586112235395174</v>
          </cell>
          <cell r="AH1044">
            <v>202601</v>
          </cell>
          <cell r="AJ1044" t="str">
            <v>PCB:Prod'n deferred due to low diluent inventories and high levels in storage tanks.
SCB:Prod'n deferred due to the unavailability of ullage, the dispatch of produced hydrocarbons has been affected.
BC-10:ALM-3 Train A online.
MECL:Prod'n deferred due to waiting well services.
GPOC:Prod'n deferred due to power tripped at Toma South &amp; El Toor.</v>
          </cell>
        </row>
        <row r="1045">
          <cell r="C1045">
            <v>46053</v>
          </cell>
          <cell r="D1045">
            <v>322725</v>
          </cell>
          <cell r="E1045">
            <v>0</v>
          </cell>
          <cell r="F1045">
            <v>21989.34</v>
          </cell>
          <cell r="G1045">
            <v>4566</v>
          </cell>
          <cell r="H1045">
            <v>2186</v>
          </cell>
          <cell r="I1045">
            <v>189567</v>
          </cell>
          <cell r="J1045">
            <v>157198</v>
          </cell>
          <cell r="K1045">
            <v>53633.440000000002</v>
          </cell>
          <cell r="L1045">
            <v>13285</v>
          </cell>
          <cell r="M1045">
            <v>435848</v>
          </cell>
          <cell r="N1045">
            <v>5060</v>
          </cell>
          <cell r="O1045">
            <v>3249</v>
          </cell>
          <cell r="P1045">
            <v>0</v>
          </cell>
          <cell r="Q1045">
            <v>0</v>
          </cell>
          <cell r="R1045">
            <v>143989.61050000001</v>
          </cell>
          <cell r="S1045">
            <v>14.99715415959926</v>
          </cell>
          <cell r="T1045">
            <v>7.3123999999999995E-2</v>
          </cell>
          <cell r="U1045">
            <v>3.4079575927305102E-3</v>
          </cell>
          <cell r="V1045">
            <v>2.9000000000000001E-2</v>
          </cell>
          <cell r="W1045">
            <v>0.30016000000000004</v>
          </cell>
          <cell r="X1045">
            <v>12.089</v>
          </cell>
          <cell r="Y1045">
            <v>10.039999999999999</v>
          </cell>
          <cell r="Z1045">
            <v>0</v>
          </cell>
          <cell r="AA1045">
            <v>0</v>
          </cell>
          <cell r="AB1045">
            <v>0</v>
          </cell>
          <cell r="AC1045">
            <v>0.16978765216751099</v>
          </cell>
          <cell r="AD1045">
            <v>0</v>
          </cell>
          <cell r="AE1045">
            <v>0</v>
          </cell>
          <cell r="AF1045">
            <v>15.547576504968186</v>
          </cell>
          <cell r="AG1045">
            <v>8.465420457066207</v>
          </cell>
          <cell r="AH1045">
            <v>202601</v>
          </cell>
          <cell r="AJ1045" t="str">
            <v>PCB:Prod'n deferred due to low diluent inventories and high levels in storage tanks.
SCB:Prod'n deferred due to the unavailability of ullage, the dispatch of produced hydrocarbons has been affected.
BC-10:ALM-3 Train A online.
MECL:Prod'n deferred due to waiting well services.</v>
          </cell>
        </row>
        <row r="1046">
          <cell r="C1046">
            <v>46054</v>
          </cell>
          <cell r="D1046">
            <v>312451</v>
          </cell>
          <cell r="E1046">
            <v>730</v>
          </cell>
          <cell r="F1046">
            <v>21947.15</v>
          </cell>
          <cell r="G1046">
            <v>4541</v>
          </cell>
          <cell r="H1046">
            <v>2184</v>
          </cell>
          <cell r="I1046">
            <v>187307</v>
          </cell>
          <cell r="J1046">
            <v>158163</v>
          </cell>
          <cell r="K1046">
            <v>52903.25</v>
          </cell>
          <cell r="L1046">
            <v>12811</v>
          </cell>
          <cell r="M1046">
            <v>417000</v>
          </cell>
          <cell r="N1046">
            <v>7001</v>
          </cell>
          <cell r="O1046">
            <v>504</v>
          </cell>
          <cell r="P1046">
            <v>0</v>
          </cell>
          <cell r="Q1046">
            <v>0</v>
          </cell>
          <cell r="R1046">
            <v>141705.753</v>
          </cell>
          <cell r="S1046">
            <v>16.774884113414522</v>
          </cell>
          <cell r="T1046">
            <v>7.2805999999999996E-2</v>
          </cell>
          <cell r="U1046">
            <v>3.4079575927305102E-3</v>
          </cell>
          <cell r="V1046">
            <v>2.9000000000000001E-2</v>
          </cell>
          <cell r="W1046">
            <v>0.28989999999999999</v>
          </cell>
          <cell r="X1046">
            <v>12.096067643219396</v>
          </cell>
          <cell r="Y1046">
            <v>10.050000000000001</v>
          </cell>
          <cell r="Z1046">
            <v>0</v>
          </cell>
          <cell r="AA1046">
            <v>0</v>
          </cell>
          <cell r="AB1046">
            <v>0</v>
          </cell>
          <cell r="AC1046">
            <v>0.20897813091998516</v>
          </cell>
          <cell r="AD1046">
            <v>0</v>
          </cell>
          <cell r="AE1046">
            <v>0</v>
          </cell>
          <cell r="AF1046">
            <v>15.558620064732249</v>
          </cell>
          <cell r="AG1046">
            <v>8.517275084681847</v>
          </cell>
          <cell r="AH1046">
            <v>202602</v>
          </cell>
          <cell r="AJ1046" t="str">
            <v>SCB:Prod'n deferred due to the unavailability of ullage, the dispatch of produced hydrocarbons has been affected.
BC-10:ALM-1 Train C - Online with MOBO 2 &amp; 3.
MECL:Prod'n deferred due to waiting well services.
GPOC:Prod'n deferred due to power tripped at Toma South &amp; El Toor.</v>
          </cell>
        </row>
        <row r="1047">
          <cell r="C1047">
            <v>46055</v>
          </cell>
          <cell r="D1047">
            <v>298231</v>
          </cell>
          <cell r="E1047">
            <v>6767</v>
          </cell>
          <cell r="F1047">
            <v>21943.43</v>
          </cell>
          <cell r="G1047">
            <v>4517</v>
          </cell>
          <cell r="H1047">
            <v>2234</v>
          </cell>
          <cell r="I1047">
            <v>190843</v>
          </cell>
          <cell r="J1047">
            <v>154133</v>
          </cell>
          <cell r="K1047">
            <v>52832.77</v>
          </cell>
          <cell r="L1047">
            <v>13625</v>
          </cell>
          <cell r="M1047">
            <v>259590</v>
          </cell>
          <cell r="N1047">
            <v>7003</v>
          </cell>
          <cell r="O1047">
            <v>471</v>
          </cell>
          <cell r="P1047">
            <v>0</v>
          </cell>
          <cell r="Q1047">
            <v>0</v>
          </cell>
          <cell r="R1047">
            <v>136483.98149999999</v>
          </cell>
          <cell r="S1047">
            <v>18.952164396129653</v>
          </cell>
          <cell r="T1047">
            <v>7.2661000000000003E-2</v>
          </cell>
          <cell r="U1047">
            <v>3.4079575927305102E-3</v>
          </cell>
          <cell r="V1047">
            <v>2.8433280000000002E-2</v>
          </cell>
          <cell r="W1047">
            <v>0.28842000000000001</v>
          </cell>
          <cell r="X1047">
            <v>12.079445669933483</v>
          </cell>
          <cell r="Y1047">
            <v>10.01</v>
          </cell>
          <cell r="Z1047">
            <v>0</v>
          </cell>
          <cell r="AA1047">
            <v>0</v>
          </cell>
          <cell r="AB1047">
            <v>0</v>
          </cell>
          <cell r="AC1047">
            <v>0.22710089566101366</v>
          </cell>
          <cell r="AD1047">
            <v>0</v>
          </cell>
          <cell r="AE1047">
            <v>0</v>
          </cell>
          <cell r="AF1047">
            <v>15.531973937198954</v>
          </cell>
          <cell r="AG1047">
            <v>8.5628972907349343</v>
          </cell>
          <cell r="AH1047">
            <v>202602</v>
          </cell>
          <cell r="AJ1047" t="str">
            <v>SCB:Prod'n deferred due to the unavailability of ullage, the dispatch of produced hydrocarbons has been affected.
LZC:Prod'n deferred due to a gas blackout of 191 MBD at DAS Island.
BC-10:Excepted peak production from 15 Feb 2026.
MECL:Prod'n deferred due to waiting well services.
GPOC:Prod'n deferred due to power tripped at Toma South &amp; El Toor.</v>
          </cell>
        </row>
        <row r="1048">
          <cell r="C1048">
            <v>46056</v>
          </cell>
          <cell r="D1048">
            <v>347062</v>
          </cell>
          <cell r="E1048">
            <v>7623</v>
          </cell>
          <cell r="F1048">
            <v>21962.52</v>
          </cell>
          <cell r="G1048">
            <v>4589</v>
          </cell>
          <cell r="H1048">
            <v>2110</v>
          </cell>
          <cell r="I1048">
            <v>187283</v>
          </cell>
          <cell r="J1048">
            <v>158191</v>
          </cell>
          <cell r="K1048">
            <v>53279.05</v>
          </cell>
          <cell r="L1048">
            <v>13133</v>
          </cell>
          <cell r="M1048">
            <v>300831</v>
          </cell>
          <cell r="N1048">
            <v>6990</v>
          </cell>
          <cell r="O1048">
            <v>346</v>
          </cell>
          <cell r="P1048">
            <v>0</v>
          </cell>
          <cell r="Q1048">
            <v>0</v>
          </cell>
          <cell r="R1048">
            <v>140002.93624999997</v>
          </cell>
          <cell r="S1048">
            <v>21.331343604787808</v>
          </cell>
          <cell r="T1048">
            <v>7.1860999999999994E-2</v>
          </cell>
          <cell r="U1048">
            <v>3.4079575927305102E-3</v>
          </cell>
          <cell r="V1048">
            <v>0.03</v>
          </cell>
          <cell r="W1048">
            <v>0.28188000000000002</v>
          </cell>
          <cell r="X1048">
            <v>12.123931394008727</v>
          </cell>
          <cell r="Y1048">
            <v>10.050000000000001</v>
          </cell>
          <cell r="Z1048">
            <v>0</v>
          </cell>
          <cell r="AA1048">
            <v>0</v>
          </cell>
          <cell r="AB1048">
            <v>0</v>
          </cell>
          <cell r="AC1048">
            <v>0.25909890215689219</v>
          </cell>
          <cell r="AD1048">
            <v>5.1055226293866288E-2</v>
          </cell>
          <cell r="AE1048">
            <v>0</v>
          </cell>
          <cell r="AF1048">
            <v>15.516173151690371</v>
          </cell>
          <cell r="AG1048">
            <v>8.6670685250988679</v>
          </cell>
          <cell r="AH1048">
            <v>202602</v>
          </cell>
          <cell r="AJ1048" t="str">
            <v>SCB:Prod'n deferred due to the unavailability of ullage, the dispatch of produced hydrocarbons has been affected.
LZC:Prod'n deferred due to a gas blackout of 191 MBD at DAS Island.
BC-10:Excepted peak production from 15 Feb 2026.
MECL:Prod'n deferred due to waiting well services.
GPOC:Prod'n deferred due to power tripped at Toma South &amp; El Toor.</v>
          </cell>
        </row>
        <row r="1049">
          <cell r="C1049">
            <v>46057</v>
          </cell>
          <cell r="D1049">
            <v>352584</v>
          </cell>
          <cell r="E1049">
            <v>7447</v>
          </cell>
          <cell r="F1049">
            <v>21975.239999999998</v>
          </cell>
          <cell r="G1049">
            <v>4697</v>
          </cell>
          <cell r="H1049">
            <v>2110</v>
          </cell>
          <cell r="I1049">
            <v>186919</v>
          </cell>
          <cell r="J1049">
            <v>157895</v>
          </cell>
          <cell r="K1049">
            <v>52274.99</v>
          </cell>
          <cell r="L1049">
            <v>11975</v>
          </cell>
          <cell r="M1049">
            <v>363939</v>
          </cell>
          <cell r="N1049">
            <v>7021</v>
          </cell>
          <cell r="O1049">
            <v>414</v>
          </cell>
          <cell r="P1049">
            <v>0</v>
          </cell>
          <cell r="Q1049">
            <v>0</v>
          </cell>
          <cell r="R1049">
            <v>142054.62625</v>
          </cell>
          <cell r="S1049">
            <v>19.969870903618041</v>
          </cell>
          <cell r="T1049">
            <v>7.0416000000000006E-2</v>
          </cell>
          <cell r="U1049">
            <v>3.4079575927305102E-3</v>
          </cell>
          <cell r="V1049">
            <v>0.03</v>
          </cell>
          <cell r="W1049">
            <v>0.28188000000000002</v>
          </cell>
          <cell r="X1049">
            <v>12.314</v>
          </cell>
          <cell r="Y1049">
            <v>9.73</v>
          </cell>
          <cell r="Z1049">
            <v>0</v>
          </cell>
          <cell r="AA1049">
            <v>0</v>
          </cell>
          <cell r="AB1049">
            <v>0</v>
          </cell>
          <cell r="AC1049">
            <v>0.22936624125364222</v>
          </cell>
          <cell r="AD1049">
            <v>4.4655624994690592E-2</v>
          </cell>
          <cell r="AE1049">
            <v>0</v>
          </cell>
          <cell r="AF1049">
            <v>15.515805033031571</v>
          </cell>
          <cell r="AG1049">
            <v>8.5757760063968842</v>
          </cell>
          <cell r="AH1049">
            <v>202602</v>
          </cell>
          <cell r="AJ1049" t="str">
            <v>SCB:Prod'n deferred due to the unavailability of ullage, the dispatch of produced hydrocarbons has been affected.
LZC:Prod'n deferred due to a gas blackout of 191 MBD at DAS Island.
BC-10:Excepted peak production from 15 Feb 2026.
MECL:Prod'n deferred due to waiting well services.</v>
          </cell>
        </row>
        <row r="1050">
          <cell r="C1050">
            <v>46058</v>
          </cell>
          <cell r="D1050">
            <v>324428</v>
          </cell>
          <cell r="E1050">
            <v>8214</v>
          </cell>
          <cell r="F1050">
            <v>21960.61</v>
          </cell>
          <cell r="G1050">
            <v>5120</v>
          </cell>
          <cell r="H1050">
            <v>2191</v>
          </cell>
          <cell r="I1050">
            <v>188234</v>
          </cell>
          <cell r="J1050">
            <v>158945</v>
          </cell>
          <cell r="K1050">
            <v>53950.53</v>
          </cell>
          <cell r="L1050">
            <v>13683</v>
          </cell>
          <cell r="M1050">
            <v>484144</v>
          </cell>
          <cell r="N1050">
            <v>7048</v>
          </cell>
          <cell r="O1050">
            <v>509</v>
          </cell>
          <cell r="P1050">
            <v>0</v>
          </cell>
          <cell r="Q1050">
            <v>0</v>
          </cell>
          <cell r="R1050">
            <v>147936.52225000004</v>
          </cell>
          <cell r="S1050">
            <v>21.014478390018887</v>
          </cell>
          <cell r="T1050">
            <v>7.2253999999999999E-2</v>
          </cell>
          <cell r="U1050">
            <v>3.4079575927305102E-3</v>
          </cell>
          <cell r="V1050">
            <v>3.0039024000000001E-2</v>
          </cell>
          <cell r="W1050">
            <v>0.29239999999999999</v>
          </cell>
          <cell r="X1050">
            <v>12.403814841977987</v>
          </cell>
          <cell r="Y1050">
            <v>9.84</v>
          </cell>
          <cell r="Z1050">
            <v>0</v>
          </cell>
          <cell r="AA1050">
            <v>0</v>
          </cell>
          <cell r="AB1050">
            <v>0</v>
          </cell>
          <cell r="AC1050">
            <v>0.22993257765179936</v>
          </cell>
          <cell r="AD1050">
            <v>4.4655624994690592E-2</v>
          </cell>
          <cell r="AE1050">
            <v>0</v>
          </cell>
          <cell r="AF1050">
            <v>15.579716095563603</v>
          </cell>
          <cell r="AG1050">
            <v>8.6748566934039477</v>
          </cell>
          <cell r="AH1050">
            <v>202602</v>
          </cell>
          <cell r="AJ1050" t="str">
            <v>SCB:Prod'n deferred due to the unavailability of ullage, the dispatch of produced hydrocarbons has been affected.
BC-10:Excepted peak production from 15 Feb 2026.
MECL:Prod'n deferred due to waiting well services.</v>
          </cell>
        </row>
        <row r="1051">
          <cell r="C1051">
            <v>46059</v>
          </cell>
          <cell r="D1051">
            <v>338993</v>
          </cell>
          <cell r="E1051">
            <v>7748</v>
          </cell>
          <cell r="F1051">
            <v>21779.49</v>
          </cell>
          <cell r="G1051">
            <v>5120</v>
          </cell>
          <cell r="H1051">
            <v>2193</v>
          </cell>
          <cell r="I1051">
            <v>189300</v>
          </cell>
          <cell r="J1051">
            <v>156239</v>
          </cell>
          <cell r="K1051">
            <v>53950.53</v>
          </cell>
          <cell r="L1051">
            <v>13108</v>
          </cell>
          <cell r="M1051">
            <v>455684</v>
          </cell>
          <cell r="N1051">
            <v>7027</v>
          </cell>
          <cell r="O1051">
            <v>754</v>
          </cell>
          <cell r="P1051">
            <v>0</v>
          </cell>
          <cell r="Q1051">
            <v>0</v>
          </cell>
          <cell r="R1051">
            <v>146440.15574999998</v>
          </cell>
          <cell r="S1051">
            <v>15.508839095334238</v>
          </cell>
          <cell r="T1051">
            <v>7.0167999999999994E-2</v>
          </cell>
          <cell r="U1051">
            <v>3.4079575927305102E-3</v>
          </cell>
          <cell r="V1051">
            <v>2.9883264000000003E-2</v>
          </cell>
          <cell r="W1051">
            <v>0.30105999999999999</v>
          </cell>
          <cell r="X1051">
            <v>12.387221185511981</v>
          </cell>
          <cell r="Y1051">
            <v>9.3800000000000008</v>
          </cell>
          <cell r="Z1051">
            <v>0</v>
          </cell>
          <cell r="AA1051">
            <v>0</v>
          </cell>
          <cell r="AB1051">
            <v>0</v>
          </cell>
          <cell r="AC1051">
            <v>0.22993257765179936</v>
          </cell>
          <cell r="AD1051">
            <v>4.2928298980311315E-2</v>
          </cell>
          <cell r="AE1051">
            <v>0</v>
          </cell>
          <cell r="AF1051">
            <v>14.983250601024503</v>
          </cell>
          <cell r="AG1051">
            <v>8.296826848263823</v>
          </cell>
          <cell r="AH1051">
            <v>202602</v>
          </cell>
          <cell r="AJ1051" t="str">
            <v>SCB:Prod'n deferred due to the unavailability of ullage, the dispatch of produced hydrocarbons has been affected.
BC-10:Excepted peak production from 15 Feb 2026.
MECL:Prod'n deferred due to waiting well services.</v>
          </cell>
        </row>
        <row r="1052">
          <cell r="C1052">
            <v>46060</v>
          </cell>
          <cell r="D1052">
            <v>324711</v>
          </cell>
          <cell r="E1052">
            <v>16730</v>
          </cell>
          <cell r="F1052">
            <v>21724.14</v>
          </cell>
          <cell r="G1052">
            <v>4746</v>
          </cell>
          <cell r="H1052">
            <v>2209</v>
          </cell>
          <cell r="I1052">
            <v>189932</v>
          </cell>
          <cell r="J1052">
            <v>154762</v>
          </cell>
          <cell r="K1052">
            <v>52313.06</v>
          </cell>
          <cell r="L1052">
            <v>14675</v>
          </cell>
          <cell r="M1052">
            <v>443403</v>
          </cell>
          <cell r="N1052">
            <v>6665</v>
          </cell>
          <cell r="O1052">
            <v>891</v>
          </cell>
          <cell r="P1052">
            <v>0</v>
          </cell>
          <cell r="Q1052">
            <v>0</v>
          </cell>
          <cell r="R1052">
            <v>147472.59349999999</v>
          </cell>
          <cell r="S1052">
            <v>16.085935885056362</v>
          </cell>
          <cell r="T1052">
            <v>0.10362499999999999</v>
          </cell>
          <cell r="U1052">
            <v>3.4079575927305102E-3</v>
          </cell>
          <cell r="V1052">
            <v>2.9857776000000003E-2</v>
          </cell>
          <cell r="W1052">
            <v>0.29474</v>
          </cell>
          <cell r="X1052">
            <v>12.41049761147624</v>
          </cell>
          <cell r="Y1052">
            <v>9.33</v>
          </cell>
          <cell r="Z1052">
            <v>0</v>
          </cell>
          <cell r="AA1052">
            <v>0</v>
          </cell>
          <cell r="AB1052">
            <v>0</v>
          </cell>
          <cell r="AC1052">
            <v>0.23219792324442792</v>
          </cell>
          <cell r="AD1052">
            <v>3.7916221856620608E-2</v>
          </cell>
          <cell r="AE1052">
            <v>0</v>
          </cell>
          <cell r="AF1052">
            <v>14.791347512508954</v>
          </cell>
          <cell r="AG1052">
            <v>8.2736836926741155</v>
          </cell>
          <cell r="AH1052">
            <v>202602</v>
          </cell>
          <cell r="AJ1052" t="str">
            <v xml:space="preserve">SCB:Prod'n deferred due to the unavailability of ullage, the dispatch of produced hydrocarbons has been affected.
BC-10:Excepted peak production from 15 Feb 2026.
MECL:Prod'n deferred due to waiting well services.
</v>
          </cell>
        </row>
        <row r="1053">
          <cell r="C1053">
            <v>46061</v>
          </cell>
          <cell r="D1053">
            <v>310659</v>
          </cell>
          <cell r="E1053">
            <v>28748</v>
          </cell>
          <cell r="F1053">
            <v>21950.59</v>
          </cell>
          <cell r="G1053">
            <v>4824</v>
          </cell>
          <cell r="H1053">
            <v>2116</v>
          </cell>
          <cell r="I1053">
            <v>188198</v>
          </cell>
          <cell r="J1053">
            <v>154301</v>
          </cell>
          <cell r="K1053">
            <v>53866.35</v>
          </cell>
          <cell r="L1053">
            <v>13788</v>
          </cell>
          <cell r="M1053">
            <v>473156</v>
          </cell>
          <cell r="N1053">
            <v>6657</v>
          </cell>
          <cell r="O1053">
            <v>1070</v>
          </cell>
          <cell r="P1053">
            <v>0</v>
          </cell>
          <cell r="Q1053">
            <v>0</v>
          </cell>
          <cell r="R1053">
            <v>151379.46124999999</v>
          </cell>
          <cell r="S1053">
            <v>72.782155872766864</v>
          </cell>
          <cell r="T1053">
            <v>0.26593899999999998</v>
          </cell>
          <cell r="U1053">
            <v>3.4079575927305102E-3</v>
          </cell>
          <cell r="V1053">
            <v>3.0242927999999999E-2</v>
          </cell>
          <cell r="W1053">
            <v>0.29158000000000001</v>
          </cell>
          <cell r="X1053">
            <v>12.427912455719571</v>
          </cell>
          <cell r="Y1053">
            <v>9.2899999999999991</v>
          </cell>
          <cell r="Z1053">
            <v>0</v>
          </cell>
          <cell r="AA1053">
            <v>0</v>
          </cell>
          <cell r="AB1053">
            <v>0</v>
          </cell>
          <cell r="AC1053">
            <v>0.24040980101770651</v>
          </cell>
          <cell r="AD1053">
            <v>5.4368294223085568E-2</v>
          </cell>
          <cell r="AE1053">
            <v>0</v>
          </cell>
          <cell r="AF1053">
            <v>14.734997040892317</v>
          </cell>
          <cell r="AG1053">
            <v>9.9638930074901317</v>
          </cell>
          <cell r="AH1053">
            <v>202602</v>
          </cell>
          <cell r="AJ1053" t="str">
            <v xml:space="preserve">SCB:Prod'n deferred due to the unavailability of ullage, the dispatch of produced hydrocarbons has been affected.
BC-10:Excepted peak production from 15 Feb 2026.
MECL:Prod'n deferred due to waiting well services.
</v>
          </cell>
        </row>
        <row r="1054">
          <cell r="C1054">
            <v>46062</v>
          </cell>
          <cell r="D1054">
            <v>328620</v>
          </cell>
          <cell r="E1054">
            <v>29164</v>
          </cell>
          <cell r="F1054">
            <v>21912.309999999998</v>
          </cell>
          <cell r="G1054">
            <v>4831</v>
          </cell>
          <cell r="H1054">
            <v>2175</v>
          </cell>
          <cell r="I1054">
            <v>187814</v>
          </cell>
          <cell r="J1054">
            <v>154379</v>
          </cell>
          <cell r="K1054">
            <v>53757.02</v>
          </cell>
          <cell r="L1054">
            <v>13853</v>
          </cell>
          <cell r="M1054">
            <v>469126</v>
          </cell>
          <cell r="N1054">
            <v>6663</v>
          </cell>
          <cell r="O1054">
            <v>1187</v>
          </cell>
          <cell r="P1054">
            <v>0</v>
          </cell>
          <cell r="Q1054">
            <v>0</v>
          </cell>
          <cell r="R1054">
            <v>151870.93325</v>
          </cell>
          <cell r="S1054">
            <v>14.943069033575251</v>
          </cell>
          <cell r="T1054">
            <v>0.24864600000000001</v>
          </cell>
          <cell r="U1054">
            <v>3.4079575927305102E-3</v>
          </cell>
          <cell r="V1054">
            <v>2.9611392E-2</v>
          </cell>
          <cell r="W1054">
            <v>0.29191</v>
          </cell>
          <cell r="X1054">
            <v>12.393422569071802</v>
          </cell>
          <cell r="Y1054">
            <v>9.4700000000000006</v>
          </cell>
          <cell r="Z1054">
            <v>0</v>
          </cell>
          <cell r="AB1054">
            <v>0</v>
          </cell>
          <cell r="AC1054">
            <v>0.23418010063797792</v>
          </cell>
          <cell r="AD1054">
            <v>5.5642551118939135E-2</v>
          </cell>
          <cell r="AE1054">
            <v>0</v>
          </cell>
          <cell r="AF1054">
            <v>14.860582137183666</v>
          </cell>
          <cell r="AG1054">
            <v>8.3285207642003254</v>
          </cell>
          <cell r="AH1054">
            <v>202602</v>
          </cell>
          <cell r="AJ1054" t="str">
            <v xml:space="preserve">SCB:Prod'n deferred due to the unavailability of ullage, the dispatch of produced hydrocarbons has been affected.
BC-10:Excepted peak production from 15 Feb 2026.
MECL:Prod'n deferred due to waiting well services.
</v>
          </cell>
        </row>
        <row r="1055">
          <cell r="C1055">
            <v>46063</v>
          </cell>
          <cell r="D1055">
            <v>324593</v>
          </cell>
          <cell r="E1055">
            <v>27943</v>
          </cell>
          <cell r="F1055">
            <v>22049.83</v>
          </cell>
          <cell r="G1055">
            <v>4718</v>
          </cell>
          <cell r="H1055">
            <v>2179</v>
          </cell>
          <cell r="I1055">
            <v>173610</v>
          </cell>
          <cell r="J1055">
            <v>158984</v>
          </cell>
          <cell r="K1055">
            <v>53010.14</v>
          </cell>
          <cell r="L1055">
            <v>13940</v>
          </cell>
          <cell r="M1055">
            <v>456294</v>
          </cell>
          <cell r="N1055">
            <v>6639</v>
          </cell>
          <cell r="O1055">
            <v>1104</v>
          </cell>
          <cell r="P1055">
            <v>0</v>
          </cell>
          <cell r="Q1055">
            <v>0</v>
          </cell>
          <cell r="R1055">
            <v>149108.88625000001</v>
          </cell>
          <cell r="S1055">
            <v>14.595621653305844</v>
          </cell>
          <cell r="T1055">
            <v>0.239511</v>
          </cell>
          <cell r="U1055">
            <v>3.4079575927305102E-3</v>
          </cell>
          <cell r="V1055">
            <v>2.9000000000000001E-2</v>
          </cell>
          <cell r="W1055">
            <v>0.28927999999999998</v>
          </cell>
          <cell r="X1055">
            <v>12.34681308350347</v>
          </cell>
          <cell r="Y1055">
            <v>9.4499999999999993</v>
          </cell>
          <cell r="Z1055">
            <v>0</v>
          </cell>
          <cell r="AA1055">
            <v>0</v>
          </cell>
          <cell r="AB1055">
            <v>0</v>
          </cell>
          <cell r="AC1055">
            <v>0.2256850546656208</v>
          </cell>
          <cell r="AD1055">
            <v>5.6690273455529842E-2</v>
          </cell>
          <cell r="AE1055">
            <v>0</v>
          </cell>
          <cell r="AF1055">
            <v>15.026263850464538</v>
          </cell>
          <cell r="AG1055">
            <v>8.3260844103492033</v>
          </cell>
          <cell r="AH1055">
            <v>202602</v>
          </cell>
          <cell r="AJ1055" t="str">
            <v xml:space="preserve">SCB:Prod'n deferred due to the unavailability of ullage, the dispatch of produced hydrocarbons has been affected.
BC-10:Excepted peak production from 15 Feb 2026.
MECL:Prod'n deferred due to waiting well services.
</v>
          </cell>
        </row>
        <row r="1056">
          <cell r="C1056">
            <v>46064</v>
          </cell>
          <cell r="D1056">
            <v>331139</v>
          </cell>
          <cell r="E1056">
            <v>30094</v>
          </cell>
          <cell r="F1056">
            <v>21511.9</v>
          </cell>
          <cell r="G1056">
            <v>4687</v>
          </cell>
          <cell r="H1056">
            <v>2115</v>
          </cell>
          <cell r="I1056">
            <v>174432</v>
          </cell>
          <cell r="J1056">
            <v>162260</v>
          </cell>
          <cell r="K1056">
            <v>51325.86</v>
          </cell>
          <cell r="L1056">
            <v>7811</v>
          </cell>
          <cell r="M1056">
            <v>468390</v>
          </cell>
          <cell r="N1056">
            <v>6017</v>
          </cell>
          <cell r="O1056">
            <v>1635</v>
          </cell>
          <cell r="P1056">
            <v>0</v>
          </cell>
          <cell r="Q1056">
            <v>0</v>
          </cell>
          <cell r="R1056">
            <v>149169.3645</v>
          </cell>
          <cell r="S1056">
            <v>14.711154278529902</v>
          </cell>
          <cell r="T1056">
            <v>0.238897</v>
          </cell>
          <cell r="U1056">
            <v>3.4079575927305102E-3</v>
          </cell>
          <cell r="V1056">
            <v>2.9000000000000001E-2</v>
          </cell>
          <cell r="W1056">
            <v>0.28631000000000001</v>
          </cell>
          <cell r="X1056">
            <v>12.282</v>
          </cell>
          <cell r="Y1056">
            <v>9.77</v>
          </cell>
          <cell r="Z1056">
            <v>0</v>
          </cell>
          <cell r="AA1056">
            <v>0</v>
          </cell>
          <cell r="AB1056">
            <v>0</v>
          </cell>
          <cell r="AC1056">
            <v>0.2047306079338066</v>
          </cell>
          <cell r="AD1056">
            <v>7.2207890765035518E-2</v>
          </cell>
          <cell r="AE1056">
            <v>0</v>
          </cell>
          <cell r="AF1056">
            <v>8.893038876162052</v>
          </cell>
          <cell r="AG1056">
            <v>7.3578191550881931</v>
          </cell>
          <cell r="AH1056">
            <v>202602</v>
          </cell>
          <cell r="AJ1056" t="str">
            <v xml:space="preserve">SCB:Prod'n deferred due to the unavailability of ullage, the dispatch of produced hydrocarbons has been affected.
MECL:Prod'n deferred due to waiting well services.
SPOC:7,541 bbl transfer to Tharjiath COST tank level.
</v>
          </cell>
        </row>
        <row r="1057">
          <cell r="C1057">
            <v>46065</v>
          </cell>
          <cell r="D1057">
            <v>326989</v>
          </cell>
          <cell r="E1057">
            <v>37132</v>
          </cell>
          <cell r="F1057">
            <v>21548.12</v>
          </cell>
          <cell r="G1057">
            <v>4622</v>
          </cell>
          <cell r="H1057">
            <v>2124</v>
          </cell>
          <cell r="I1057">
            <v>179236</v>
          </cell>
          <cell r="J1057">
            <v>165792</v>
          </cell>
          <cell r="K1057">
            <v>52213.72</v>
          </cell>
          <cell r="L1057">
            <v>14787</v>
          </cell>
          <cell r="M1057">
            <v>480051</v>
          </cell>
          <cell r="N1057">
            <v>6613</v>
          </cell>
          <cell r="O1057">
            <v>2039.0000000000002</v>
          </cell>
          <cell r="P1057">
            <v>0</v>
          </cell>
          <cell r="Q1057">
            <v>0</v>
          </cell>
          <cell r="R1057">
            <v>155427.736</v>
          </cell>
          <cell r="S1057">
            <v>14.691332504594405</v>
          </cell>
          <cell r="T1057">
            <v>0.28404699999999999</v>
          </cell>
          <cell r="U1057">
            <v>3.4079575927305102E-3</v>
          </cell>
          <cell r="V1057">
            <v>2.8000000000000001E-2</v>
          </cell>
          <cell r="W1057">
            <v>0.28235000000000005</v>
          </cell>
          <cell r="X1057">
            <v>12.253</v>
          </cell>
          <cell r="Y1057">
            <v>10.23</v>
          </cell>
          <cell r="Z1057">
            <v>0</v>
          </cell>
          <cell r="AA1057">
            <v>0</v>
          </cell>
          <cell r="AB1057">
            <v>0</v>
          </cell>
          <cell r="AC1057">
            <v>0.21775634509142086</v>
          </cell>
          <cell r="AD1057">
            <v>7.2462742144206241E-2</v>
          </cell>
          <cell r="AE1057">
            <v>0</v>
          </cell>
          <cell r="AF1057">
            <v>15.041639883674504</v>
          </cell>
          <cell r="AG1057">
            <v>8.525566811116704</v>
          </cell>
          <cell r="AH1057">
            <v>202602</v>
          </cell>
          <cell r="AJ1057" t="str">
            <v xml:space="preserve">SCB:Prod'n deferred due to the unavailability of ullage, the dispatch of produced hydrocarbons has been affected.
MECL:Prod'n deferred due to waiting well services.
CPO-5:Prod'n deferred due to the shutdown of Perico-1X and Halcon-1X wells.
</v>
          </cell>
        </row>
        <row r="1058">
          <cell r="C1058">
            <v>46066</v>
          </cell>
          <cell r="D1058">
            <v>327538</v>
          </cell>
          <cell r="E1058">
            <v>32635</v>
          </cell>
          <cell r="F1058">
            <v>21587.46</v>
          </cell>
          <cell r="G1058">
            <v>4591</v>
          </cell>
          <cell r="H1058">
            <v>2142</v>
          </cell>
          <cell r="I1058">
            <v>178538</v>
          </cell>
          <cell r="J1058">
            <v>168527</v>
          </cell>
          <cell r="K1058">
            <v>52206</v>
          </cell>
          <cell r="L1058">
            <v>15393</v>
          </cell>
          <cell r="M1058">
            <v>489441</v>
          </cell>
          <cell r="N1058">
            <v>6632</v>
          </cell>
          <cell r="O1058">
            <v>2233</v>
          </cell>
          <cell r="P1058">
            <v>0</v>
          </cell>
          <cell r="Q1058">
            <v>0</v>
          </cell>
          <cell r="R1058">
            <v>155430.69975</v>
          </cell>
          <cell r="S1058">
            <v>14.623938473213702</v>
          </cell>
          <cell r="T1058">
            <v>0.29509800000000003</v>
          </cell>
          <cell r="U1058">
            <v>3.4079575927305102E-3</v>
          </cell>
          <cell r="V1058">
            <v>2.8000000000000001E-2</v>
          </cell>
          <cell r="W1058">
            <v>0.30046</v>
          </cell>
          <cell r="X1058">
            <v>12.252000000000001</v>
          </cell>
          <cell r="Y1058">
            <v>10.15</v>
          </cell>
          <cell r="Z1058">
            <v>0</v>
          </cell>
          <cell r="AA1058">
            <v>0</v>
          </cell>
          <cell r="AB1058">
            <v>0</v>
          </cell>
          <cell r="AC1058">
            <v>0.22087119528128513</v>
          </cell>
          <cell r="AD1058">
            <v>7.1981356205772659E-2</v>
          </cell>
          <cell r="AE1058">
            <v>0</v>
          </cell>
          <cell r="AF1058">
            <v>14.689605178580024</v>
          </cell>
          <cell r="AG1058">
            <v>8.4639934849782676</v>
          </cell>
          <cell r="AH1058">
            <v>202602</v>
          </cell>
          <cell r="AJ1058" t="str">
            <v xml:space="preserve">SCB:Prod'n deferred due to the unavailability of ullage, the dispatch of produced hydrocarbons has been affected.
MECL:Prod'n deferred due to waiting well services.
CPO-5:Prod'n deferred due to the shutdown of Perico-1X and Halcon-1X wells.
</v>
          </cell>
        </row>
        <row r="1059">
          <cell r="C1059">
            <v>46067</v>
          </cell>
          <cell r="D1059">
            <v>341394</v>
          </cell>
          <cell r="E1059">
            <v>33000</v>
          </cell>
          <cell r="F1059">
            <v>21535.39</v>
          </cell>
          <cell r="G1059">
            <v>4563</v>
          </cell>
          <cell r="H1059">
            <v>2094</v>
          </cell>
          <cell r="I1059">
            <v>186987</v>
          </cell>
          <cell r="J1059">
            <v>169324</v>
          </cell>
          <cell r="K1059">
            <v>50804.07</v>
          </cell>
          <cell r="L1059">
            <v>15919</v>
          </cell>
          <cell r="M1059">
            <v>479932</v>
          </cell>
          <cell r="N1059">
            <v>6624</v>
          </cell>
          <cell r="O1059">
            <v>2133</v>
          </cell>
          <cell r="P1059">
            <v>0</v>
          </cell>
          <cell r="Q1059">
            <v>0</v>
          </cell>
          <cell r="R1059">
            <v>157088.28375</v>
          </cell>
          <cell r="S1059">
            <v>17.221157195162355</v>
          </cell>
          <cell r="T1059">
            <v>0.29712899999999998</v>
          </cell>
          <cell r="U1059">
            <v>3.4079575927305102E-3</v>
          </cell>
          <cell r="V1059">
            <v>2.8000000000000001E-2</v>
          </cell>
          <cell r="W1059">
            <v>0.28677999999999998</v>
          </cell>
          <cell r="X1059">
            <v>12.349</v>
          </cell>
          <cell r="Y1059">
            <v>10.14</v>
          </cell>
          <cell r="Z1059">
            <v>0</v>
          </cell>
          <cell r="AA1059">
            <v>0</v>
          </cell>
          <cell r="AB1059">
            <v>0</v>
          </cell>
          <cell r="AC1059">
            <v>0.21690684049418513</v>
          </cell>
          <cell r="AD1059">
            <v>7.2151257125219803E-2</v>
          </cell>
          <cell r="AE1059">
            <v>0</v>
          </cell>
          <cell r="AF1059">
            <v>14.594630564609071</v>
          </cell>
          <cell r="AG1059">
            <v>8.5271166995614003</v>
          </cell>
          <cell r="AH1059">
            <v>202602</v>
          </cell>
          <cell r="AJ1059" t="str">
            <v xml:space="preserve">SCB:Prod'n deferred due to the unavailability of ullage, the dispatch of produced hydrocarbons has been affected.
MECL:Prod'n deferred due to waiting well services.
CPO-5:Prod'n deferred due to the shutdown of Perico-1X and Halcon-1X wells.
</v>
          </cell>
        </row>
        <row r="1060">
          <cell r="C1060">
            <v>46068</v>
          </cell>
          <cell r="D1060">
            <v>345115</v>
          </cell>
          <cell r="E1060">
            <v>33748</v>
          </cell>
          <cell r="F1060">
            <v>21513.07</v>
          </cell>
          <cell r="G1060">
            <v>4600</v>
          </cell>
          <cell r="H1060">
            <v>2178</v>
          </cell>
          <cell r="I1060">
            <v>180687</v>
          </cell>
          <cell r="J1060">
            <v>168282</v>
          </cell>
          <cell r="K1060">
            <v>51379.88</v>
          </cell>
          <cell r="L1060">
            <v>15770</v>
          </cell>
          <cell r="M1060">
            <v>484320</v>
          </cell>
          <cell r="N1060">
            <v>6622</v>
          </cell>
          <cell r="O1060">
            <v>2053</v>
          </cell>
          <cell r="P1060">
            <v>0</v>
          </cell>
          <cell r="Q1060">
            <v>0</v>
          </cell>
          <cell r="R1060">
            <v>156206.34525000004</v>
          </cell>
          <cell r="S1060">
            <v>14.862082928638785</v>
          </cell>
          <cell r="T1060">
            <v>0.299321</v>
          </cell>
          <cell r="U1060">
            <v>3.4079575927305102E-3</v>
          </cell>
          <cell r="V1060">
            <v>2.7289152000000001E-2</v>
          </cell>
          <cell r="W1060">
            <v>0.29017000000000004</v>
          </cell>
          <cell r="X1060">
            <v>12.298999999999999</v>
          </cell>
          <cell r="Y1060">
            <v>10.23</v>
          </cell>
          <cell r="Z1060">
            <v>0</v>
          </cell>
          <cell r="AA1060">
            <v>0</v>
          </cell>
          <cell r="AB1060">
            <v>0</v>
          </cell>
          <cell r="AC1060">
            <v>0.23304742784166366</v>
          </cell>
          <cell r="AD1060">
            <v>7.285917762291623E-2</v>
          </cell>
          <cell r="AE1060">
            <v>0</v>
          </cell>
          <cell r="AF1060">
            <v>14.598113533457738</v>
          </cell>
          <cell r="AG1060">
            <v>8.4777909307771608</v>
          </cell>
          <cell r="AH1060">
            <v>202602</v>
          </cell>
          <cell r="AJ1060" t="str">
            <v xml:space="preserve">SCB:Due to the unavailability of ullage, the dispatch of produced hydrocarbons has been affected.
MECL:Prod'n deferred due to waiting well services.
CPO-5:Prod'n deferred due to the shutdown of Perico-1X and Halcon-1X wells.
</v>
          </cell>
        </row>
        <row r="1061">
          <cell r="C1061">
            <v>46069</v>
          </cell>
          <cell r="D1061">
            <v>333584</v>
          </cell>
          <cell r="E1061">
            <v>33453</v>
          </cell>
          <cell r="F1061">
            <v>21502.71</v>
          </cell>
          <cell r="G1061">
            <v>4609</v>
          </cell>
          <cell r="H1061">
            <v>2153</v>
          </cell>
          <cell r="I1061">
            <v>187216</v>
          </cell>
          <cell r="J1061">
            <v>166434</v>
          </cell>
          <cell r="K1061">
            <v>52745.83</v>
          </cell>
          <cell r="L1061">
            <v>13293</v>
          </cell>
          <cell r="M1061">
            <v>477465</v>
          </cell>
          <cell r="N1061">
            <v>6804</v>
          </cell>
          <cell r="O1061">
            <v>2254</v>
          </cell>
          <cell r="P1061">
            <v>0</v>
          </cell>
          <cell r="Q1061">
            <v>0</v>
          </cell>
          <cell r="R1061">
            <v>156157.11275</v>
          </cell>
          <cell r="S1061">
            <v>15.465797529074296</v>
          </cell>
          <cell r="T1061">
            <v>0.308757</v>
          </cell>
          <cell r="U1061">
            <v>3.4079575927305102E-3</v>
          </cell>
          <cell r="V1061">
            <v>2.6889840000000002E-2</v>
          </cell>
          <cell r="W1061">
            <v>0.28870000000000001</v>
          </cell>
          <cell r="X1061">
            <v>12.421427903960673</v>
          </cell>
          <cell r="Y1061">
            <v>9.6300000000000008</v>
          </cell>
          <cell r="Z1061">
            <v>0</v>
          </cell>
          <cell r="AB1061">
            <v>0</v>
          </cell>
          <cell r="AC1061">
            <v>0.22823356845732798</v>
          </cell>
          <cell r="AD1061">
            <v>7.2519375784021942E-2</v>
          </cell>
          <cell r="AE1061">
            <v>0</v>
          </cell>
          <cell r="AF1061">
            <v>14.594998683267873</v>
          </cell>
          <cell r="AG1061">
            <v>8.3636182578319236</v>
          </cell>
          <cell r="AH1061">
            <v>202602</v>
          </cell>
          <cell r="AJ1061" t="str">
            <v xml:space="preserve">SCB:Due to the unavailability of ullage, the dispatch of produced hydrocarbons has been affected.
MECL:Prod'n deferred due to waiting well services.
CPO-5:Prod'n deferred due to the shutdown of Perico-1X and Halcon-1X wells.
</v>
          </cell>
        </row>
        <row r="1062">
          <cell r="C1062">
            <v>46070</v>
          </cell>
          <cell r="D1062">
            <v>338239</v>
          </cell>
          <cell r="E1062">
            <v>35453</v>
          </cell>
          <cell r="F1062">
            <v>21508.3</v>
          </cell>
          <cell r="G1062">
            <v>4665</v>
          </cell>
          <cell r="H1062">
            <v>2146</v>
          </cell>
          <cell r="I1062">
            <v>187713</v>
          </cell>
          <cell r="J1062">
            <v>166678</v>
          </cell>
          <cell r="K1062">
            <v>52185.37</v>
          </cell>
          <cell r="L1062">
            <v>10978</v>
          </cell>
          <cell r="M1062">
            <v>464017</v>
          </cell>
          <cell r="N1062">
            <v>6827</v>
          </cell>
          <cell r="O1062">
            <v>2254</v>
          </cell>
          <cell r="P1062">
            <v>0</v>
          </cell>
          <cell r="Q1062">
            <v>0</v>
          </cell>
          <cell r="R1062">
            <v>155787.02575</v>
          </cell>
          <cell r="S1062">
            <v>15.40746488006411</v>
          </cell>
          <cell r="T1062">
            <v>0.333652</v>
          </cell>
          <cell r="U1062">
            <v>3.4079575927305102E-3</v>
          </cell>
          <cell r="V1062">
            <v>2.6187504E-2</v>
          </cell>
          <cell r="W1062">
            <v>0.28419</v>
          </cell>
          <cell r="X1062">
            <v>12.375299804330774</v>
          </cell>
          <cell r="Y1062">
            <v>9.2200000000000006</v>
          </cell>
          <cell r="Z1062">
            <v>0</v>
          </cell>
          <cell r="AA1062">
            <v>0</v>
          </cell>
          <cell r="AB1062">
            <v>0</v>
          </cell>
          <cell r="AC1062">
            <v>0.22200386807759939</v>
          </cell>
          <cell r="AD1062">
            <v>7.2519375784021942E-2</v>
          </cell>
          <cell r="AE1062">
            <v>0</v>
          </cell>
          <cell r="AF1062">
            <v>14.59873650349571</v>
          </cell>
          <cell r="AG1062">
            <v>8.2478970523193578</v>
          </cell>
          <cell r="AH1062">
            <v>202602</v>
          </cell>
          <cell r="AI1062" t="str">
            <v>Prev. day data for SCB</v>
          </cell>
          <cell r="AJ1062" t="str">
            <v xml:space="preserve">SCB:Due to the unavailability of ullage, the dispatch of produced hydrocarbons has been affected.
MECL:Prod'n deferred due to waiting well services.
CPO-5:Prod'n deferred due to the shutdown of Perico-1X and Halcon-1X wells.
</v>
          </cell>
        </row>
        <row r="1063">
          <cell r="C1063">
            <v>46071</v>
          </cell>
          <cell r="D1063">
            <v>335353</v>
          </cell>
          <cell r="E1063">
            <v>36340</v>
          </cell>
          <cell r="F1063">
            <v>6915.21</v>
          </cell>
          <cell r="G1063">
            <v>4732</v>
          </cell>
          <cell r="H1063">
            <v>2117</v>
          </cell>
          <cell r="I1063">
            <v>187159</v>
          </cell>
          <cell r="J1063">
            <v>166519</v>
          </cell>
          <cell r="K1063">
            <v>51836.98</v>
          </cell>
          <cell r="L1063">
            <v>10107</v>
          </cell>
          <cell r="M1063">
            <v>451704</v>
          </cell>
          <cell r="N1063">
            <v>6837</v>
          </cell>
          <cell r="O1063">
            <v>2254</v>
          </cell>
          <cell r="P1063">
            <v>0</v>
          </cell>
          <cell r="Q1063">
            <v>0</v>
          </cell>
          <cell r="R1063">
            <v>144790.65100000001</v>
          </cell>
          <cell r="S1063">
            <v>14.072893157806808</v>
          </cell>
          <cell r="T1063">
            <v>0.44854500000000003</v>
          </cell>
          <cell r="U1063">
            <v>3.4079575927305102E-3</v>
          </cell>
          <cell r="V1063">
            <v>2.8237872000000004E-2</v>
          </cell>
          <cell r="W1063">
            <v>0.2868</v>
          </cell>
          <cell r="X1063">
            <v>12.338601205730191</v>
          </cell>
          <cell r="Y1063">
            <v>9.33</v>
          </cell>
          <cell r="Z1063">
            <v>0</v>
          </cell>
          <cell r="AA1063">
            <v>0</v>
          </cell>
          <cell r="AB1063">
            <v>0</v>
          </cell>
          <cell r="AC1063">
            <v>0.21634050409602798</v>
          </cell>
          <cell r="AD1063">
            <v>7.2519375784021942E-2</v>
          </cell>
          <cell r="AE1063">
            <v>0</v>
          </cell>
          <cell r="AF1063">
            <v>14.58619215227653</v>
          </cell>
          <cell r="AG1063">
            <v>8.2620218939779804</v>
          </cell>
          <cell r="AH1063">
            <v>202602</v>
          </cell>
          <cell r="AI1063" t="str">
            <v>Prev. day data for SCB</v>
          </cell>
          <cell r="AJ1063" t="str">
            <v xml:space="preserve">SCB:Due to the unavailability of ullage, the dispatch of produced hydrocarbons has been affected.
MECL:Prod'n deferred due to waiting well services.
CPO-5:Prod'n deferred due to the shutdown of Perico-1X and Halcon-1X wells.
</v>
          </cell>
        </row>
        <row r="1064">
          <cell r="C1064">
            <v>46072</v>
          </cell>
          <cell r="D1064">
            <v>330548</v>
          </cell>
          <cell r="E1064">
            <v>34881</v>
          </cell>
          <cell r="F1064">
            <v>899.65</v>
          </cell>
          <cell r="G1064">
            <v>4803</v>
          </cell>
          <cell r="H1064">
            <v>2086</v>
          </cell>
          <cell r="I1064">
            <v>184714</v>
          </cell>
          <cell r="J1064">
            <v>165703</v>
          </cell>
          <cell r="K1064">
            <v>52729.43</v>
          </cell>
          <cell r="L1064">
            <v>13955</v>
          </cell>
          <cell r="M1064">
            <v>471757</v>
          </cell>
          <cell r="N1064">
            <v>7164</v>
          </cell>
          <cell r="O1064">
            <v>2254</v>
          </cell>
          <cell r="P1064">
            <v>0</v>
          </cell>
          <cell r="Q1064">
            <v>0</v>
          </cell>
          <cell r="R1064">
            <v>141338.15525000001</v>
          </cell>
          <cell r="S1064">
            <v>14.935140324001054</v>
          </cell>
          <cell r="T1064">
            <v>0.53378999999999999</v>
          </cell>
          <cell r="U1064">
            <v>3.4079575927305102E-3</v>
          </cell>
          <cell r="V1064">
            <v>2.9000000000000001E-2</v>
          </cell>
          <cell r="W1064">
            <v>0.28431000000000001</v>
          </cell>
          <cell r="X1064">
            <v>12.53285459029809</v>
          </cell>
          <cell r="Y1064">
            <v>9.9700000000000006</v>
          </cell>
          <cell r="Z1064">
            <v>0</v>
          </cell>
          <cell r="AA1064">
            <v>0</v>
          </cell>
          <cell r="AB1064">
            <v>0</v>
          </cell>
          <cell r="AC1064">
            <v>0.23927712822139219</v>
          </cell>
          <cell r="AD1064">
            <v>7.2519375784021942E-2</v>
          </cell>
          <cell r="AE1064">
            <v>0</v>
          </cell>
          <cell r="AF1064">
            <v>14.298634846112241</v>
          </cell>
          <cell r="AG1064">
            <v>8.467038801108604</v>
          </cell>
          <cell r="AH1064">
            <v>202602</v>
          </cell>
          <cell r="AI1064" t="str">
            <v>Prev. day data for SCB</v>
          </cell>
          <cell r="AJ1064" t="str">
            <v xml:space="preserve">SCB:Due to the unavailability of ullage, the dispatch of produced hydrocarbons has been affected.
MECL:Prod'n deferred due to waiting well services.
CPO-5:Prod'n deferred due to the shutdown of Perico-1X and Halcon-1X wells.
CPO-5: Prod'n deferred due to blockade by local community.
</v>
          </cell>
        </row>
        <row r="1065">
          <cell r="C1065">
            <v>46073</v>
          </cell>
          <cell r="D1065">
            <v>334975</v>
          </cell>
          <cell r="E1065">
            <v>38893</v>
          </cell>
          <cell r="F1065">
            <v>890.02</v>
          </cell>
          <cell r="G1065">
            <v>4763</v>
          </cell>
          <cell r="H1065">
            <v>2071</v>
          </cell>
          <cell r="I1065">
            <v>184714</v>
          </cell>
          <cell r="J1065">
            <v>166823</v>
          </cell>
          <cell r="K1065">
            <v>51550.98</v>
          </cell>
          <cell r="L1065">
            <v>14313</v>
          </cell>
          <cell r="M1065">
            <v>472623</v>
          </cell>
          <cell r="N1065">
            <v>7044</v>
          </cell>
          <cell r="O1065">
            <v>2254</v>
          </cell>
          <cell r="P1065">
            <v>0</v>
          </cell>
          <cell r="Q1065">
            <v>0</v>
          </cell>
          <cell r="R1065">
            <v>142613.53899999999</v>
          </cell>
          <cell r="S1065">
            <v>15.145251127717353</v>
          </cell>
          <cell r="T1065">
            <v>0.52428399999999997</v>
          </cell>
          <cell r="U1065">
            <v>3.4079575927305102E-3</v>
          </cell>
          <cell r="V1065">
            <v>0.03</v>
          </cell>
          <cell r="W1065">
            <v>0.28543000000000002</v>
          </cell>
          <cell r="X1065">
            <v>12.53285459029809</v>
          </cell>
          <cell r="Y1065">
            <v>10.47</v>
          </cell>
          <cell r="Z1065">
            <v>0</v>
          </cell>
          <cell r="AA1065">
            <v>0</v>
          </cell>
          <cell r="AB1065">
            <v>0</v>
          </cell>
          <cell r="AC1065">
            <v>0.23333059604074224</v>
          </cell>
          <cell r="AD1065">
            <v>7.2519375784021942E-2</v>
          </cell>
          <cell r="AE1065">
            <v>0</v>
          </cell>
          <cell r="AF1065">
            <v>14.300843558065054</v>
          </cell>
          <cell r="AG1065">
            <v>8.6019592846094124</v>
          </cell>
          <cell r="AH1065">
            <v>202602</v>
          </cell>
          <cell r="AI1065" t="str">
            <v>Prev. day data for SCB,Sakhalin-1.</v>
          </cell>
          <cell r="AJ1065" t="str">
            <v xml:space="preserve">SCB:Due to the unavailability of ullage, the dispatch of produced hydrocarbons has been affected.
MECL:Prod'n deferred due to waiting well services.
CPO-5: Prod'n deferred due to blockade by local community.
</v>
          </cell>
        </row>
        <row r="1066">
          <cell r="C1066">
            <v>46074</v>
          </cell>
          <cell r="D1066">
            <v>320959</v>
          </cell>
          <cell r="E1066">
            <v>36786</v>
          </cell>
          <cell r="F1066">
            <v>696.98</v>
          </cell>
          <cell r="G1066">
            <v>4711</v>
          </cell>
          <cell r="H1066">
            <v>2081</v>
          </cell>
          <cell r="I1066">
            <v>184714</v>
          </cell>
          <cell r="J1066">
            <v>166710</v>
          </cell>
          <cell r="K1066">
            <v>52359.01</v>
          </cell>
          <cell r="L1066">
            <v>7146</v>
          </cell>
          <cell r="M1066">
            <v>466297</v>
          </cell>
          <cell r="N1066">
            <v>7019</v>
          </cell>
          <cell r="O1066">
            <v>2254</v>
          </cell>
          <cell r="P1066">
            <v>0</v>
          </cell>
          <cell r="Q1066">
            <v>0</v>
          </cell>
          <cell r="R1066">
            <v>139671.35175</v>
          </cell>
          <cell r="S1066">
            <v>15.047841267234324</v>
          </cell>
          <cell r="T1066">
            <v>0.51258300000000001</v>
          </cell>
          <cell r="U1066">
            <v>3.4079575927305102E-3</v>
          </cell>
          <cell r="V1066">
            <v>2.9000000000000001E-2</v>
          </cell>
          <cell r="W1066">
            <v>0.27818999999999999</v>
          </cell>
          <cell r="X1066">
            <v>12.53285459029809</v>
          </cell>
          <cell r="Y1066">
            <v>10.43</v>
          </cell>
          <cell r="Z1066">
            <v>0</v>
          </cell>
          <cell r="AA1066">
            <v>0</v>
          </cell>
          <cell r="AB1066">
            <v>0</v>
          </cell>
          <cell r="AC1066">
            <v>0.22511871826746369</v>
          </cell>
          <cell r="AD1066">
            <v>7.2519375784021942E-2</v>
          </cell>
          <cell r="AE1066">
            <v>0</v>
          </cell>
          <cell r="AF1066">
            <v>14.300050687107635</v>
          </cell>
          <cell r="AG1066">
            <v>8.5767726815724608</v>
          </cell>
          <cell r="AH1066">
            <v>202602</v>
          </cell>
          <cell r="AI1066" t="str">
            <v>Prev. day data for SCB,Sakhalin-1.</v>
          </cell>
          <cell r="AJ1066" t="str">
            <v xml:space="preserve">SCB:Due to the unavailability of ullage, the dispatch of produced hydrocarbons has been affected.
MECL:Prod'n deferred due to waiting well services.
CPO-5: Prod'n deferred due to blockade by local community.
SPOC:4,464 bbl transfer to Tharjiath COST tank level.
</v>
          </cell>
        </row>
        <row r="1067">
          <cell r="C1067">
            <v>46075</v>
          </cell>
          <cell r="D1067">
            <v>336043</v>
          </cell>
          <cell r="E1067">
            <v>36849</v>
          </cell>
          <cell r="F1067">
            <v>96.28</v>
          </cell>
          <cell r="G1067">
            <v>4736</v>
          </cell>
          <cell r="H1067">
            <v>2100</v>
          </cell>
          <cell r="I1067">
            <v>184714</v>
          </cell>
          <cell r="J1067">
            <v>164642</v>
          </cell>
          <cell r="K1067">
            <v>52739.91</v>
          </cell>
          <cell r="L1067">
            <v>12564</v>
          </cell>
          <cell r="M1067">
            <v>462536</v>
          </cell>
          <cell r="N1067">
            <v>7022</v>
          </cell>
          <cell r="O1067">
            <v>2254</v>
          </cell>
          <cell r="P1067">
            <v>0</v>
          </cell>
          <cell r="Q1067">
            <v>0</v>
          </cell>
          <cell r="R1067">
            <v>140455.10625000004</v>
          </cell>
          <cell r="S1067">
            <v>15.047558099035244</v>
          </cell>
          <cell r="T1067">
            <v>0.51228399999999996</v>
          </cell>
          <cell r="U1067">
            <v>3.4079575927305102E-3</v>
          </cell>
          <cell r="V1067">
            <v>2.9000000000000001E-2</v>
          </cell>
          <cell r="W1067">
            <v>0.27645999999999998</v>
          </cell>
          <cell r="X1067">
            <v>12.53285459029809</v>
          </cell>
          <cell r="Y1067">
            <v>10.34</v>
          </cell>
          <cell r="Z1067">
            <v>0</v>
          </cell>
          <cell r="AA1067">
            <v>0</v>
          </cell>
          <cell r="AB1067">
            <v>0</v>
          </cell>
          <cell r="AC1067">
            <v>0.22823356845732798</v>
          </cell>
          <cell r="AD1067">
            <v>7.2519375784021942E-2</v>
          </cell>
          <cell r="AE1067">
            <v>0</v>
          </cell>
          <cell r="AF1067">
            <v>14.299597617989109</v>
          </cell>
          <cell r="AG1067">
            <v>8.5518192806733744</v>
          </cell>
          <cell r="AH1067">
            <v>202602</v>
          </cell>
          <cell r="AI1067" t="str">
            <v>Prev. day data for SCB,Sakhalin-1.</v>
          </cell>
          <cell r="AJ1067" t="str">
            <v>SCB:Due to the unavailability of ullage, the dispatch of produced hydrocarbons has been affected.
MECL:Prod'n deferred due to waiting well services.
CPO-5: Prod'n deferred due to blockade by local community.</v>
          </cell>
        </row>
        <row r="1068">
          <cell r="C1068">
            <v>46076</v>
          </cell>
          <cell r="D1068">
            <v>326551</v>
          </cell>
          <cell r="E1068">
            <v>37050</v>
          </cell>
          <cell r="F1068">
            <v>96.28</v>
          </cell>
          <cell r="G1068">
            <v>4736</v>
          </cell>
          <cell r="H1068">
            <v>2141</v>
          </cell>
          <cell r="I1068">
            <v>184714</v>
          </cell>
          <cell r="J1068">
            <v>166802</v>
          </cell>
          <cell r="K1068">
            <v>52739.91</v>
          </cell>
          <cell r="L1068">
            <v>12695</v>
          </cell>
          <cell r="M1068">
            <v>453359</v>
          </cell>
          <cell r="N1068">
            <v>7399</v>
          </cell>
          <cell r="O1068">
            <v>2254</v>
          </cell>
          <cell r="P1068">
            <v>0</v>
          </cell>
          <cell r="Q1068">
            <v>0</v>
          </cell>
          <cell r="R1068">
            <v>140540.32900000003</v>
          </cell>
          <cell r="S1068">
            <v>14.99092445921953</v>
          </cell>
          <cell r="T1068">
            <v>0.50695400000000002</v>
          </cell>
          <cell r="U1068">
            <v>3.4079575927305102E-3</v>
          </cell>
          <cell r="V1068">
            <v>2.9000000000000001E-2</v>
          </cell>
          <cell r="W1068">
            <v>0.29905000000000004</v>
          </cell>
          <cell r="X1068">
            <v>12.53285459029809</v>
          </cell>
          <cell r="Y1068">
            <v>10.42</v>
          </cell>
          <cell r="AA1068">
            <v>0</v>
          </cell>
          <cell r="AB1068">
            <v>0</v>
          </cell>
          <cell r="AC1068">
            <v>0.22738406386009222</v>
          </cell>
          <cell r="AD1068">
            <v>7.2519375784021942E-2</v>
          </cell>
          <cell r="AE1068">
            <v>0</v>
          </cell>
          <cell r="AF1068">
            <v>14.299654251628924</v>
          </cell>
          <cell r="AG1068">
            <v>8.5920298289218362</v>
          </cell>
          <cell r="AH1068">
            <v>202602</v>
          </cell>
          <cell r="AI1068" t="str">
            <v>Prev. day data for SCB,Sakhalin-1,CPO-5,MECL,GPOC.</v>
          </cell>
          <cell r="AJ1068" t="str">
            <v>SCB:Due to the unavailability of ullage, the dispatch of produced hydrocarbons has been affected.
MECL:Prod'n deferred due to waiting well services.
CPO-5: Prod'n deferred due to blockade by local community.</v>
          </cell>
        </row>
        <row r="1069">
          <cell r="C1069">
            <v>46077</v>
          </cell>
          <cell r="D1069">
            <v>328010</v>
          </cell>
          <cell r="E1069">
            <v>36673</v>
          </cell>
          <cell r="F1069">
            <v>346.74</v>
          </cell>
          <cell r="G1069">
            <v>4749</v>
          </cell>
          <cell r="H1069">
            <v>2088</v>
          </cell>
          <cell r="I1069">
            <v>184671</v>
          </cell>
          <cell r="J1069">
            <v>165924</v>
          </cell>
          <cell r="K1069">
            <v>53137.21</v>
          </cell>
          <cell r="L1069">
            <v>10994</v>
          </cell>
          <cell r="M1069">
            <v>462005</v>
          </cell>
          <cell r="N1069">
            <v>7399</v>
          </cell>
          <cell r="O1069">
            <v>2693</v>
          </cell>
          <cell r="P1069">
            <v>0</v>
          </cell>
          <cell r="Q1069">
            <v>0</v>
          </cell>
          <cell r="R1069">
            <v>140583.55550000005</v>
          </cell>
          <cell r="S1069">
            <v>14.966855162297851</v>
          </cell>
          <cell r="T1069">
            <v>0.48477300000000001</v>
          </cell>
          <cell r="U1069">
            <v>3.4079575927305102E-3</v>
          </cell>
          <cell r="V1069">
            <v>2.9000000000000001E-2</v>
          </cell>
          <cell r="W1069">
            <v>0.29181000000000001</v>
          </cell>
          <cell r="X1069">
            <v>11.814117067396863</v>
          </cell>
          <cell r="Y1069">
            <v>10.39</v>
          </cell>
          <cell r="Z1069">
            <v>0</v>
          </cell>
          <cell r="AA1069">
            <v>0</v>
          </cell>
          <cell r="AB1069">
            <v>0</v>
          </cell>
          <cell r="AC1069">
            <v>3.5396024884821332E-2</v>
          </cell>
          <cell r="AD1069">
            <v>9.0698774164866186E-2</v>
          </cell>
          <cell r="AE1069">
            <v>0</v>
          </cell>
          <cell r="AF1069">
            <v>14.457633789894858</v>
          </cell>
          <cell r="AG1069">
            <v>8.4395590239768978</v>
          </cell>
          <cell r="AH1069">
            <v>202602</v>
          </cell>
          <cell r="AJ1069" t="str">
            <v>SCB:Due to the unavailability of ullage, the dispatch of produced hydrocarbons has been affected.
MECL:Prod'n deferred due to waiting well services.
CPO-5: Prod'n deferred due to blockade by local community.</v>
          </cell>
        </row>
        <row r="1070">
          <cell r="C1070">
            <v>46078</v>
          </cell>
          <cell r="D1070">
            <v>343648</v>
          </cell>
          <cell r="E1070">
            <v>35491</v>
          </cell>
          <cell r="F1070">
            <v>426.06000000000006</v>
          </cell>
          <cell r="G1070">
            <v>4771</v>
          </cell>
          <cell r="H1070">
            <v>2096</v>
          </cell>
          <cell r="I1070">
            <v>186397</v>
          </cell>
          <cell r="J1070">
            <v>165743</v>
          </cell>
          <cell r="K1070">
            <v>52789.2</v>
          </cell>
          <cell r="L1070">
            <v>10593</v>
          </cell>
          <cell r="M1070">
            <v>415648</v>
          </cell>
          <cell r="N1070">
            <v>5041</v>
          </cell>
          <cell r="O1070">
            <v>2697</v>
          </cell>
          <cell r="P1070">
            <v>0</v>
          </cell>
          <cell r="Q1070">
            <v>0</v>
          </cell>
          <cell r="R1070">
            <v>138798.68724999999</v>
          </cell>
          <cell r="S1070">
            <v>15.01669276533568</v>
          </cell>
          <cell r="T1070">
            <v>0.46201100000000001</v>
          </cell>
          <cell r="U1070">
            <v>3.4079575927305102E-3</v>
          </cell>
          <cell r="V1070">
            <v>2.9000000000000001E-2</v>
          </cell>
          <cell r="W1070">
            <v>0.28286</v>
          </cell>
          <cell r="X1070">
            <v>12.319402401832663</v>
          </cell>
          <cell r="Y1070">
            <v>10.33</v>
          </cell>
          <cell r="Z1070">
            <v>0</v>
          </cell>
          <cell r="AA1070">
            <v>0</v>
          </cell>
          <cell r="AB1070">
            <v>0</v>
          </cell>
          <cell r="AC1070">
            <v>0.13478806276139962</v>
          </cell>
          <cell r="AD1070">
            <v>8.0363134898498362E-2</v>
          </cell>
          <cell r="AE1070">
            <v>0</v>
          </cell>
          <cell r="AF1070">
            <v>14.597490563419765</v>
          </cell>
          <cell r="AG1070">
            <v>8.541952620712026</v>
          </cell>
          <cell r="AH1070">
            <v>202602</v>
          </cell>
          <cell r="AJ1070" t="str">
            <v>SCB:Due to the unavailability of ullage, the dispatch of produced hydrocarbons has been affected.
MECL:Prod'n deferred due to waiting well services.
CPO-5: Prod'n deferred due to blockade by local community.</v>
          </cell>
        </row>
        <row r="1071">
          <cell r="C1071">
            <v>46079</v>
          </cell>
          <cell r="D1071">
            <v>336951</v>
          </cell>
          <cell r="E1071">
            <v>32654</v>
          </cell>
          <cell r="F1071">
            <v>20621.68</v>
          </cell>
          <cell r="G1071">
            <v>4734</v>
          </cell>
          <cell r="H1071">
            <v>2098</v>
          </cell>
          <cell r="I1071">
            <v>184639</v>
          </cell>
          <cell r="J1071">
            <v>163552</v>
          </cell>
          <cell r="K1071">
            <v>54295.67</v>
          </cell>
          <cell r="L1071">
            <v>9256</v>
          </cell>
          <cell r="M1071">
            <v>446809</v>
          </cell>
          <cell r="N1071">
            <v>7023</v>
          </cell>
          <cell r="O1071">
            <v>2660</v>
          </cell>
          <cell r="P1071">
            <v>0</v>
          </cell>
          <cell r="Q1071">
            <v>0</v>
          </cell>
          <cell r="R1071">
            <v>152539.71025000003</v>
          </cell>
          <cell r="S1071">
            <v>15.0520887902205</v>
          </cell>
          <cell r="T1071">
            <v>0.46273900000000001</v>
          </cell>
          <cell r="U1071">
            <v>3.4079575927305102E-3</v>
          </cell>
          <cell r="V1071">
            <v>2.9000000000000001E-2</v>
          </cell>
          <cell r="W1071">
            <v>0.27249000000000001</v>
          </cell>
          <cell r="X1071">
            <v>12.33661902833664</v>
          </cell>
          <cell r="Y1071">
            <v>10.33</v>
          </cell>
          <cell r="Z1071">
            <v>0</v>
          </cell>
          <cell r="AA1071">
            <v>0</v>
          </cell>
          <cell r="AB1071">
            <v>0</v>
          </cell>
          <cell r="AC1071">
            <v>0.23248109144350654</v>
          </cell>
          <cell r="AD1071">
            <v>9.1321744202839047E-2</v>
          </cell>
          <cell r="AE1071">
            <v>0</v>
          </cell>
          <cell r="AF1071">
            <v>14.740320603034995</v>
          </cell>
          <cell r="AG1071">
            <v>8.57566862335206</v>
          </cell>
          <cell r="AH1071">
            <v>202602</v>
          </cell>
          <cell r="AJ1071" t="str">
            <v>SCB:Due to the unavailability of ullage, the dispatch of produced hydrocarbons has been affected.
MECL:Prod'n deferred due to waiting well services.
CPO-5: Prod'n deferred due to blockade by local community.</v>
          </cell>
        </row>
        <row r="1072">
          <cell r="C1072">
            <v>46080</v>
          </cell>
          <cell r="D1072">
            <v>317709</v>
          </cell>
          <cell r="E1072">
            <v>31484</v>
          </cell>
          <cell r="F1072">
            <v>23322.87</v>
          </cell>
          <cell r="G1072">
            <v>4746</v>
          </cell>
          <cell r="H1072">
            <v>2100</v>
          </cell>
          <cell r="I1072">
            <v>185144</v>
          </cell>
          <cell r="J1072">
            <v>165169</v>
          </cell>
          <cell r="K1072">
            <v>52816.38</v>
          </cell>
          <cell r="L1072">
            <v>16047</v>
          </cell>
          <cell r="M1072">
            <v>440106</v>
          </cell>
          <cell r="N1072">
            <v>7012</v>
          </cell>
          <cell r="O1072">
            <v>2683</v>
          </cell>
          <cell r="P1072">
            <v>0</v>
          </cell>
          <cell r="Q1072">
            <v>0</v>
          </cell>
          <cell r="R1072">
            <v>155089.611</v>
          </cell>
          <cell r="S1072">
            <v>14.894364103333741</v>
          </cell>
          <cell r="T1072">
            <v>0.45890700000000001</v>
          </cell>
          <cell r="U1072">
            <v>3.4079575927305102E-3</v>
          </cell>
          <cell r="V1072">
            <v>2.9000000000000001E-2</v>
          </cell>
          <cell r="W1072">
            <v>0.28799000000000002</v>
          </cell>
          <cell r="X1072">
            <v>12.302638844447213</v>
          </cell>
          <cell r="Y1072">
            <v>10.23</v>
          </cell>
          <cell r="Z1072">
            <v>0</v>
          </cell>
          <cell r="AA1072">
            <v>0</v>
          </cell>
          <cell r="AB1072">
            <v>0</v>
          </cell>
          <cell r="AC1072">
            <v>0.22509040144755582</v>
          </cell>
          <cell r="AD1072">
            <v>9.3700357075099036E-2</v>
          </cell>
          <cell r="AE1072">
            <v>0</v>
          </cell>
          <cell r="AF1072">
            <v>14.740745355333615</v>
          </cell>
          <cell r="AG1072">
            <v>8.5529351766228512</v>
          </cell>
          <cell r="AH1072">
            <v>202602</v>
          </cell>
          <cell r="AJ1072" t="str">
            <v xml:space="preserve">MECL:Prod'n deferred due to waiting well services.
SCB:Due to the unavailability of ullage, the dispatch of produced hydrocarbons has been affected.
</v>
          </cell>
        </row>
        <row r="1073">
          <cell r="C1073">
            <v>46081</v>
          </cell>
          <cell r="D1073">
            <v>319237</v>
          </cell>
          <cell r="E1073">
            <v>33484</v>
          </cell>
          <cell r="F1073">
            <v>22975.49</v>
          </cell>
          <cell r="G1073">
            <v>4717</v>
          </cell>
          <cell r="H1073">
            <v>2083</v>
          </cell>
          <cell r="I1073">
            <v>180795</v>
          </cell>
          <cell r="J1073">
            <v>148304</v>
          </cell>
          <cell r="K1073">
            <v>51775.97</v>
          </cell>
          <cell r="L1073">
            <v>12828</v>
          </cell>
          <cell r="M1073">
            <v>398520</v>
          </cell>
          <cell r="N1073">
            <v>7142</v>
          </cell>
          <cell r="O1073">
            <v>2745</v>
          </cell>
          <cell r="P1073">
            <v>0</v>
          </cell>
          <cell r="Q1073">
            <v>0</v>
          </cell>
          <cell r="R1073">
            <v>147483.91274999999</v>
          </cell>
          <cell r="S1073">
            <v>15.199619421940437</v>
          </cell>
          <cell r="T1073">
            <v>0.45785799999999999</v>
          </cell>
          <cell r="U1073">
            <v>3.4079575927305102E-3</v>
          </cell>
          <cell r="V1073">
            <v>2.9000000000000001E-2</v>
          </cell>
          <cell r="W1073">
            <v>0.2883</v>
          </cell>
          <cell r="X1073">
            <v>12.285025782464526</v>
          </cell>
          <cell r="Y1073">
            <v>9.99</v>
          </cell>
          <cell r="Z1073">
            <v>0</v>
          </cell>
          <cell r="AA1073">
            <v>0</v>
          </cell>
          <cell r="AB1073">
            <v>0</v>
          </cell>
          <cell r="AC1073">
            <v>0.2307820822490351</v>
          </cell>
          <cell r="AD1073">
            <v>9.3841941174638316E-2</v>
          </cell>
          <cell r="AE1073">
            <v>0</v>
          </cell>
          <cell r="AF1073">
            <v>14.585908984077451</v>
          </cell>
          <cell r="AG1073">
            <v>8.4703285877099894</v>
          </cell>
          <cell r="AH1073">
            <v>202602</v>
          </cell>
          <cell r="AJ1073" t="str">
            <v xml:space="preserve">MECL:Prod'n deferred due to waiting well services.
SCB:Due to the unavailability of ullage, the dispatch of produced hydrocarbons has been affected.
LZC:Prod'n deferred due to management directives.
</v>
          </cell>
        </row>
        <row r="1074">
          <cell r="C1074">
            <v>46082</v>
          </cell>
          <cell r="D1074">
            <v>298743</v>
          </cell>
          <cell r="E1074">
            <v>36358</v>
          </cell>
          <cell r="F1074">
            <v>22778.399999999998</v>
          </cell>
          <cell r="G1074">
            <v>4676</v>
          </cell>
          <cell r="H1074">
            <v>2062</v>
          </cell>
          <cell r="I1074">
            <v>191127</v>
          </cell>
          <cell r="J1074">
            <v>151392</v>
          </cell>
          <cell r="K1074">
            <v>53770.45</v>
          </cell>
          <cell r="L1074">
            <v>12231</v>
          </cell>
          <cell r="M1074">
            <v>449370</v>
          </cell>
          <cell r="N1074">
            <v>7250</v>
          </cell>
          <cell r="O1074">
            <v>2813</v>
          </cell>
          <cell r="P1074">
            <v>0</v>
          </cell>
          <cell r="Q1074">
            <v>0</v>
          </cell>
          <cell r="R1074">
            <v>152777.93400000001</v>
          </cell>
          <cell r="S1074">
            <v>15.059451163396547</v>
          </cell>
          <cell r="T1074">
            <v>0.45718300000000001</v>
          </cell>
          <cell r="U1074">
            <v>3.4079575927305102E-3</v>
          </cell>
          <cell r="V1074">
            <v>2.8000000000000001E-2</v>
          </cell>
          <cell r="W1074">
            <v>0.28576999999999997</v>
          </cell>
          <cell r="X1074">
            <v>12.344151302432131</v>
          </cell>
          <cell r="Y1074">
            <v>8.84</v>
          </cell>
          <cell r="Z1074">
            <v>0</v>
          </cell>
          <cell r="AA1074">
            <v>0</v>
          </cell>
          <cell r="AB1074">
            <v>0</v>
          </cell>
          <cell r="AC1074">
            <v>0.2296494094527208</v>
          </cell>
          <cell r="AD1074">
            <v>0.10621639147437185</v>
          </cell>
          <cell r="AE1074">
            <v>0</v>
          </cell>
          <cell r="AF1074">
            <v>14.297360589216387</v>
          </cell>
          <cell r="AG1074">
            <v>8.1316134791270205</v>
          </cell>
          <cell r="AH1074">
            <v>202603</v>
          </cell>
          <cell r="AJ1074" t="str">
            <v xml:space="preserve">MECL:Prod'n deferred due to waiting well services.
SCB:Due to the unavailability of ullage, the dispatch of produced hydrocarbons has been affected.
</v>
          </cell>
        </row>
        <row r="1075">
          <cell r="C1075">
            <v>46083</v>
          </cell>
          <cell r="D1075">
            <v>347692</v>
          </cell>
          <cell r="E1075">
            <v>36340</v>
          </cell>
          <cell r="F1075">
            <v>22741.629999999997</v>
          </cell>
          <cell r="G1075">
            <v>4629</v>
          </cell>
          <cell r="H1075">
            <v>2067</v>
          </cell>
          <cell r="I1075">
            <v>186020</v>
          </cell>
          <cell r="J1075">
            <v>155634</v>
          </cell>
          <cell r="K1075">
            <v>47883</v>
          </cell>
          <cell r="L1075">
            <v>10813</v>
          </cell>
          <cell r="M1075">
            <v>448623</v>
          </cell>
          <cell r="N1075">
            <v>7070</v>
          </cell>
          <cell r="O1075">
            <v>2834</v>
          </cell>
          <cell r="P1075">
            <v>0</v>
          </cell>
          <cell r="Q1075">
            <v>0</v>
          </cell>
          <cell r="R1075">
            <v>152386.87825000004</v>
          </cell>
          <cell r="S1075">
            <v>15.184045170991119</v>
          </cell>
          <cell r="T1075">
            <v>0.456897</v>
          </cell>
          <cell r="U1075">
            <v>3.4079575927305102E-3</v>
          </cell>
          <cell r="V1075">
            <v>2.7E-2</v>
          </cell>
          <cell r="W1075">
            <v>0.28327999999999998</v>
          </cell>
          <cell r="X1075">
            <v>12.378</v>
          </cell>
          <cell r="Y1075">
            <v>2.5299999999999998</v>
          </cell>
          <cell r="Z1075">
            <v>0</v>
          </cell>
          <cell r="AA1075">
            <v>0</v>
          </cell>
          <cell r="AB1075">
            <v>0</v>
          </cell>
          <cell r="AC1075">
            <v>0.22851673665640654</v>
          </cell>
          <cell r="AD1075">
            <v>0.106386292393819</v>
          </cell>
          <cell r="AE1075">
            <v>0</v>
          </cell>
          <cell r="AF1075">
            <v>14.845149470333881</v>
          </cell>
          <cell r="AG1075">
            <v>6.5917961182508416</v>
          </cell>
          <cell r="AH1075">
            <v>202603</v>
          </cell>
          <cell r="AJ1075" t="str">
            <v xml:space="preserve">MECL:Prod'n deferred due to waiting well services.
SCB:Due to the unavailability of ullage, the dispatch of produced hydrocarbons has been affected.
</v>
          </cell>
        </row>
        <row r="1076">
          <cell r="C1076">
            <v>46084</v>
          </cell>
          <cell r="D1076">
            <v>333564</v>
          </cell>
          <cell r="E1076">
            <v>36164</v>
          </cell>
          <cell r="F1076">
            <v>22702.43</v>
          </cell>
          <cell r="G1076">
            <v>4601</v>
          </cell>
          <cell r="H1076">
            <v>2066</v>
          </cell>
          <cell r="I1076">
            <v>182775</v>
          </cell>
          <cell r="J1076">
            <v>155914</v>
          </cell>
          <cell r="K1076">
            <v>52492.2</v>
          </cell>
          <cell r="L1076">
            <v>9818</v>
          </cell>
          <cell r="M1076">
            <v>452133</v>
          </cell>
          <cell r="N1076">
            <v>7037</v>
          </cell>
          <cell r="O1076">
            <v>2885</v>
          </cell>
          <cell r="P1076">
            <v>0</v>
          </cell>
          <cell r="Q1076">
            <v>0</v>
          </cell>
          <cell r="R1076">
            <v>152376.90050000002</v>
          </cell>
          <cell r="S1076">
            <v>15.28372037706677</v>
          </cell>
          <cell r="T1076">
            <v>0.45615600000000001</v>
          </cell>
          <cell r="U1076">
            <v>3.4079575927305102E-3</v>
          </cell>
          <cell r="V1076">
            <v>2.7E-2</v>
          </cell>
          <cell r="W1076">
            <v>0.28067999999999999</v>
          </cell>
          <cell r="X1076">
            <v>12.343</v>
          </cell>
          <cell r="Y1076">
            <v>2.67</v>
          </cell>
          <cell r="Z1076">
            <v>0</v>
          </cell>
          <cell r="AA1076">
            <v>0</v>
          </cell>
          <cell r="AB1076">
            <v>0</v>
          </cell>
          <cell r="AC1076">
            <v>0.22228703627667795</v>
          </cell>
          <cell r="AD1076">
            <v>9.3955208454269745E-2</v>
          </cell>
          <cell r="AE1076">
            <v>0</v>
          </cell>
          <cell r="AF1076">
            <v>14.599246206254051</v>
          </cell>
          <cell r="AG1076">
            <v>6.5739436530726305</v>
          </cell>
          <cell r="AH1076">
            <v>202603</v>
          </cell>
          <cell r="AJ1076" t="str">
            <v>MECL:Prod'n deferred due to waiting well services.
SCB:Due to the unavailability of ullage, the dispatch of produced hydrocarbons has been affected.
SPOC :1,327 bbl transfer to Tharjiath COST tank level.</v>
          </cell>
        </row>
        <row r="1077">
          <cell r="C1077">
            <v>46085</v>
          </cell>
          <cell r="D1077">
            <v>338037</v>
          </cell>
          <cell r="E1077">
            <v>36208</v>
          </cell>
          <cell r="F1077">
            <v>22671.68</v>
          </cell>
          <cell r="G1077">
            <v>4563</v>
          </cell>
          <cell r="H1077">
            <v>2066</v>
          </cell>
          <cell r="I1077">
            <v>182807</v>
          </cell>
          <cell r="J1077">
            <v>144387</v>
          </cell>
          <cell r="K1077">
            <v>52390.71</v>
          </cell>
          <cell r="L1077">
            <v>12419</v>
          </cell>
          <cell r="M1077">
            <v>428904</v>
          </cell>
          <cell r="N1077">
            <v>7033</v>
          </cell>
          <cell r="O1077">
            <v>2912</v>
          </cell>
          <cell r="P1077">
            <v>0</v>
          </cell>
          <cell r="Q1077">
            <v>0</v>
          </cell>
          <cell r="R1077">
            <v>149171.78950000001</v>
          </cell>
          <cell r="S1077">
            <v>15.085785805910852</v>
          </cell>
          <cell r="T1077">
            <v>0.46384700000000001</v>
          </cell>
          <cell r="U1077">
            <v>3.4079575927305102E-3</v>
          </cell>
          <cell r="V1077">
            <v>2.7E-2</v>
          </cell>
          <cell r="W1077">
            <v>0.27710000000000001</v>
          </cell>
          <cell r="X1077">
            <v>12.261919257419715</v>
          </cell>
          <cell r="Y1077">
            <v>2.77</v>
          </cell>
          <cell r="Z1077">
            <v>0</v>
          </cell>
          <cell r="AA1077">
            <v>0</v>
          </cell>
          <cell r="AB1077">
            <v>0</v>
          </cell>
          <cell r="AC1077">
            <v>0.22540188646654225</v>
          </cell>
          <cell r="AD1077">
            <v>9.2114615160259039E-2</v>
          </cell>
          <cell r="AE1077">
            <v>0</v>
          </cell>
          <cell r="AF1077">
            <v>14.602672541462901</v>
          </cell>
          <cell r="AG1077">
            <v>6.5766275241115739</v>
          </cell>
          <cell r="AH1077">
            <v>202603</v>
          </cell>
          <cell r="AJ1077" t="str">
            <v xml:space="preserve">MECL:Prod'n deferred due to waiting well services.
SCB:Due to the unavailability of ullage, the dispatch of produced hydrocarbons has been affected.
Vankor:Reason awaited from the operator.
</v>
          </cell>
        </row>
        <row r="1078">
          <cell r="C1078">
            <v>46086</v>
          </cell>
          <cell r="D1078">
            <v>337093</v>
          </cell>
          <cell r="E1078">
            <v>36623</v>
          </cell>
          <cell r="F1078">
            <v>22655.54</v>
          </cell>
          <cell r="G1078">
            <v>4591</v>
          </cell>
          <cell r="H1078">
            <v>2079</v>
          </cell>
          <cell r="I1078">
            <v>181884</v>
          </cell>
          <cell r="J1078">
            <v>148023</v>
          </cell>
          <cell r="K1078">
            <v>54066.01</v>
          </cell>
          <cell r="L1078">
            <v>6692</v>
          </cell>
          <cell r="M1078">
            <v>456384</v>
          </cell>
          <cell r="N1078">
            <v>6833</v>
          </cell>
          <cell r="O1078">
            <v>3048</v>
          </cell>
          <cell r="P1078">
            <v>0</v>
          </cell>
          <cell r="Q1078">
            <v>0</v>
          </cell>
          <cell r="R1078">
            <v>150201.47575000004</v>
          </cell>
          <cell r="S1078">
            <v>15.193389721560708</v>
          </cell>
          <cell r="T1078">
            <v>0.47378599999999998</v>
          </cell>
          <cell r="U1078">
            <v>3.4079575927305102E-3</v>
          </cell>
          <cell r="V1078">
            <v>2.4E-2</v>
          </cell>
          <cell r="W1078">
            <v>0.27758999999999995</v>
          </cell>
          <cell r="X1078">
            <v>12.235358080346144</v>
          </cell>
          <cell r="Y1078">
            <v>9.94</v>
          </cell>
          <cell r="Z1078">
            <v>0</v>
          </cell>
          <cell r="AA1078">
            <v>0</v>
          </cell>
          <cell r="AB1078">
            <v>0</v>
          </cell>
          <cell r="AC1078">
            <v>0.21492466310063513</v>
          </cell>
          <cell r="AD1078">
            <v>8.687600347730548E-2</v>
          </cell>
          <cell r="AE1078">
            <v>0</v>
          </cell>
          <cell r="AF1078">
            <v>14.733977635375636</v>
          </cell>
          <cell r="AG1078">
            <v>8.4594103581690909</v>
          </cell>
          <cell r="AH1078">
            <v>202603</v>
          </cell>
          <cell r="AJ1078" t="str">
            <v>MECL:Prod'n deferred due to waiting well services.SCB:Due to the unavailability of ullage, the dispatch of produced hydrocarbons has been affected.
Vankor:Oil: Repair of Oil Gathering Pipeline. Repair stages include shutdown of 183 wells. Gas: Gas Injection due to preventive maintenance at gas treatment and transportation facility "
SPOC :Due to power tripped affected 14 wells.
PCB : Production impact due to an increase in the % A&amp;S at the inlet to the COP plant ( above 29%). Well CGO-0092: 100% water (potential 0.200 MBD).</v>
          </cell>
        </row>
        <row r="1079">
          <cell r="C1079">
            <v>46087</v>
          </cell>
          <cell r="D1079">
            <v>314117</v>
          </cell>
          <cell r="E1079">
            <v>36019</v>
          </cell>
          <cell r="F1079">
            <v>22418.25</v>
          </cell>
          <cell r="G1079">
            <v>4635</v>
          </cell>
          <cell r="H1079">
            <v>2106</v>
          </cell>
          <cell r="I1079">
            <v>188512</v>
          </cell>
          <cell r="J1079">
            <v>153678</v>
          </cell>
          <cell r="K1079">
            <v>53292.92</v>
          </cell>
          <cell r="L1079">
            <v>1581</v>
          </cell>
          <cell r="M1079">
            <v>338950</v>
          </cell>
          <cell r="N1079">
            <v>6974</v>
          </cell>
          <cell r="O1079">
            <v>3050</v>
          </cell>
          <cell r="P1079">
            <v>0</v>
          </cell>
          <cell r="Q1079">
            <v>0</v>
          </cell>
          <cell r="R1079">
            <v>145937.7935</v>
          </cell>
          <cell r="S1079">
            <v>15.26418177133035</v>
          </cell>
          <cell r="T1079">
            <v>0.47456799999999999</v>
          </cell>
          <cell r="U1079">
            <v>3.4079575927305102E-3</v>
          </cell>
          <cell r="V1079">
            <v>2.5999999999999999E-2</v>
          </cell>
          <cell r="W1079">
            <v>0.29598000000000002</v>
          </cell>
          <cell r="X1079">
            <v>12.28114637813715</v>
          </cell>
          <cell r="Y1079">
            <v>9.8000000000000007</v>
          </cell>
          <cell r="Z1079">
            <v>0</v>
          </cell>
          <cell r="AA1079">
            <v>0</v>
          </cell>
          <cell r="AB1079">
            <v>0</v>
          </cell>
          <cell r="AC1079">
            <v>0.22143753167944227</v>
          </cell>
          <cell r="AD1079">
            <v>8.4808875624031915E-2</v>
          </cell>
          <cell r="AE1079">
            <v>0</v>
          </cell>
          <cell r="AF1079">
            <v>14.728625756413049</v>
          </cell>
          <cell r="AG1079">
            <v>8.4528195701617754</v>
          </cell>
          <cell r="AH1079">
            <v>202603</v>
          </cell>
          <cell r="AJ1079" t="str">
            <v>MECL:Prod'n deferred due to waiting well services.SCB:Due to the unavailability of ullage, the dispatch of produced hydrocarbons has been affected.
Vankor:Oil: Repair of Oil Gathering Pipeline. Repair stages include shutdown of 183 wells. Gas: Gas Injection due to preventive maintenance at gas treatment and transportation facility "
SPOC:Prod'n deferred due to TJH-20 well shutdown due to VSD issue.
PCB : Production impact due to an increase in the % A&amp;S at the inlet to the COP plant ( above 29%). Well CGO-0092: 100% water (potential 0.200 MBD).</v>
          </cell>
        </row>
        <row r="1080">
          <cell r="C1080">
            <v>46088</v>
          </cell>
          <cell r="D1080">
            <v>321650</v>
          </cell>
          <cell r="E1080">
            <v>35956</v>
          </cell>
          <cell r="F1080">
            <v>22853.57</v>
          </cell>
          <cell r="G1080">
            <v>4564</v>
          </cell>
          <cell r="H1080">
            <v>2093</v>
          </cell>
          <cell r="I1080">
            <v>191030</v>
          </cell>
          <cell r="J1080">
            <v>153189</v>
          </cell>
          <cell r="K1080">
            <v>54466.46</v>
          </cell>
          <cell r="L1080">
            <v>14718</v>
          </cell>
          <cell r="M1080">
            <v>22364</v>
          </cell>
          <cell r="N1080">
            <v>6943</v>
          </cell>
          <cell r="O1080">
            <v>3205</v>
          </cell>
          <cell r="P1080">
            <v>0</v>
          </cell>
          <cell r="Q1080">
            <v>0</v>
          </cell>
          <cell r="R1080">
            <v>137631.644</v>
          </cell>
          <cell r="S1080">
            <v>15.347999558257612</v>
          </cell>
          <cell r="T1080">
            <v>0.46987000000000001</v>
          </cell>
          <cell r="U1080">
            <v>3.4079575927305102E-3</v>
          </cell>
          <cell r="V1080">
            <v>2.7E-2</v>
          </cell>
          <cell r="W1080">
            <v>0.29658000000000001</v>
          </cell>
          <cell r="X1080">
            <v>11.484367699569868</v>
          </cell>
          <cell r="Y1080">
            <v>9.66</v>
          </cell>
          <cell r="Z1080">
            <v>0</v>
          </cell>
          <cell r="AA1080">
            <v>0</v>
          </cell>
          <cell r="AB1080">
            <v>0</v>
          </cell>
          <cell r="AC1080">
            <v>0.22002169068404939</v>
          </cell>
          <cell r="AD1080">
            <v>8.9905903207446181E-2</v>
          </cell>
          <cell r="AE1080">
            <v>0</v>
          </cell>
          <cell r="AF1080">
            <v>14.724887936185214</v>
          </cell>
          <cell r="AG1080">
            <v>8.2605946838010809</v>
          </cell>
          <cell r="AH1080">
            <v>202603</v>
          </cell>
          <cell r="AJ1080" t="str">
            <v>MECL:Prod'n deferred due to waiting well services.SCB:Due to the unavailability of ullage, the dispatch of produced hydrocarbons has been affected.
Vankor:Oil: Repair of Oil Gathering Pipeline. Repair stages include shutdown of 183 wells. Gas: Gas Injection due to preventive maintenance at gas treatment and transportation facility "
PCB : Production impact due to an increase in the % A&amp;S at the inlet to the COP plant ( above 29%). Well CGO-0092: 100% water (potential 0.200 MBD).</v>
          </cell>
        </row>
        <row r="1081">
          <cell r="C1081">
            <v>46089</v>
          </cell>
          <cell r="D1081">
            <v>349458</v>
          </cell>
          <cell r="E1081">
            <v>35849</v>
          </cell>
          <cell r="F1081">
            <v>22795.69</v>
          </cell>
          <cell r="G1081">
            <v>4590</v>
          </cell>
          <cell r="H1081">
            <v>2092</v>
          </cell>
          <cell r="I1081">
            <v>198546</v>
          </cell>
          <cell r="J1081">
            <v>154893</v>
          </cell>
          <cell r="K1081">
            <v>53080.71</v>
          </cell>
          <cell r="L1081">
            <v>8639</v>
          </cell>
          <cell r="M1081">
            <v>36007</v>
          </cell>
          <cell r="N1081">
            <v>6937</v>
          </cell>
          <cell r="O1081">
            <v>3125</v>
          </cell>
          <cell r="P1081">
            <v>0</v>
          </cell>
          <cell r="Q1081">
            <v>0</v>
          </cell>
          <cell r="R1081">
            <v>139033.92574999999</v>
          </cell>
          <cell r="S1081">
            <v>16.272826896448223</v>
          </cell>
          <cell r="T1081">
            <v>0.46917599999999998</v>
          </cell>
          <cell r="U1081">
            <v>3.4079575927305102E-3</v>
          </cell>
          <cell r="V1081">
            <v>2.7E-2</v>
          </cell>
          <cell r="W1081">
            <v>0.29164999999999996</v>
          </cell>
          <cell r="X1081">
            <v>11.496742149869601</v>
          </cell>
          <cell r="Y1081">
            <v>9.9</v>
          </cell>
          <cell r="Z1081">
            <v>0</v>
          </cell>
          <cell r="AA1081">
            <v>0</v>
          </cell>
          <cell r="AB1081">
            <v>0</v>
          </cell>
          <cell r="AC1081">
            <v>0.22143753167944227</v>
          </cell>
          <cell r="AD1081">
            <v>8.3506301908270478E-2</v>
          </cell>
          <cell r="AE1081">
            <v>0</v>
          </cell>
          <cell r="AF1081">
            <v>14.724944569825029</v>
          </cell>
          <cell r="AG1081">
            <v>8.3450089232116937</v>
          </cell>
          <cell r="AH1081">
            <v>202603</v>
          </cell>
          <cell r="AJ1081" t="str">
            <v>MECL:Prod'n deferred due to waiting well services.
SCB:Due to the unavailability of ullage, the dispatch of produced hydrocarbons has been affected.
Vankor:Oil: Repair of Oil Gathering Pipeline. Gas: Gas Injection due to preventive maintenance at gas treatment and transportation facility.
LZC:Prod'n has been reduced to 36 MBD (08.03.2026) from 456 MBD (05.03.2026) due to DAS ullage constraints.
SPOC: Prod'n deferred due to well shut-in resulting from DGFF process limitations.</v>
          </cell>
        </row>
        <row r="1082">
          <cell r="C1082">
            <v>46090</v>
          </cell>
          <cell r="D1082">
            <v>325539</v>
          </cell>
          <cell r="E1082">
            <v>35931</v>
          </cell>
          <cell r="F1082">
            <v>22747.01</v>
          </cell>
          <cell r="G1082">
            <v>4468</v>
          </cell>
          <cell r="H1082">
            <v>2097</v>
          </cell>
          <cell r="I1082">
            <v>196616</v>
          </cell>
          <cell r="J1082">
            <v>153564</v>
          </cell>
          <cell r="K1082">
            <v>52248.79</v>
          </cell>
          <cell r="L1082">
            <v>8310</v>
          </cell>
          <cell r="M1082">
            <v>604</v>
          </cell>
          <cell r="N1082">
            <v>6069</v>
          </cell>
          <cell r="O1082">
            <v>3157</v>
          </cell>
          <cell r="P1082">
            <v>0</v>
          </cell>
          <cell r="Q1082">
            <v>0</v>
          </cell>
          <cell r="R1082">
            <v>135748.66774999999</v>
          </cell>
          <cell r="S1082">
            <v>16.275941746638086</v>
          </cell>
          <cell r="T1082">
            <v>0.46863100000000002</v>
          </cell>
          <cell r="U1082">
            <v>3.4079575927305102E-3</v>
          </cell>
          <cell r="V1082">
            <v>2.5999999999999999E-2</v>
          </cell>
          <cell r="W1082">
            <v>0.28724</v>
          </cell>
          <cell r="X1082">
            <v>11.521802535488053</v>
          </cell>
          <cell r="Y1082">
            <v>9.84</v>
          </cell>
          <cell r="Z1082">
            <v>0</v>
          </cell>
          <cell r="AA1082">
            <v>0</v>
          </cell>
          <cell r="AB1082">
            <v>0</v>
          </cell>
          <cell r="AC1082">
            <v>0.21662367229510657</v>
          </cell>
          <cell r="AD1082">
            <v>8.8036993093527624E-2</v>
          </cell>
          <cell r="AE1082">
            <v>0</v>
          </cell>
          <cell r="AF1082">
            <v>14.725879024881987</v>
          </cell>
          <cell r="AG1082">
            <v>8.3308554586458037</v>
          </cell>
          <cell r="AH1082">
            <v>202603</v>
          </cell>
          <cell r="AJ1082" t="str">
            <v>MECL:Prod'n deferred due to waiting well services.
SCB:Due to the unavailability of ullage, the dispatch of produced hydrocarbons has been affected.
Vankor:Oil: Repair of Oil Gathering Pipeline. Gas: Gas Injection due to preventive maintenance at gas treatment and transportation facility.
LZC:Prod'n deferred due to DAS ullage constraints.
SPOC: Prod'n deferred due to well shut-in resulting from DGFF process limitations.</v>
          </cell>
        </row>
        <row r="1083">
          <cell r="C1083">
            <v>46091</v>
          </cell>
          <cell r="D1083">
            <v>328218</v>
          </cell>
          <cell r="E1083">
            <v>35855</v>
          </cell>
          <cell r="F1083">
            <v>22703.859999999997</v>
          </cell>
          <cell r="G1083">
            <v>4301</v>
          </cell>
          <cell r="H1083">
            <v>2068</v>
          </cell>
          <cell r="I1083">
            <v>200421</v>
          </cell>
          <cell r="J1083">
            <v>154768</v>
          </cell>
          <cell r="K1083">
            <v>51775.51</v>
          </cell>
          <cell r="L1083">
            <v>9196</v>
          </cell>
          <cell r="M1083">
            <v>0</v>
          </cell>
          <cell r="N1083">
            <v>6203</v>
          </cell>
          <cell r="O1083">
            <v>3111</v>
          </cell>
          <cell r="P1083">
            <v>0</v>
          </cell>
          <cell r="Q1083">
            <v>0</v>
          </cell>
          <cell r="R1083">
            <v>136805.45099999997</v>
          </cell>
          <cell r="S1083">
            <v>15.965306232248894</v>
          </cell>
          <cell r="T1083">
            <v>0.46668100000000001</v>
          </cell>
          <cell r="U1083">
            <v>3.4079575927305102E-3</v>
          </cell>
          <cell r="V1083">
            <v>2.5999999999999999E-2</v>
          </cell>
          <cell r="W1083">
            <v>0.27968999999999999</v>
          </cell>
          <cell r="X1083">
            <v>11.502000000000001</v>
          </cell>
          <cell r="Y1083">
            <v>9.98</v>
          </cell>
          <cell r="Z1083">
            <v>0</v>
          </cell>
          <cell r="AA1083">
            <v>0</v>
          </cell>
          <cell r="AB1083">
            <v>0</v>
          </cell>
          <cell r="AC1083">
            <v>0.21492466310063513</v>
          </cell>
          <cell r="AD1083">
            <v>8.6960953937029059E-2</v>
          </cell>
          <cell r="AE1083">
            <v>0</v>
          </cell>
          <cell r="AF1083">
            <v>14.727153281777843</v>
          </cell>
          <cell r="AG1083">
            <v>8.3456011335474756</v>
          </cell>
          <cell r="AH1083">
            <v>202603</v>
          </cell>
          <cell r="AJ1083" t="str">
            <v xml:space="preserve">MECL:Prod'n deferred due to waiting well services.
SCB:Due to the unavailability of ullage, the dispatch of produced hydrocarbons has been affected.
Vankor:Oil: Repair of Oil Gathering Pipeline. Gas: Gas Injection due to preventive maintenance at gas treatment and transportation facility.
LZC:Prod'n deferred due to DAS ullage constraints.
SPOC: Prod'n deferred due to well shut-in resulting from DGFF process limitations._x000D_
</v>
          </cell>
        </row>
        <row r="1084">
          <cell r="C1084">
            <v>46092</v>
          </cell>
          <cell r="D1084">
            <v>320630</v>
          </cell>
          <cell r="E1084">
            <v>35560</v>
          </cell>
          <cell r="F1084">
            <v>22732.260000000002</v>
          </cell>
          <cell r="G1084">
            <v>4303</v>
          </cell>
          <cell r="H1084">
            <v>2014</v>
          </cell>
          <cell r="I1084">
            <v>198485</v>
          </cell>
          <cell r="J1084">
            <v>155699</v>
          </cell>
          <cell r="K1084">
            <v>53413.51</v>
          </cell>
          <cell r="L1084">
            <v>12860</v>
          </cell>
          <cell r="M1084">
            <v>0</v>
          </cell>
          <cell r="N1084">
            <v>6140</v>
          </cell>
          <cell r="O1084">
            <v>3496</v>
          </cell>
          <cell r="P1084">
            <v>0</v>
          </cell>
          <cell r="Q1084">
            <v>0</v>
          </cell>
          <cell r="R1084">
            <v>137766.10199999998</v>
          </cell>
          <cell r="S1084">
            <v>15.182629329995722</v>
          </cell>
          <cell r="T1084">
            <v>0.46693899999999999</v>
          </cell>
          <cell r="U1084">
            <v>3.4079575927305102E-3</v>
          </cell>
          <cell r="V1084">
            <v>2.5999999999999999E-2</v>
          </cell>
          <cell r="W1084">
            <v>0.27035000000000003</v>
          </cell>
          <cell r="X1084">
            <v>12.23912421739389</v>
          </cell>
          <cell r="Y1084">
            <v>10.01</v>
          </cell>
          <cell r="Z1084">
            <v>0</v>
          </cell>
          <cell r="AA1084">
            <v>0</v>
          </cell>
          <cell r="AB1084">
            <v>0</v>
          </cell>
          <cell r="AC1084">
            <v>0.22115436348036369</v>
          </cell>
          <cell r="AD1084">
            <v>0.10389441224192758</v>
          </cell>
          <cell r="AE1084">
            <v>0</v>
          </cell>
          <cell r="AF1084">
            <v>14.725794074422266</v>
          </cell>
          <cell r="AG1084">
            <v>8.4758759087544568</v>
          </cell>
          <cell r="AH1084">
            <v>202603</v>
          </cell>
          <cell r="AJ1084" t="str">
            <v>MECL:Prod'n deferred due to waiting well services.
SCB:Due to the unavailability of ullage, the dispatch of produced hydrocarbons has been affected.
Vankor:Oil: Repair of Oil Gathering Pipeline. Gas: Gas Injection due to preventive maintenance at gas treatment and transportation facility.
LZC:Prod'n deferred due to DAS ullage constraints.</v>
          </cell>
        </row>
        <row r="1085">
          <cell r="C1085">
            <v>46093</v>
          </cell>
          <cell r="D1085">
            <v>329032</v>
          </cell>
          <cell r="E1085">
            <v>35409</v>
          </cell>
          <cell r="F1085">
            <v>22752.969999999998</v>
          </cell>
          <cell r="G1085">
            <v>4334</v>
          </cell>
          <cell r="H1085">
            <v>2039</v>
          </cell>
          <cell r="I1085">
            <v>196523</v>
          </cell>
          <cell r="J1085">
            <v>156015</v>
          </cell>
          <cell r="K1085">
            <v>51578.9</v>
          </cell>
          <cell r="L1085">
            <v>13829</v>
          </cell>
          <cell r="M1085">
            <v>51079</v>
          </cell>
          <cell r="N1085">
            <v>6676</v>
          </cell>
          <cell r="O1085">
            <v>3311</v>
          </cell>
          <cell r="P1085">
            <v>0</v>
          </cell>
          <cell r="Q1085">
            <v>0</v>
          </cell>
          <cell r="R1085">
            <v>139519.08624999999</v>
          </cell>
          <cell r="S1085">
            <v>15.351680744845632</v>
          </cell>
          <cell r="T1085">
            <v>0.46496599999999999</v>
          </cell>
          <cell r="U1085">
            <v>3.4079575927305102E-3</v>
          </cell>
          <cell r="V1085">
            <v>2.5999999999999999E-2</v>
          </cell>
          <cell r="W1085">
            <v>0.27516000000000002</v>
          </cell>
          <cell r="X1085">
            <v>11.386080017669695</v>
          </cell>
          <cell r="Y1085">
            <v>10.130000000000001</v>
          </cell>
          <cell r="Z1085">
            <v>0</v>
          </cell>
          <cell r="AA1085">
            <v>0</v>
          </cell>
          <cell r="AB1085">
            <v>0</v>
          </cell>
          <cell r="AC1085">
            <v>0.22455238186930654</v>
          </cell>
          <cell r="AD1085">
            <v>0.11590074388285897</v>
          </cell>
          <cell r="AE1085">
            <v>0</v>
          </cell>
          <cell r="AF1085">
            <v>14.724859619365306</v>
          </cell>
          <cell r="AG1085">
            <v>8.3507065700134504</v>
          </cell>
          <cell r="AH1085">
            <v>202603</v>
          </cell>
          <cell r="AJ1085" t="str">
            <v>MECL:Prod'n deferred due to waiting well services.
SCB:Due to the unavailability of ullage, the dispatch of produced hydrocarbons has been affected.
Vankor:Oil: Repair of Oil Gathering Pipeline. Gas: Gas Injection due to preventive maintenance at gas treatment and transportation facility.
LZC:Prod'n deferred due to DAS ullage constraints.</v>
          </cell>
        </row>
        <row r="1086">
          <cell r="C1086">
            <v>46094</v>
          </cell>
          <cell r="D1086">
            <v>319737</v>
          </cell>
          <cell r="E1086">
            <v>35484</v>
          </cell>
          <cell r="F1086">
            <v>22674.920000000002</v>
          </cell>
          <cell r="G1086">
            <v>4420</v>
          </cell>
          <cell r="H1086">
            <v>2082</v>
          </cell>
          <cell r="I1086">
            <v>195033</v>
          </cell>
          <cell r="J1086">
            <v>155921</v>
          </cell>
          <cell r="K1086">
            <v>53102.59</v>
          </cell>
          <cell r="L1086">
            <v>5426</v>
          </cell>
          <cell r="M1086">
            <v>0</v>
          </cell>
          <cell r="N1086">
            <v>6693</v>
          </cell>
          <cell r="O1086">
            <v>3296</v>
          </cell>
          <cell r="P1086">
            <v>0</v>
          </cell>
          <cell r="Q1086">
            <v>0</v>
          </cell>
          <cell r="R1086">
            <v>135282.79124999998</v>
          </cell>
          <cell r="S1086">
            <v>15.531492551260525</v>
          </cell>
          <cell r="T1086">
            <v>0.46748699999999999</v>
          </cell>
          <cell r="U1086">
            <v>3.4079575927305102E-3</v>
          </cell>
          <cell r="V1086">
            <v>2.5999999999999999E-2</v>
          </cell>
          <cell r="W1086">
            <v>0.29925000000000002</v>
          </cell>
          <cell r="X1086">
            <v>10.676</v>
          </cell>
          <cell r="Y1086">
            <v>9.92</v>
          </cell>
          <cell r="Z1086">
            <v>0</v>
          </cell>
          <cell r="AA1086">
            <v>0</v>
          </cell>
          <cell r="AB1086">
            <v>0</v>
          </cell>
          <cell r="AC1086">
            <v>0.21605733589694942</v>
          </cell>
          <cell r="AD1086">
            <v>9.5965702667727595E-2</v>
          </cell>
          <cell r="AE1086">
            <v>0</v>
          </cell>
          <cell r="AF1086">
            <v>14.746776837973988</v>
          </cell>
          <cell r="AG1086">
            <v>8.178673289250737</v>
          </cell>
          <cell r="AH1086">
            <v>202603</v>
          </cell>
          <cell r="AJ1086" t="str">
            <v>MECL:Prod'n deferred due to waiting well services.
SCB:Due to the unavailability of ullage, the dispatch of produced hydrocarbons has been affected.
Vankor:Oil: Repair of Oil Gathering Pipeline. Gas: Gas Injection due to preventive maintenance at gas treatment and transportation facility.
LZC:Prod'n deferred due to DAS ullage constraints.
SPOC:5,474 bbl transfer to Tharjiath COST tank level.</v>
          </cell>
        </row>
        <row r="1087">
          <cell r="C1087">
            <v>46095</v>
          </cell>
          <cell r="D1087">
            <v>325856</v>
          </cell>
          <cell r="E1087">
            <v>35654</v>
          </cell>
          <cell r="F1087">
            <v>22688.620000000003</v>
          </cell>
          <cell r="G1087">
            <v>4427</v>
          </cell>
          <cell r="H1087">
            <v>2070</v>
          </cell>
          <cell r="I1087">
            <v>195213</v>
          </cell>
          <cell r="J1087">
            <v>156923</v>
          </cell>
          <cell r="K1087">
            <v>54076.36</v>
          </cell>
          <cell r="L1087">
            <v>10593</v>
          </cell>
          <cell r="M1087">
            <v>0</v>
          </cell>
          <cell r="N1087">
            <v>6784</v>
          </cell>
          <cell r="O1087">
            <v>3280</v>
          </cell>
          <cell r="P1087">
            <v>0</v>
          </cell>
          <cell r="Q1087">
            <v>0</v>
          </cell>
          <cell r="R1087">
            <v>137298.87325</v>
          </cell>
          <cell r="S1087">
            <v>15.373767864373761</v>
          </cell>
          <cell r="T1087">
            <v>0.45581199999999999</v>
          </cell>
          <cell r="U1087">
            <v>3.4079575927305102E-3</v>
          </cell>
          <cell r="V1087">
            <v>2.8000000000000001E-2</v>
          </cell>
          <cell r="W1087">
            <v>0.28491000000000005</v>
          </cell>
          <cell r="X1087">
            <v>10.939</v>
          </cell>
          <cell r="Y1087">
            <v>10.02</v>
          </cell>
          <cell r="Z1087">
            <v>0</v>
          </cell>
          <cell r="AA1087">
            <v>0</v>
          </cell>
          <cell r="AB1087">
            <v>0</v>
          </cell>
          <cell r="AC1087">
            <v>0.22002169068404939</v>
          </cell>
          <cell r="AD1087">
            <v>0.10389441224192758</v>
          </cell>
          <cell r="AE1087">
            <v>0</v>
          </cell>
          <cell r="AF1087">
            <v>14.745332680158686</v>
          </cell>
          <cell r="AG1087">
            <v>8.2398130797324622</v>
          </cell>
          <cell r="AH1087">
            <v>202603</v>
          </cell>
          <cell r="AJ1087" t="str">
            <v>MECL:Prod'n deferred due to waiting well services.
SCB:Due to the unavailability of ullage, the dispatch of produced hydrocarbons has been affected.
Vankor:Oil: Repair of Oil Gathering Pipeline. Gas: Gas Injection due to preventive maintenance at gas treatment and transportation facility.
LZC:Prod'n deferred due to DAS ullage constraints.
SPOC:204 bbl transfer to Tharjiath COST tank level.</v>
          </cell>
        </row>
        <row r="1088">
          <cell r="C1088">
            <v>46096</v>
          </cell>
          <cell r="D1088">
            <v>337369</v>
          </cell>
          <cell r="E1088">
            <v>35761</v>
          </cell>
          <cell r="F1088">
            <v>22697.3</v>
          </cell>
          <cell r="G1088">
            <v>4478</v>
          </cell>
          <cell r="H1088">
            <v>2054</v>
          </cell>
          <cell r="I1088">
            <v>166962</v>
          </cell>
          <cell r="J1088">
            <v>155181</v>
          </cell>
          <cell r="K1088">
            <v>53738.78</v>
          </cell>
          <cell r="L1088">
            <v>3909</v>
          </cell>
          <cell r="M1088">
            <v>0</v>
          </cell>
          <cell r="N1088">
            <v>6822</v>
          </cell>
          <cell r="O1088">
            <v>3291</v>
          </cell>
          <cell r="P1088">
            <v>0</v>
          </cell>
          <cell r="Q1088">
            <v>0</v>
          </cell>
          <cell r="R1088">
            <v>129888.64449999999</v>
          </cell>
          <cell r="S1088">
            <v>15.431817345184863</v>
          </cell>
          <cell r="T1088">
            <v>0.46087499999999998</v>
          </cell>
          <cell r="U1088">
            <v>3.4079575927305102E-3</v>
          </cell>
          <cell r="V1088">
            <v>2.7E-2</v>
          </cell>
          <cell r="W1088">
            <v>0.28202999999999995</v>
          </cell>
          <cell r="X1088">
            <v>10.918909122829868</v>
          </cell>
          <cell r="Y1088">
            <v>10.02</v>
          </cell>
          <cell r="AB1088">
            <v>0</v>
          </cell>
          <cell r="AC1088">
            <v>0.21237614930892801</v>
          </cell>
          <cell r="AD1088">
            <v>0.1104072808207347</v>
          </cell>
          <cell r="AE1088">
            <v>0</v>
          </cell>
          <cell r="AF1088">
            <v>14.743322185945228</v>
          </cell>
          <cell r="AG1088">
            <v>8.2369365864321367</v>
          </cell>
          <cell r="AH1088">
            <v>202603</v>
          </cell>
          <cell r="AJ1088" t="str">
            <v>MECL:Prod'n deferred due to waiting well services.
SCB:Due to the unavailability of ullage, the dispatch of produced hydrocarbons has been affected.
Vankor:Oil: Repair of Oil Gathering Pipeline. Gas: Gas Injection due to preventive maintenance at gas treatment and transportation facility.
LZC:Prod'n deferred due to DAS ullage constraints.
SPOC:204 bbl transfer to Tharjiath COST tank level.</v>
          </cell>
        </row>
        <row r="1089">
          <cell r="C1089">
            <v>46097</v>
          </cell>
          <cell r="D1089">
            <v>329150</v>
          </cell>
          <cell r="E1089">
            <v>35566</v>
          </cell>
          <cell r="F1089">
            <v>22695.710000000003</v>
          </cell>
          <cell r="G1089">
            <v>4459</v>
          </cell>
          <cell r="H1089">
            <v>2068</v>
          </cell>
          <cell r="I1089">
            <v>160094</v>
          </cell>
          <cell r="J1089">
            <v>157635</v>
          </cell>
          <cell r="K1089">
            <v>54836.85</v>
          </cell>
          <cell r="L1089">
            <v>13373</v>
          </cell>
          <cell r="M1089">
            <v>0</v>
          </cell>
          <cell r="N1089">
            <v>7063</v>
          </cell>
          <cell r="O1089">
            <v>3187</v>
          </cell>
          <cell r="P1089">
            <v>0</v>
          </cell>
          <cell r="R1089">
            <v>131406.03325000001</v>
          </cell>
          <cell r="S1089">
            <v>15.369803509586658</v>
          </cell>
          <cell r="T1089">
            <v>0.464943</v>
          </cell>
          <cell r="U1089">
            <v>3.4079575927305102E-3</v>
          </cell>
          <cell r="V1089">
            <v>2.7E-2</v>
          </cell>
          <cell r="W1089">
            <v>0.28502</v>
          </cell>
          <cell r="X1089">
            <v>10.903334871880547</v>
          </cell>
          <cell r="Y1089">
            <v>9.9499999999999993</v>
          </cell>
          <cell r="Z1089">
            <v>0</v>
          </cell>
          <cell r="AA1089">
            <v>0</v>
          </cell>
          <cell r="AB1089">
            <v>0</v>
          </cell>
          <cell r="AC1089">
            <v>0.21860584968865654</v>
          </cell>
          <cell r="AD1089">
            <v>8.9028081790302624E-2</v>
          </cell>
          <cell r="AE1089">
            <v>0</v>
          </cell>
          <cell r="AF1089">
            <v>14.741736444030389</v>
          </cell>
          <cell r="AG1089">
            <v>8.2092105083935873</v>
          </cell>
          <cell r="AH1089">
            <v>202603</v>
          </cell>
          <cell r="AJ1089" t="str">
            <v xml:space="preserve">MECL:Prod'n deferred due to waiting well services.
SCB:Due to the unavailability of ullage, the dispatch of produced hydrocarbons has been affected.
Vankor:Oil: Repair of Oil Gathering Pipeline. Gas: Gas Injection due to preventive maintenance at gas treatment and transportation facility.
LZC:Prod'n deferred due to DAS ullage constraints.
</v>
          </cell>
        </row>
        <row r="1090">
          <cell r="C1090">
            <v>46098</v>
          </cell>
          <cell r="D1090">
            <v>326906</v>
          </cell>
          <cell r="E1090">
            <v>35893</v>
          </cell>
          <cell r="F1090">
            <v>22657.759999999998</v>
          </cell>
          <cell r="G1090">
            <v>4397</v>
          </cell>
          <cell r="H1090">
            <v>2061</v>
          </cell>
          <cell r="I1090">
            <v>169946</v>
          </cell>
          <cell r="J1090">
            <v>154763</v>
          </cell>
          <cell r="K1090">
            <v>44149.52</v>
          </cell>
          <cell r="L1090">
            <v>7914</v>
          </cell>
          <cell r="M1090">
            <v>18491</v>
          </cell>
          <cell r="N1090">
            <v>7049</v>
          </cell>
          <cell r="O1090">
            <v>3307</v>
          </cell>
          <cell r="P1090">
            <v>0</v>
          </cell>
          <cell r="R1090">
            <v>129385.08500000001</v>
          </cell>
          <cell r="S1090">
            <v>15.207831299713717</v>
          </cell>
          <cell r="T1090">
            <v>0.46814299999999998</v>
          </cell>
          <cell r="U1090">
            <v>3.4079575927305102E-3</v>
          </cell>
          <cell r="V1090">
            <v>2.4E-2</v>
          </cell>
          <cell r="W1090">
            <v>0.28811999999999999</v>
          </cell>
          <cell r="X1090">
            <v>10.81028580166333</v>
          </cell>
          <cell r="Y1090">
            <v>10.130000000000001</v>
          </cell>
          <cell r="Z1090">
            <v>0</v>
          </cell>
          <cell r="AA1090">
            <v>0</v>
          </cell>
          <cell r="AB1090">
            <v>0</v>
          </cell>
          <cell r="AC1090">
            <v>0.21464149490155657</v>
          </cell>
          <cell r="AD1090">
            <v>8.5969865240254059E-2</v>
          </cell>
          <cell r="AE1090">
            <v>0</v>
          </cell>
          <cell r="AF1090">
            <v>14.740490503954444</v>
          </cell>
          <cell r="AG1090">
            <v>8.2338183707228723</v>
          </cell>
          <cell r="AH1090">
            <v>202603</v>
          </cell>
          <cell r="AJ1090" t="str">
            <v xml:space="preserve">MECL:Prod'n deferred due to waiting well services.
SCB:Due to the unavailability of ullage, the dispatch of produced hydrocarbons has been affected.
Vankor:Oil: Repair of Oil Gathering Pipeline. Gas: Gas Injection due to preventive maintenance at gas treatment and transportation facility.
LZC:Prod'n deferred due to DAS ullage constraints.
SPOC: (1,892) bbl transfer to Tharjiath COST tank level.
</v>
          </cell>
        </row>
        <row r="1091">
          <cell r="C1091">
            <v>46099</v>
          </cell>
          <cell r="D1091">
            <v>309800</v>
          </cell>
          <cell r="E1091">
            <v>36208</v>
          </cell>
          <cell r="F1091">
            <v>22676.629999999997</v>
          </cell>
          <cell r="G1091">
            <v>4335</v>
          </cell>
          <cell r="H1091">
            <v>2063</v>
          </cell>
          <cell r="I1091">
            <v>168591</v>
          </cell>
          <cell r="J1091">
            <v>153241</v>
          </cell>
          <cell r="K1091">
            <v>49069.279999999999</v>
          </cell>
          <cell r="L1091">
            <v>11383</v>
          </cell>
          <cell r="M1091">
            <v>3537</v>
          </cell>
          <cell r="N1091">
            <v>7055</v>
          </cell>
          <cell r="O1091">
            <v>3271</v>
          </cell>
          <cell r="P1091">
            <v>0</v>
          </cell>
          <cell r="R1091">
            <v>129742.20974999998</v>
          </cell>
          <cell r="S1091">
            <v>15.451072782722211</v>
          </cell>
          <cell r="T1091">
            <v>0.46846700000000002</v>
          </cell>
          <cell r="U1091">
            <v>3.4079575927305102E-3</v>
          </cell>
          <cell r="V1091">
            <v>2.4E-2</v>
          </cell>
          <cell r="W1091">
            <v>0.28519</v>
          </cell>
          <cell r="X1091">
            <v>10.720181680716529</v>
          </cell>
          <cell r="Y1091">
            <v>10.19</v>
          </cell>
          <cell r="Z1091">
            <v>0</v>
          </cell>
          <cell r="AA1091">
            <v>0</v>
          </cell>
          <cell r="AB1091">
            <v>0</v>
          </cell>
          <cell r="AC1091">
            <v>0.21322565390616371</v>
          </cell>
          <cell r="AD1091">
            <v>9.3247287956573319E-2</v>
          </cell>
          <cell r="AE1091">
            <v>0</v>
          </cell>
          <cell r="AF1091">
            <v>14.741878028129928</v>
          </cell>
          <cell r="AG1091">
            <v>8.2359293069323254</v>
          </cell>
          <cell r="AH1091">
            <v>202603</v>
          </cell>
          <cell r="AJ1091" t="str">
            <v xml:space="preserve">MECL:Prod'n deferred due to waiting well services.
SCB:Due to the unavailability of ullage, the dispatch of produced hydrocarbons has been affected.
Vankor:Oil: Repair of Oil Gathering Pipeline. Gas: Gas Injection due to preventive maintenance at gas treatment and transportation facility.
LZC:Prod'n deferred due to DAS ullage constraints.
GPOC:Prod'n Deferred due to Power tripped at Toma South,El Nar,Unity,El Toor &amp; Munga.
</v>
          </cell>
        </row>
        <row r="1092">
          <cell r="C1092">
            <v>46100</v>
          </cell>
          <cell r="D1092">
            <v>315692</v>
          </cell>
          <cell r="E1092">
            <v>35786</v>
          </cell>
          <cell r="F1092">
            <v>22619.9</v>
          </cell>
          <cell r="G1092">
            <v>4316</v>
          </cell>
          <cell r="H1092">
            <v>2050</v>
          </cell>
          <cell r="I1092">
            <v>169365</v>
          </cell>
          <cell r="J1092">
            <v>156473</v>
          </cell>
          <cell r="K1092">
            <v>52814.17</v>
          </cell>
          <cell r="L1092">
            <v>14093</v>
          </cell>
          <cell r="M1092">
            <v>17194</v>
          </cell>
          <cell r="N1092">
            <v>7185</v>
          </cell>
          <cell r="O1092">
            <v>3523</v>
          </cell>
          <cell r="P1092">
            <v>0</v>
          </cell>
          <cell r="R1092">
            <v>132984.90975000002</v>
          </cell>
          <cell r="S1092">
            <v>14.988092777228744</v>
          </cell>
          <cell r="T1092">
            <v>0.46446500000000002</v>
          </cell>
          <cell r="U1092">
            <v>3.4079575927305102E-3</v>
          </cell>
          <cell r="V1092">
            <v>2.4E-2</v>
          </cell>
          <cell r="W1092">
            <v>0.28235000000000005</v>
          </cell>
          <cell r="X1092">
            <v>9.6402348030706762</v>
          </cell>
          <cell r="Y1092">
            <v>10.210000000000001</v>
          </cell>
          <cell r="Z1092">
            <v>0</v>
          </cell>
          <cell r="AA1092">
            <v>0</v>
          </cell>
          <cell r="AB1092">
            <v>0</v>
          </cell>
          <cell r="AC1092">
            <v>0.21322565390616371</v>
          </cell>
          <cell r="AD1092">
            <v>9.3049070217218324E-2</v>
          </cell>
          <cell r="AE1092">
            <v>0</v>
          </cell>
          <cell r="AF1092">
            <v>14.741453275831311</v>
          </cell>
          <cell r="AG1092">
            <v>8.0075257312559653</v>
          </cell>
          <cell r="AH1092">
            <v>202603</v>
          </cell>
          <cell r="AJ1092" t="str">
            <v xml:space="preserve">MECL:Prod'n deferred due to waiting well services.
SCB:Due to the unavailability of ullage, the dispatch of produced hydrocarbons has been affected.
Vankor:Oil: Repair of Oil Gathering Pipeline. Gas: Gas Injection due to preventive maintenance at gas treatment and transportation facility.
LZC:Prod'n deferred due to DAS ullage constraints.
GPOC:Prod'n Deferred due to Power tripped at Toma South,El Nar,Unity,El Toor &amp; Munga.
</v>
          </cell>
        </row>
        <row r="1093">
          <cell r="C1093">
            <v>46101</v>
          </cell>
          <cell r="D1093">
            <v>325965</v>
          </cell>
          <cell r="E1093">
            <v>35987</v>
          </cell>
          <cell r="F1093">
            <v>22605.46</v>
          </cell>
          <cell r="G1093">
            <v>4362</v>
          </cell>
          <cell r="H1093">
            <v>2038</v>
          </cell>
          <cell r="I1093">
            <v>167247</v>
          </cell>
          <cell r="J1093">
            <v>155775</v>
          </cell>
          <cell r="K1093">
            <v>55348.69</v>
          </cell>
          <cell r="L1093">
            <v>11485</v>
          </cell>
          <cell r="M1093">
            <v>18145</v>
          </cell>
          <cell r="N1093">
            <v>7102</v>
          </cell>
          <cell r="O1093">
            <v>3365</v>
          </cell>
          <cell r="P1093">
            <v>0</v>
          </cell>
          <cell r="R1093">
            <v>132705.63700000002</v>
          </cell>
          <cell r="S1093">
            <v>14.666696871274569</v>
          </cell>
          <cell r="T1093">
            <v>0.46447100000000002</v>
          </cell>
          <cell r="U1093">
            <v>3.4079575927305102E-3</v>
          </cell>
          <cell r="V1093">
            <v>0.03</v>
          </cell>
          <cell r="W1093">
            <v>0.29376999999999998</v>
          </cell>
          <cell r="X1093">
            <v>10.026999999999999</v>
          </cell>
          <cell r="Y1093">
            <v>10.28</v>
          </cell>
          <cell r="Z1093">
            <v>0</v>
          </cell>
          <cell r="AA1093">
            <v>0</v>
          </cell>
          <cell r="AB1093">
            <v>0</v>
          </cell>
          <cell r="AC1093">
            <v>0.21520783129971369</v>
          </cell>
          <cell r="AD1093">
            <v>9.0500556425511192E-2</v>
          </cell>
          <cell r="AE1093">
            <v>0</v>
          </cell>
          <cell r="AF1093">
            <v>14.895100340651341</v>
          </cell>
          <cell r="AG1093">
            <v>8.1334181954086819</v>
          </cell>
          <cell r="AH1093">
            <v>202603</v>
          </cell>
          <cell r="AJ1093" t="str">
            <v>MECL:Prod'n deferred due to waiting well services.
SCB:Due to the unavailability of ullage, the dispatch of produced hydrocarbons has been affected.
Vankor:Oil: Repair of Oil Gathering Pipeline. Gas: Gas Injection due to preventive maintenance at gas treatment and transportation facility.
LZC:Prod'n deferred due to DAS ullage constraints.</v>
          </cell>
        </row>
        <row r="1094">
          <cell r="C1094">
            <v>46102</v>
          </cell>
          <cell r="D1094">
            <v>305946</v>
          </cell>
          <cell r="E1094">
            <v>35830</v>
          </cell>
          <cell r="F1094">
            <v>22571.980000000003</v>
          </cell>
          <cell r="G1094">
            <v>4403</v>
          </cell>
          <cell r="H1094">
            <v>2029</v>
          </cell>
          <cell r="I1094">
            <v>169482</v>
          </cell>
          <cell r="J1094">
            <v>156692</v>
          </cell>
          <cell r="K1094">
            <v>53393.73</v>
          </cell>
          <cell r="L1094">
            <v>10712</v>
          </cell>
          <cell r="M1094">
            <v>13675</v>
          </cell>
          <cell r="N1094">
            <v>6792</v>
          </cell>
          <cell r="O1094">
            <v>3559</v>
          </cell>
          <cell r="P1094">
            <v>0</v>
          </cell>
          <cell r="R1094">
            <v>131940.649</v>
          </cell>
          <cell r="S1094">
            <v>14.938538342389997</v>
          </cell>
          <cell r="T1094">
            <v>0.46521299999999999</v>
          </cell>
          <cell r="U1094">
            <v>3.4079575927305102E-3</v>
          </cell>
          <cell r="V1094">
            <v>3.1E-2</v>
          </cell>
          <cell r="W1094">
            <v>0.29431000000000002</v>
          </cell>
          <cell r="X1094">
            <v>9.673</v>
          </cell>
          <cell r="Y1094">
            <v>10.35</v>
          </cell>
          <cell r="Z1094">
            <v>0</v>
          </cell>
          <cell r="AA1094">
            <v>0</v>
          </cell>
          <cell r="AB1094">
            <v>0</v>
          </cell>
          <cell r="AC1094">
            <v>0.21549099949879227</v>
          </cell>
          <cell r="AD1094">
            <v>9.1973031060719759E-2</v>
          </cell>
          <cell r="AE1094">
            <v>0</v>
          </cell>
          <cell r="AF1094">
            <v>14.808649089472654</v>
          </cell>
          <cell r="AG1094">
            <v>8.0759333240944144</v>
          </cell>
          <cell r="AH1094">
            <v>202603</v>
          </cell>
          <cell r="AJ1094" t="str">
            <v>MECL:Prod'n deferred due to waiting well services.
SCB:Due to the unavailability of ullage, the dispatch of produced hydrocarbons has been affected.
Vankor:Oil: Repair of Oil Gathering Pipeline. Gas: Gas Injection due to preventive maintenance at gas treatment and transportation facility.
LZC:Prod'n deferred due to DAS ullage constraints.
SPOC: (838) bbl transfer to Tharjiath COST tank level.</v>
          </cell>
        </row>
        <row r="1095">
          <cell r="C1095">
            <v>46103</v>
          </cell>
          <cell r="D1095">
            <v>342226</v>
          </cell>
          <cell r="E1095">
            <v>36038</v>
          </cell>
          <cell r="F1095">
            <v>22602</v>
          </cell>
          <cell r="G1095">
            <v>4445</v>
          </cell>
          <cell r="H1095">
            <v>2069</v>
          </cell>
          <cell r="I1095">
            <v>166873</v>
          </cell>
          <cell r="J1095">
            <v>155979</v>
          </cell>
          <cell r="K1095">
            <v>50779.85</v>
          </cell>
          <cell r="L1095">
            <v>6547</v>
          </cell>
          <cell r="M1095">
            <v>15496</v>
          </cell>
          <cell r="N1095">
            <v>7195</v>
          </cell>
          <cell r="O1095">
            <v>3387</v>
          </cell>
          <cell r="P1095">
            <v>0</v>
          </cell>
          <cell r="R1095">
            <v>130822.92674999998</v>
          </cell>
          <cell r="S1095">
            <v>14.990924459219533</v>
          </cell>
          <cell r="T1095">
            <v>0.46377400000000002</v>
          </cell>
          <cell r="U1095">
            <v>3.9340557897985821E-3</v>
          </cell>
          <cell r="V1095">
            <v>3.2000000000000001E-2</v>
          </cell>
          <cell r="W1095">
            <v>0.29111999999999999</v>
          </cell>
          <cell r="X1095">
            <v>9.1920000000000002</v>
          </cell>
          <cell r="Y1095">
            <v>10.32</v>
          </cell>
          <cell r="Z1095">
            <v>0</v>
          </cell>
          <cell r="AA1095">
            <v>0</v>
          </cell>
          <cell r="AB1095">
            <v>0</v>
          </cell>
          <cell r="AC1095">
            <v>0.21464149490155657</v>
          </cell>
          <cell r="AD1095">
            <v>0.10264847216598187</v>
          </cell>
          <cell r="AE1095">
            <v>0</v>
          </cell>
          <cell r="AF1095">
            <v>14.828357596128523</v>
          </cell>
          <cell r="AG1095">
            <v>7.9779142650795851</v>
          </cell>
          <cell r="AH1095">
            <v>202603</v>
          </cell>
          <cell r="AJ1095" t="str">
            <v>MECL:Prod'n deferred due to waiting well services.
SCB:Due to the unavailability of ullage, the dispatch of produced hydrocarbons has been affected.
Vankor:Oil: Repair of Oil Gathering Pipeline. Gas: Gas Injection due to preventive maintenance at gas treatment and transportation facility.
LZC:Prod'n deferred due to DAS ullage constraints.
SPOC: 5,257 bbl transfer to Tharjiath COST tank level.</v>
          </cell>
        </row>
        <row r="1096">
          <cell r="C1096">
            <v>46104</v>
          </cell>
          <cell r="D1096">
            <v>334874</v>
          </cell>
          <cell r="E1096">
            <v>36239</v>
          </cell>
          <cell r="F1096">
            <v>22579</v>
          </cell>
          <cell r="G1096">
            <v>4465</v>
          </cell>
          <cell r="H1096">
            <v>2018</v>
          </cell>
          <cell r="I1096">
            <v>167611</v>
          </cell>
          <cell r="J1096">
            <v>158337</v>
          </cell>
          <cell r="K1096">
            <v>53609.26</v>
          </cell>
          <cell r="L1096">
            <v>10773</v>
          </cell>
          <cell r="M1096">
            <v>10657</v>
          </cell>
          <cell r="N1096">
            <v>6868</v>
          </cell>
          <cell r="O1096">
            <v>3462</v>
          </cell>
          <cell r="P1096">
            <v>0</v>
          </cell>
          <cell r="R1096">
            <v>132893.07574999999</v>
          </cell>
          <cell r="S1096">
            <v>14.852172041671029</v>
          </cell>
          <cell r="T1096">
            <v>0.46666000000000002</v>
          </cell>
          <cell r="U1096">
            <v>4.0674280115645884E-3</v>
          </cell>
          <cell r="V1096">
            <v>0.03</v>
          </cell>
          <cell r="W1096">
            <v>0.28825000000000001</v>
          </cell>
          <cell r="X1096">
            <v>8.8989999999999991</v>
          </cell>
          <cell r="Y1096">
            <v>10.58</v>
          </cell>
          <cell r="Z1096">
            <v>0</v>
          </cell>
          <cell r="AA1096">
            <v>0</v>
          </cell>
          <cell r="AB1096">
            <v>0</v>
          </cell>
          <cell r="AC1096">
            <v>0.21209298110984942</v>
          </cell>
          <cell r="AD1096">
            <v>9.2539367458876892E-2</v>
          </cell>
          <cell r="AE1096">
            <v>0</v>
          </cell>
          <cell r="AF1096">
            <v>14.819494431497365</v>
          </cell>
          <cell r="AG1096">
            <v>7.973934260479064</v>
          </cell>
          <cell r="AH1096">
            <v>202603</v>
          </cell>
          <cell r="AJ1096" t="str">
            <v>MECL:Prod'n deferred due to waiting well services.
SCB:Due to the unavailability of ullage, the dispatch of produced hydrocarbons has been affected.
Vankor:Oil: Repair of Oil Gathering Pipeline. Gas: Gas Injection due to preventive maintenance at gas treatment and transportation facility.
LZC:Prod'n deferred due to DAS ullage constraints.
SPOC: 1,043 bbl transfer to Tharjiath COST tank level.</v>
          </cell>
        </row>
        <row r="1097">
          <cell r="C1097">
            <v>46105</v>
          </cell>
          <cell r="D1097">
            <v>324345</v>
          </cell>
          <cell r="E1097">
            <v>36031</v>
          </cell>
          <cell r="F1097">
            <v>22570</v>
          </cell>
          <cell r="G1097">
            <v>4301</v>
          </cell>
          <cell r="H1097">
            <v>2045</v>
          </cell>
          <cell r="I1097">
            <v>165869</v>
          </cell>
          <cell r="J1097">
            <v>157659</v>
          </cell>
          <cell r="K1097">
            <v>46450.04</v>
          </cell>
          <cell r="L1097">
            <v>14285</v>
          </cell>
          <cell r="M1097">
            <v>16863</v>
          </cell>
          <cell r="N1097">
            <v>6889</v>
          </cell>
          <cell r="O1097">
            <v>3448</v>
          </cell>
          <cell r="P1097">
            <v>0</v>
          </cell>
          <cell r="R1097">
            <v>131245.3775</v>
          </cell>
          <cell r="S1097">
            <v>14.994888814006632</v>
          </cell>
          <cell r="T1097">
            <v>0.46534599999999998</v>
          </cell>
          <cell r="U1097">
            <v>4.0733745437452392E-3</v>
          </cell>
          <cell r="V1097">
            <v>0.03</v>
          </cell>
          <cell r="W1097">
            <v>0.28602</v>
          </cell>
          <cell r="X1097">
            <v>8.718</v>
          </cell>
          <cell r="Y1097">
            <v>10.54</v>
          </cell>
          <cell r="Z1097">
            <v>0</v>
          </cell>
          <cell r="AA1097">
            <v>0</v>
          </cell>
          <cell r="AB1097">
            <v>0</v>
          </cell>
          <cell r="AC1097">
            <v>0.2106771401144566</v>
          </cell>
          <cell r="AD1097">
            <v>9.4917980331136881E-2</v>
          </cell>
          <cell r="AE1097">
            <v>0</v>
          </cell>
          <cell r="AF1097">
            <v>14.886378760119722</v>
          </cell>
          <cell r="AG1097">
            <v>7.9410899845750915</v>
          </cell>
          <cell r="AH1097">
            <v>202603</v>
          </cell>
          <cell r="AJ1097" t="str">
            <v>MECL:Prod'n deferred due to waiting well services.
SCB:Due to the unavailability of ullage, the dispatch of produced hydrocarbons has been affected.
Vankor:Oil: Repair of Oil Gathering Pipeline. Gas: Gas Injection due to preventive maintenance at gas treatment and transportation facility.
LZC:Prod'n deferred due to DAS ullage constraints.</v>
          </cell>
        </row>
        <row r="1098">
          <cell r="C1098">
            <v>46106</v>
          </cell>
          <cell r="D1098">
            <v>346256</v>
          </cell>
          <cell r="E1098">
            <v>36591</v>
          </cell>
          <cell r="F1098">
            <v>22542</v>
          </cell>
          <cell r="G1098">
            <v>4309</v>
          </cell>
          <cell r="H1098">
            <v>2022</v>
          </cell>
          <cell r="I1098">
            <v>165497</v>
          </cell>
          <cell r="J1098">
            <v>153550</v>
          </cell>
          <cell r="K1098">
            <v>50165.279999999999</v>
          </cell>
          <cell r="L1098">
            <v>14811</v>
          </cell>
          <cell r="M1098">
            <v>6520</v>
          </cell>
          <cell r="N1098">
            <v>6593</v>
          </cell>
          <cell r="O1098">
            <v>3500</v>
          </cell>
          <cell r="P1098">
            <v>0</v>
          </cell>
          <cell r="R1098">
            <v>131486.36175000001</v>
          </cell>
          <cell r="S1098">
            <v>14.629601837195274</v>
          </cell>
          <cell r="T1098">
            <v>0.46953499999999998</v>
          </cell>
          <cell r="U1098">
            <v>4.0736577119443182E-3</v>
          </cell>
          <cell r="V1098">
            <v>3.1E-2</v>
          </cell>
          <cell r="W1098">
            <v>0.28379000000000004</v>
          </cell>
          <cell r="X1098">
            <v>8.7533236867366835</v>
          </cell>
          <cell r="Y1098">
            <v>10.55</v>
          </cell>
          <cell r="Z1098">
            <v>0</v>
          </cell>
          <cell r="AA1098">
            <v>0</v>
          </cell>
          <cell r="AB1098">
            <v>0</v>
          </cell>
          <cell r="AC1098">
            <v>0.21492466310063513</v>
          </cell>
          <cell r="AD1098">
            <v>8.9169665889841904E-2</v>
          </cell>
          <cell r="AE1098">
            <v>0</v>
          </cell>
          <cell r="AF1098">
            <v>14.820202351995061</v>
          </cell>
          <cell r="AG1098">
            <v>7.9263890202214657</v>
          </cell>
          <cell r="AH1098">
            <v>202603</v>
          </cell>
          <cell r="AJ1098" t="str">
            <v>MECL:Prod'n deferred due to waiting well services.
SCB:Due to the unavailability of ullage, the dispatch of produced hydrocarbons has been affected.
LZC:Prod'n deferred due to DAS ullage constraints.
GPOC:Less production due to power trip in Toma South,Unity,El Nar, El Toor &amp; Munga.</v>
          </cell>
        </row>
        <row r="1099">
          <cell r="C1099">
            <v>46107</v>
          </cell>
          <cell r="D1099">
            <v>337612</v>
          </cell>
          <cell r="E1099">
            <v>35201</v>
          </cell>
          <cell r="F1099">
            <v>22551.68</v>
          </cell>
          <cell r="G1099">
            <v>4379</v>
          </cell>
          <cell r="H1099">
            <v>2026</v>
          </cell>
          <cell r="I1099">
            <v>188489</v>
          </cell>
          <cell r="J1099">
            <v>155834</v>
          </cell>
          <cell r="K1099">
            <v>50127.99</v>
          </cell>
          <cell r="L1099">
            <v>5873</v>
          </cell>
          <cell r="M1099">
            <v>0</v>
          </cell>
          <cell r="N1099">
            <v>6747</v>
          </cell>
          <cell r="O1099">
            <v>3551</v>
          </cell>
          <cell r="P1099">
            <v>0</v>
          </cell>
          <cell r="R1099">
            <v>133707.16574999999</v>
          </cell>
          <cell r="S1099">
            <v>14.591657298518749</v>
          </cell>
          <cell r="T1099">
            <v>0.43500899999999998</v>
          </cell>
          <cell r="U1099">
            <v>4.0736577119443182E-3</v>
          </cell>
          <cell r="V1099">
            <v>2.5999999999999999E-2</v>
          </cell>
          <cell r="W1099">
            <v>0.28035000000000004</v>
          </cell>
          <cell r="X1099">
            <v>8.7390000000000008</v>
          </cell>
          <cell r="Y1099">
            <v>10.55</v>
          </cell>
          <cell r="Z1099">
            <v>0</v>
          </cell>
          <cell r="AA1099">
            <v>0</v>
          </cell>
          <cell r="AB1099">
            <v>0</v>
          </cell>
          <cell r="AC1099">
            <v>0.20133258954486374</v>
          </cell>
          <cell r="AD1099">
            <v>8.8971448150486895E-2</v>
          </cell>
          <cell r="AE1099">
            <v>0</v>
          </cell>
          <cell r="AF1099">
            <v>14.884651434105345</v>
          </cell>
          <cell r="AG1099">
            <v>7.9165343138897128</v>
          </cell>
          <cell r="AH1099">
            <v>202603</v>
          </cell>
          <cell r="AJ1099" t="str">
            <v>MECL:Prod'n deferred due to waiting well services.
SCB:Due to the unavailability of ullage, the dispatch of produced hydrocarbons has been affected.
LZC:Prod'n deferred due to DAS ullage constraints.
GPOC:Less production due to power trip in Toma South,Unity,El Nar, El Toor &amp; Munga.
SPOC: 5,625 bbl transfer to Tharjiath COST tank level.</v>
          </cell>
        </row>
        <row r="1100">
          <cell r="C1100">
            <v>46108</v>
          </cell>
          <cell r="D1100">
            <v>336310</v>
          </cell>
          <cell r="E1100">
            <v>31119</v>
          </cell>
          <cell r="F1100">
            <v>22367.15</v>
          </cell>
          <cell r="G1100">
            <v>4503</v>
          </cell>
          <cell r="H1100">
            <v>1996</v>
          </cell>
          <cell r="I1100">
            <v>194483</v>
          </cell>
          <cell r="J1100">
            <v>155685</v>
          </cell>
          <cell r="K1100">
            <v>54829.06</v>
          </cell>
          <cell r="L1100">
            <v>11531</v>
          </cell>
          <cell r="M1100">
            <v>15600</v>
          </cell>
          <cell r="N1100">
            <v>6720</v>
          </cell>
          <cell r="O1100">
            <v>3839</v>
          </cell>
          <cell r="P1100">
            <v>0</v>
          </cell>
          <cell r="R1100">
            <v>136906.32125000001</v>
          </cell>
          <cell r="S1100">
            <v>14.574950374773115</v>
          </cell>
          <cell r="T1100">
            <v>0.44803799999999999</v>
          </cell>
          <cell r="U1100">
            <v>4.0736577119443182E-3</v>
          </cell>
          <cell r="V1100">
            <v>2.4E-2</v>
          </cell>
          <cell r="W1100">
            <v>0.28892000000000001</v>
          </cell>
          <cell r="X1100">
            <v>8.6020000000000003</v>
          </cell>
          <cell r="Y1100">
            <v>10.37</v>
          </cell>
          <cell r="Z1100">
            <v>0</v>
          </cell>
          <cell r="AA1100">
            <v>0</v>
          </cell>
          <cell r="AB1100">
            <v>0</v>
          </cell>
          <cell r="AC1100">
            <v>0.19708506655868518</v>
          </cell>
          <cell r="AD1100">
            <v>9.4238376653348319E-2</v>
          </cell>
          <cell r="AE1100">
            <v>0</v>
          </cell>
          <cell r="AF1100">
            <v>13.023443495201713</v>
          </cell>
          <cell r="AG1100">
            <v>7.5381676606291999</v>
          </cell>
          <cell r="AH1100">
            <v>202603</v>
          </cell>
          <cell r="AJ1100" t="str">
            <v>MECL:Prod'n deferred due to waiting well services.
SCB:Due to the unavailability of ullage, the dispatch of produced hydrocarbons has been affected.
LZC:Prod'n deferred due to DAS ullage constraints.</v>
          </cell>
        </row>
        <row r="1101">
          <cell r="C1101">
            <v>46109</v>
          </cell>
          <cell r="D1101">
            <v>329359</v>
          </cell>
          <cell r="E1101">
            <v>34597</v>
          </cell>
          <cell r="F1101">
            <v>22503.89</v>
          </cell>
          <cell r="G1101">
            <v>4612</v>
          </cell>
          <cell r="H1101">
            <v>2027</v>
          </cell>
          <cell r="I1101">
            <v>192550</v>
          </cell>
          <cell r="J1101">
            <v>158484</v>
          </cell>
          <cell r="K1101">
            <v>53238.78</v>
          </cell>
          <cell r="L1101">
            <v>12650</v>
          </cell>
          <cell r="M1101">
            <v>15275</v>
          </cell>
          <cell r="N1101">
            <v>7015</v>
          </cell>
          <cell r="O1101">
            <v>3738</v>
          </cell>
          <cell r="P1101">
            <v>0</v>
          </cell>
          <cell r="R1101">
            <v>138015.86125000002</v>
          </cell>
          <cell r="S1101">
            <v>14.652821629519719</v>
          </cell>
          <cell r="T1101">
            <v>0.454598</v>
          </cell>
          <cell r="U1101">
            <v>4.0736577119443182E-3</v>
          </cell>
          <cell r="V1101">
            <v>2.5000000000000001E-2</v>
          </cell>
          <cell r="W1101">
            <v>0.29649999999999999</v>
          </cell>
          <cell r="X1101">
            <v>8.4410000000000007</v>
          </cell>
          <cell r="Y1101">
            <v>10.43</v>
          </cell>
          <cell r="Z1101">
            <v>0</v>
          </cell>
          <cell r="AA1101">
            <v>0</v>
          </cell>
          <cell r="AB1101">
            <v>0</v>
          </cell>
          <cell r="AC1101">
            <v>0.2055801125310423</v>
          </cell>
          <cell r="AD1101">
            <v>8.9537784548644042E-2</v>
          </cell>
          <cell r="AE1101">
            <v>0</v>
          </cell>
          <cell r="AF1101">
            <v>14.8376455130583</v>
          </cell>
          <cell r="AG1101">
            <v>7.8411651560812352</v>
          </cell>
          <cell r="AH1101">
            <v>202603</v>
          </cell>
          <cell r="AJ1101" t="str">
            <v>MECL:Prod'n deferred due to waiting well services.
SCB:Due to the unavailability of ullage, the dispatch of produced hydrocarbons has been affected.
LZC:Prod'n deferred due to DAS ullage constraints.</v>
          </cell>
        </row>
        <row r="1102">
          <cell r="C1102">
            <v>46110</v>
          </cell>
          <cell r="D1102">
            <v>329214</v>
          </cell>
          <cell r="E1102">
            <v>31987</v>
          </cell>
          <cell r="F1102">
            <v>22473.13</v>
          </cell>
          <cell r="G1102">
            <v>4618</v>
          </cell>
          <cell r="H1102">
            <v>2018</v>
          </cell>
          <cell r="I1102">
            <v>194652</v>
          </cell>
          <cell r="J1102">
            <v>157334</v>
          </cell>
          <cell r="K1102">
            <v>54854.37</v>
          </cell>
          <cell r="L1102">
            <v>14554</v>
          </cell>
          <cell r="M1102">
            <v>41965</v>
          </cell>
          <cell r="N1102">
            <v>6863</v>
          </cell>
          <cell r="O1102">
            <v>3797</v>
          </cell>
          <cell r="P1102">
            <v>0</v>
          </cell>
          <cell r="R1102">
            <v>139338.50549999997</v>
          </cell>
          <cell r="S1102">
            <v>15.116934307809496</v>
          </cell>
          <cell r="T1102">
            <v>0.43767899999999998</v>
          </cell>
          <cell r="U1102">
            <v>4.0149286274554219E-3</v>
          </cell>
          <cell r="V1102">
            <v>2.4E-2</v>
          </cell>
          <cell r="W1102">
            <v>0.28923000000000004</v>
          </cell>
          <cell r="X1102">
            <v>5.020770387402413</v>
          </cell>
          <cell r="Y1102">
            <v>10.41</v>
          </cell>
          <cell r="Z1102">
            <v>0</v>
          </cell>
          <cell r="AA1102">
            <v>0</v>
          </cell>
          <cell r="AB1102">
            <v>0</v>
          </cell>
          <cell r="AC1102">
            <v>0.1987840757531566</v>
          </cell>
          <cell r="AD1102">
            <v>9.1548278762101892E-2</v>
          </cell>
          <cell r="AE1102">
            <v>0</v>
          </cell>
          <cell r="AF1102">
            <v>14.809102158591182</v>
          </cell>
          <cell r="AG1102">
            <v>7.1483606627820997</v>
          </cell>
          <cell r="AH1102">
            <v>202603</v>
          </cell>
          <cell r="AJ1102" t="str">
            <v>MECL:Prod'n deferred due to waiting well services.
SCB:Due to the unavailability of ullage, the dispatch of produced hydrocarbons has been affected.
LZC:Prod'n deferred due to DAS ullage constraints.</v>
          </cell>
        </row>
        <row r="1103">
          <cell r="C1103">
            <v>46111</v>
          </cell>
          <cell r="D1103">
            <v>296615</v>
          </cell>
          <cell r="E1103">
            <v>33623</v>
          </cell>
          <cell r="F1103">
            <v>22489.94</v>
          </cell>
          <cell r="G1103">
            <v>4631</v>
          </cell>
          <cell r="H1103">
            <v>1962</v>
          </cell>
          <cell r="I1103">
            <v>192526</v>
          </cell>
          <cell r="J1103">
            <v>156276</v>
          </cell>
          <cell r="K1103">
            <v>56318.080000000002</v>
          </cell>
          <cell r="L1103">
            <v>14404</v>
          </cell>
          <cell r="M1103">
            <v>148253</v>
          </cell>
          <cell r="N1103">
            <v>6906</v>
          </cell>
          <cell r="O1103">
            <v>3614</v>
          </cell>
          <cell r="P1103">
            <v>0</v>
          </cell>
          <cell r="R1103">
            <v>142601.48175000004</v>
          </cell>
          <cell r="S1103">
            <v>16.547783217753512</v>
          </cell>
          <cell r="T1103">
            <v>0.41129700000000002</v>
          </cell>
          <cell r="U1103">
            <v>3.8284340515422751E-3</v>
          </cell>
          <cell r="V1103">
            <v>0.03</v>
          </cell>
          <cell r="W1103">
            <v>0.27550000000000002</v>
          </cell>
          <cell r="X1103">
            <v>5.020770387402413</v>
          </cell>
          <cell r="Y1103">
            <v>11.16</v>
          </cell>
          <cell r="Z1103">
            <v>0</v>
          </cell>
          <cell r="AA1103">
            <v>0</v>
          </cell>
          <cell r="AB1103">
            <v>0</v>
          </cell>
          <cell r="AC1103">
            <v>0.20303159873933516</v>
          </cell>
          <cell r="AD1103">
            <v>9.4210059833440454E-2</v>
          </cell>
          <cell r="AE1103">
            <v>0</v>
          </cell>
          <cell r="AF1103">
            <v>14.804259982386936</v>
          </cell>
          <cell r="AG1103">
            <v>7.368068623400255</v>
          </cell>
          <cell r="AH1103">
            <v>202603</v>
          </cell>
          <cell r="AJ1103" t="str">
            <v>MECL:Prod'n deferred due to waiting well services.
SCB:Due to the unavailability of ullage, the dispatch of produced hydrocarbons has been affected.
LZC:Prod'n deferred due to DAS ullage constraints.</v>
          </cell>
        </row>
        <row r="1104">
          <cell r="C1104">
            <v>46112</v>
          </cell>
          <cell r="D1104">
            <v>323902</v>
          </cell>
          <cell r="E1104">
            <v>29233</v>
          </cell>
          <cell r="F1104">
            <v>22449.91</v>
          </cell>
          <cell r="G1104">
            <v>4651</v>
          </cell>
          <cell r="H1104">
            <v>2008</v>
          </cell>
          <cell r="I1104">
            <v>194402</v>
          </cell>
          <cell r="J1104">
            <v>158282</v>
          </cell>
          <cell r="K1104">
            <v>54916.29</v>
          </cell>
          <cell r="L1104">
            <v>10961</v>
          </cell>
          <cell r="M1104">
            <v>123683</v>
          </cell>
          <cell r="N1104">
            <v>6798</v>
          </cell>
          <cell r="O1104">
            <v>3599</v>
          </cell>
          <cell r="P1104">
            <v>0</v>
          </cell>
          <cell r="R1104">
            <v>140957.31425000002</v>
          </cell>
          <cell r="S1104">
            <v>16.793856382752793</v>
          </cell>
          <cell r="T1104">
            <v>0.45128000000000001</v>
          </cell>
          <cell r="U1104">
            <v>3.8084140598674205E-3</v>
          </cell>
          <cell r="V1104">
            <v>2.7E-2</v>
          </cell>
          <cell r="W1104">
            <v>0.27956999999999999</v>
          </cell>
          <cell r="X1104">
            <v>4.7903281069922716</v>
          </cell>
          <cell r="Y1104">
            <v>10.59</v>
          </cell>
          <cell r="Z1104">
            <v>0</v>
          </cell>
          <cell r="AA1104">
            <v>0</v>
          </cell>
          <cell r="AB1104">
            <v>0</v>
          </cell>
          <cell r="AC1104">
            <v>0.19566922556329233</v>
          </cell>
          <cell r="AD1104">
            <v>9.6985108184410446E-2</v>
          </cell>
          <cell r="AE1104">
            <v>0</v>
          </cell>
          <cell r="AF1104">
            <v>14.799134637983613</v>
          </cell>
          <cell r="AG1104">
            <v>7.1937720671369147</v>
          </cell>
          <cell r="AH1104">
            <v>202603</v>
          </cell>
          <cell r="AJ1104" t="str">
            <v>MECL:Prod'n deferred due to waiting well services.
SCB:Due to the unavailability of ullage, the dispatch of produced hydrocarbons has been affected.
LZC:Prod'n deferred due to DAS ullage constraints.</v>
          </cell>
        </row>
        <row r="1105">
          <cell r="C1105">
            <v>46113</v>
          </cell>
          <cell r="D1105">
            <v>314628</v>
          </cell>
          <cell r="E1105">
            <v>34704</v>
          </cell>
          <cell r="F1105">
            <v>22265.469999999998</v>
          </cell>
          <cell r="G1105">
            <v>4632</v>
          </cell>
          <cell r="H1105">
            <v>1997</v>
          </cell>
          <cell r="I1105">
            <v>191873</v>
          </cell>
          <cell r="J1105">
            <v>157576</v>
          </cell>
          <cell r="K1105">
            <v>54083.76</v>
          </cell>
          <cell r="L1105">
            <v>10418</v>
          </cell>
          <cell r="M1105">
            <v>147895</v>
          </cell>
          <cell r="N1105">
            <v>6663</v>
          </cell>
          <cell r="O1105">
            <v>3654</v>
          </cell>
          <cell r="P1105">
            <v>0</v>
          </cell>
          <cell r="Q1105">
            <v>0</v>
          </cell>
          <cell r="R1105">
            <v>141960.75049999999</v>
          </cell>
          <cell r="S1105">
            <v>16.918167222148284</v>
          </cell>
          <cell r="T1105">
            <v>0.456127</v>
          </cell>
          <cell r="U1105">
            <v>3.8084140598674205E-3</v>
          </cell>
          <cell r="V1105">
            <v>2.8000000000000001E-2</v>
          </cell>
          <cell r="W1105">
            <v>0.28927999999999998</v>
          </cell>
          <cell r="X1105">
            <v>9.7990638459338459</v>
          </cell>
          <cell r="Y1105">
            <v>10.41</v>
          </cell>
          <cell r="Z1105">
            <v>0</v>
          </cell>
          <cell r="AA1105">
            <v>0</v>
          </cell>
          <cell r="AB1105">
            <v>0</v>
          </cell>
          <cell r="AC1105">
            <v>0.19170487077619233</v>
          </cell>
          <cell r="AD1105">
            <v>9.5201148530215454E-2</v>
          </cell>
          <cell r="AE1105">
            <v>0</v>
          </cell>
          <cell r="AF1105">
            <v>14.790101572433008</v>
          </cell>
          <cell r="AG1105">
            <v>8.1611887129456839</v>
          </cell>
          <cell r="AH1105">
            <v>202604</v>
          </cell>
          <cell r="AJ1105" t="str">
            <v xml:space="preserve">MECL:Prod'n deferred due to waiting well services.
SCB:Due to the unavailability of ullage, the dispatch of produced hydrocarbons has been affected.
LZC:Prod'n deferred due to DAS ullage constraints.
SPOC:1,460 bbl transfer to Tharjiath COST tank level.
</v>
          </cell>
        </row>
        <row r="1106">
          <cell r="C1106">
            <v>46114</v>
          </cell>
          <cell r="D1106">
            <v>337483</v>
          </cell>
          <cell r="E1106">
            <v>35252</v>
          </cell>
          <cell r="F1106">
            <v>22497</v>
          </cell>
          <cell r="G1106">
            <v>4512</v>
          </cell>
          <cell r="H1106">
            <v>1979</v>
          </cell>
          <cell r="I1106">
            <v>190904</v>
          </cell>
          <cell r="J1106">
            <v>147094</v>
          </cell>
          <cell r="K1106">
            <v>53636.01</v>
          </cell>
          <cell r="L1106">
            <v>12944</v>
          </cell>
          <cell r="M1106">
            <v>153290</v>
          </cell>
          <cell r="N1106">
            <v>6740</v>
          </cell>
          <cell r="O1106">
            <v>3641</v>
          </cell>
          <cell r="P1106">
            <v>0</v>
          </cell>
          <cell r="Q1106">
            <v>0</v>
          </cell>
          <cell r="R1106">
            <v>140658.70024999999</v>
          </cell>
          <cell r="S1106">
            <v>15.786343930431237</v>
          </cell>
          <cell r="T1106">
            <v>0.46083299999999999</v>
          </cell>
          <cell r="U1106">
            <v>3.4299880786188186E-3</v>
          </cell>
          <cell r="V1106">
            <v>0.03</v>
          </cell>
          <cell r="W1106">
            <v>0.2792</v>
          </cell>
          <cell r="X1106">
            <v>10.974013654370559</v>
          </cell>
          <cell r="Y1106">
            <v>9.93</v>
          </cell>
          <cell r="Z1106">
            <v>0</v>
          </cell>
          <cell r="AA1106">
            <v>0</v>
          </cell>
          <cell r="AB1106">
            <v>0</v>
          </cell>
          <cell r="AC1106">
            <v>0.20133258954486374</v>
          </cell>
          <cell r="AD1106">
            <v>8.9056398610210474E-2</v>
          </cell>
          <cell r="AE1106">
            <v>0</v>
          </cell>
          <cell r="AF1106">
            <v>14.794405729059005</v>
          </cell>
          <cell r="AG1106">
            <v>8.2297963190732748</v>
          </cell>
          <cell r="AH1106">
            <v>202604</v>
          </cell>
          <cell r="AJ1106" t="str">
            <v xml:space="preserve">MECL:Prod'n deferred due to waiting well services.
SCB:Due to the unavailability of ullage, the dispatch of produced hydrocarbons has been affected.
LZC:Prod'n deferred due to DAS ullage constraints.
</v>
          </cell>
        </row>
        <row r="1107">
          <cell r="C1107">
            <v>46115</v>
          </cell>
          <cell r="D1107">
            <v>315143</v>
          </cell>
          <cell r="E1107">
            <v>35377</v>
          </cell>
          <cell r="F1107">
            <v>22450</v>
          </cell>
          <cell r="G1107">
            <v>4671</v>
          </cell>
          <cell r="H1107">
            <v>2010</v>
          </cell>
          <cell r="I1107">
            <v>191428</v>
          </cell>
          <cell r="J1107">
            <v>156664</v>
          </cell>
          <cell r="K1107">
            <v>55054.9</v>
          </cell>
          <cell r="L1107">
            <v>14741</v>
          </cell>
          <cell r="M1107">
            <v>159005</v>
          </cell>
          <cell r="N1107">
            <v>6749</v>
          </cell>
          <cell r="O1107">
            <v>3648</v>
          </cell>
          <cell r="P1107">
            <v>0</v>
          </cell>
          <cell r="Q1107">
            <v>0</v>
          </cell>
          <cell r="R1107">
            <v>143730.24400000001</v>
          </cell>
          <cell r="S1107">
            <v>15.56603907154811</v>
          </cell>
          <cell r="T1107">
            <v>0.45983099999999999</v>
          </cell>
          <cell r="U1107">
            <v>3.8348902864812667E-3</v>
          </cell>
          <cell r="V1107">
            <v>2.8000000000000001E-2</v>
          </cell>
          <cell r="W1107">
            <v>0.27770999999999996</v>
          </cell>
          <cell r="X1107">
            <v>9.4204113301259813</v>
          </cell>
          <cell r="Y1107">
            <v>10.24</v>
          </cell>
          <cell r="Z1107">
            <v>0</v>
          </cell>
          <cell r="AA1107">
            <v>0</v>
          </cell>
          <cell r="AB1107">
            <v>0</v>
          </cell>
          <cell r="AC1107">
            <v>0.20841179452182801</v>
          </cell>
          <cell r="AD1107">
            <v>8.8688279951408336E-2</v>
          </cell>
          <cell r="AE1107">
            <v>0</v>
          </cell>
          <cell r="AF1107">
            <v>14.771157619914652</v>
          </cell>
          <cell r="AG1107">
            <v>7.9871506836314339</v>
          </cell>
          <cell r="AH1107">
            <v>202604</v>
          </cell>
          <cell r="AJ1107" t="str">
            <v xml:space="preserve">MECL:Prod'n deferred due to waiting well services.
SCB:Due to the unavailability of ullage, the dispatch of produced hydrocarbons has been affected.
LZC:Prod'n deferred due to DAS ullage constraints.
</v>
          </cell>
        </row>
        <row r="1108">
          <cell r="C1108">
            <v>46116</v>
          </cell>
          <cell r="D1108">
            <v>306954</v>
          </cell>
          <cell r="E1108">
            <v>35491</v>
          </cell>
          <cell r="F1108">
            <v>22409</v>
          </cell>
          <cell r="G1108">
            <v>4663</v>
          </cell>
          <cell r="H1108">
            <v>2039</v>
          </cell>
          <cell r="I1108">
            <v>191566</v>
          </cell>
          <cell r="J1108">
            <v>156270</v>
          </cell>
          <cell r="K1108">
            <v>53388</v>
          </cell>
          <cell r="L1108">
            <v>9948</v>
          </cell>
          <cell r="M1108">
            <v>194440</v>
          </cell>
          <cell r="N1108">
            <v>6701</v>
          </cell>
          <cell r="O1108">
            <v>3731</v>
          </cell>
          <cell r="P1108">
            <v>0</v>
          </cell>
          <cell r="Q1108">
            <v>0</v>
          </cell>
          <cell r="R1108">
            <v>143315.2395</v>
          </cell>
          <cell r="S1108">
            <v>15.423888635610668</v>
          </cell>
          <cell r="T1108">
            <v>0.46043600000000001</v>
          </cell>
          <cell r="U1108">
            <v>3.883991652201491E-3</v>
          </cell>
          <cell r="V1108">
            <v>0.03</v>
          </cell>
          <cell r="W1108">
            <v>0.28161000000000003</v>
          </cell>
          <cell r="X1108">
            <v>8.9523059802291964</v>
          </cell>
          <cell r="Y1108">
            <v>10.14</v>
          </cell>
          <cell r="Z1108">
            <v>0</v>
          </cell>
          <cell r="AA1108">
            <v>0</v>
          </cell>
          <cell r="AB1108">
            <v>0</v>
          </cell>
          <cell r="AC1108">
            <v>0.21039397191537801</v>
          </cell>
          <cell r="AD1108">
            <v>9.0358972325971898E-2</v>
          </cell>
          <cell r="AE1108">
            <v>0</v>
          </cell>
          <cell r="AF1108">
            <v>14.730466349707061</v>
          </cell>
          <cell r="AG1108">
            <v>7.8624038639287326</v>
          </cell>
          <cell r="AH1108">
            <v>202604</v>
          </cell>
          <cell r="AJ1108" t="str">
            <v xml:space="preserve">MECL:Prod'n deferred due to waiting well services.
SCB:Due to the unavailability of ullage, the dispatch of produced hydrocarbons has been affected.
LZC:Prod'n deferred due to DAS ullage constraints.
SPOC:1,460 bbl transfer to Tharjiath COST tank level.
</v>
          </cell>
        </row>
        <row r="1109">
          <cell r="C1109">
            <v>46117</v>
          </cell>
          <cell r="D1109">
            <v>324352</v>
          </cell>
          <cell r="E1109">
            <v>35346</v>
          </cell>
          <cell r="F1109">
            <v>22456.41</v>
          </cell>
          <cell r="G1109">
            <v>4640</v>
          </cell>
          <cell r="H1109">
            <v>2031</v>
          </cell>
          <cell r="I1109">
            <v>188789</v>
          </cell>
          <cell r="J1109">
            <v>155322</v>
          </cell>
          <cell r="K1109">
            <v>54241.15</v>
          </cell>
          <cell r="L1109">
            <v>11563</v>
          </cell>
          <cell r="M1109">
            <v>217571</v>
          </cell>
          <cell r="N1109">
            <v>6780</v>
          </cell>
          <cell r="O1109">
            <v>3642</v>
          </cell>
          <cell r="P1109">
            <v>0</v>
          </cell>
          <cell r="Q1109">
            <v>0</v>
          </cell>
          <cell r="R1109">
            <v>144498.02424999999</v>
          </cell>
          <cell r="S1109">
            <v>15.44002922295814</v>
          </cell>
          <cell r="T1109">
            <v>0.46147899999999997</v>
          </cell>
          <cell r="U1109">
            <v>3.098713850039785E-3</v>
          </cell>
          <cell r="V1109">
            <v>2.8000000000000001E-2</v>
          </cell>
          <cell r="W1109">
            <v>0.29008</v>
          </cell>
          <cell r="X1109">
            <v>9.8108436430155148</v>
          </cell>
          <cell r="Y1109">
            <v>10.220000000000001</v>
          </cell>
          <cell r="Z1109">
            <v>0</v>
          </cell>
          <cell r="AA1109">
            <v>0</v>
          </cell>
          <cell r="AB1109">
            <v>0</v>
          </cell>
          <cell r="AC1109">
            <v>0.2075622899245923</v>
          </cell>
          <cell r="AD1109">
            <v>9.7579761402475457E-2</v>
          </cell>
          <cell r="AE1109">
            <v>0</v>
          </cell>
          <cell r="AF1109">
            <v>14.711805565387785</v>
          </cell>
          <cell r="AG1109">
            <v>8.0625396159432476</v>
          </cell>
          <cell r="AH1109">
            <v>202604</v>
          </cell>
          <cell r="AJ1109" t="str">
            <v xml:space="preserve">MECL:Prod'n deferred due to waiting well services.
SCB:Due to the unavailability of ullage, the dispatch of produced hydrocarbons has been affected.
LZC:Prod'n deferred due to DAS ullage constraints.
SPOC:725 bbl transfer to Tharjiath COST tank level.
</v>
          </cell>
        </row>
        <row r="1110">
          <cell r="C1110">
            <v>46118</v>
          </cell>
          <cell r="D1110">
            <v>321153</v>
          </cell>
          <cell r="E1110">
            <v>34950</v>
          </cell>
          <cell r="F1110">
            <v>22441.599999999999</v>
          </cell>
          <cell r="G1110">
            <v>4623</v>
          </cell>
          <cell r="H1110">
            <v>2006</v>
          </cell>
          <cell r="I1110">
            <v>192504</v>
          </cell>
          <cell r="J1110">
            <v>156210</v>
          </cell>
          <cell r="K1110">
            <v>52421.81</v>
          </cell>
          <cell r="L1110">
            <v>10232</v>
          </cell>
          <cell r="M1110">
            <v>196976</v>
          </cell>
          <cell r="N1110">
            <v>6820</v>
          </cell>
          <cell r="O1110">
            <v>3647</v>
          </cell>
          <cell r="P1110">
            <v>0</v>
          </cell>
          <cell r="Q1110">
            <v>0</v>
          </cell>
          <cell r="R1110">
            <v>143634.20775</v>
          </cell>
          <cell r="S1110">
            <v>14.825271062758569</v>
          </cell>
          <cell r="T1110">
            <v>0.457403</v>
          </cell>
          <cell r="U1110">
            <v>3.9023409515017825E-3</v>
          </cell>
          <cell r="V1110">
            <v>3.1E-2</v>
          </cell>
          <cell r="W1110">
            <v>0.28423999999999999</v>
          </cell>
          <cell r="X1110">
            <v>9.8342333362594037</v>
          </cell>
          <cell r="Y1110">
            <v>10.16</v>
          </cell>
          <cell r="Z1110">
            <v>0</v>
          </cell>
          <cell r="AA1110">
            <v>0</v>
          </cell>
          <cell r="AB1110">
            <v>0</v>
          </cell>
          <cell r="AC1110">
            <v>0.20614644892919945</v>
          </cell>
          <cell r="AD1110">
            <v>0.10596154009520115</v>
          </cell>
          <cell r="AE1110">
            <v>0</v>
          </cell>
          <cell r="AF1110">
            <v>14.730069914228352</v>
          </cell>
          <cell r="AG1110">
            <v>8.0344972666766807</v>
          </cell>
          <cell r="AH1110">
            <v>202604</v>
          </cell>
          <cell r="AJ1110" t="str">
            <v xml:space="preserve">MECL:Prod'n deferred due to waiting well services.
SCB:Due to the unavailability of ullage, the dispatch of produced hydrocarbons has been affected.
LZC:Prod'n deferred due to DAS ullage constraints.
SPOC:1,746 bbl transfer to Tharjiath COST tank level.
</v>
          </cell>
        </row>
        <row r="1111">
          <cell r="C1111">
            <v>46119</v>
          </cell>
          <cell r="D1111">
            <v>327720</v>
          </cell>
          <cell r="E1111">
            <v>35189</v>
          </cell>
          <cell r="F1111">
            <v>22440.38</v>
          </cell>
          <cell r="G1111">
            <v>4596</v>
          </cell>
          <cell r="H1111">
            <v>2003</v>
          </cell>
          <cell r="I1111">
            <v>192328</v>
          </cell>
          <cell r="J1111">
            <v>157645</v>
          </cell>
          <cell r="K1111">
            <v>52536.42</v>
          </cell>
          <cell r="L1111">
            <v>15047</v>
          </cell>
          <cell r="M1111">
            <v>192565</v>
          </cell>
          <cell r="N1111">
            <v>6848</v>
          </cell>
          <cell r="O1111">
            <v>3825</v>
          </cell>
          <cell r="P1111">
            <v>0</v>
          </cell>
          <cell r="Q1111">
            <v>0</v>
          </cell>
          <cell r="R1111">
            <v>145299.47975000003</v>
          </cell>
          <cell r="S1111">
            <v>14.224671312512919</v>
          </cell>
          <cell r="T1111">
            <v>0.45874900000000002</v>
          </cell>
          <cell r="U1111">
            <v>3.9023409515017825E-3</v>
          </cell>
          <cell r="V1111">
            <v>2.9000000000000001E-2</v>
          </cell>
          <cell r="W1111">
            <v>0.28085000000000004</v>
          </cell>
          <cell r="X1111">
            <v>9.5397950428575058</v>
          </cell>
          <cell r="Y1111">
            <v>10.27</v>
          </cell>
          <cell r="Z1111">
            <v>0</v>
          </cell>
          <cell r="AA1111">
            <v>0</v>
          </cell>
          <cell r="AB1111">
            <v>0</v>
          </cell>
          <cell r="AC1111">
            <v>0.20416427153564945</v>
          </cell>
          <cell r="AD1111">
            <v>8.3138183249468339E-2</v>
          </cell>
          <cell r="AE1111">
            <v>0</v>
          </cell>
          <cell r="AF1111">
            <v>14.725652490322727</v>
          </cell>
          <cell r="AG1111">
            <v>7.9725171409860769</v>
          </cell>
          <cell r="AH1111">
            <v>202604</v>
          </cell>
          <cell r="AJ1111" t="str">
            <v xml:space="preserve">MECL:Prod'n deferred due to waiting well services.
SCB:Due to the unavailability of ullage, the dispatch of produced hydrocarbons has been affected.
LZC:Prod'n deferred due to DAS ullage constraints.
</v>
          </cell>
        </row>
        <row r="1112">
          <cell r="C1112">
            <v>46120</v>
          </cell>
          <cell r="D1112">
            <v>326172</v>
          </cell>
          <cell r="E1112">
            <v>35258</v>
          </cell>
          <cell r="F1112">
            <v>22453.64</v>
          </cell>
          <cell r="G1112">
            <v>4622</v>
          </cell>
          <cell r="H1112">
            <v>1999</v>
          </cell>
          <cell r="I1112">
            <v>191646</v>
          </cell>
          <cell r="J1112">
            <v>155151</v>
          </cell>
          <cell r="K1112">
            <v>51866.68</v>
          </cell>
          <cell r="L1112">
            <v>17407</v>
          </cell>
          <cell r="M1112">
            <v>147997</v>
          </cell>
          <cell r="N1112">
            <v>6681</v>
          </cell>
          <cell r="O1112">
            <v>3898</v>
          </cell>
          <cell r="P1112">
            <v>0</v>
          </cell>
          <cell r="Q1112">
            <v>0</v>
          </cell>
          <cell r="R1112">
            <v>143136.29775000003</v>
          </cell>
          <cell r="S1112">
            <v>13.925079357887791</v>
          </cell>
          <cell r="T1112">
            <v>0.46020499999999998</v>
          </cell>
          <cell r="U1112">
            <v>3.8444047379703069E-3</v>
          </cell>
          <cell r="V1112">
            <v>0.03</v>
          </cell>
          <cell r="W1112">
            <v>0.27836</v>
          </cell>
          <cell r="X1112">
            <v>9.4517297329440702</v>
          </cell>
          <cell r="Y1112">
            <v>10.4</v>
          </cell>
          <cell r="Z1112">
            <v>0</v>
          </cell>
          <cell r="AA1112">
            <v>0</v>
          </cell>
          <cell r="AB1112">
            <v>0</v>
          </cell>
          <cell r="AC1112">
            <v>0.20614644892919945</v>
          </cell>
          <cell r="AD1112">
            <v>8.7470656695370477E-2</v>
          </cell>
          <cell r="AE1112">
            <v>0</v>
          </cell>
          <cell r="AF1112">
            <v>14.71477883147811</v>
          </cell>
          <cell r="AG1112">
            <v>7.978446641218671</v>
          </cell>
          <cell r="AH1112">
            <v>202604</v>
          </cell>
          <cell r="AJ1112" t="str">
            <v xml:space="preserve">MECL:Prod'n deferred due to waiting well services.
SCB:Due to the unavailability of ullage, the dispatch of produced hydrocarbons has been affected.
LZC:Prod'n deferred due to DAS ullage constraints.
</v>
          </cell>
        </row>
        <row r="1113">
          <cell r="C1113">
            <v>46121</v>
          </cell>
          <cell r="D1113">
            <v>317802</v>
          </cell>
          <cell r="E1113">
            <v>35170</v>
          </cell>
          <cell r="F1113">
            <v>6968.64</v>
          </cell>
          <cell r="G1113">
            <v>4560</v>
          </cell>
          <cell r="H1113">
            <v>1988</v>
          </cell>
          <cell r="I1113">
            <v>187233</v>
          </cell>
          <cell r="J1113">
            <v>150676</v>
          </cell>
          <cell r="K1113">
            <v>53278.080000000002</v>
          </cell>
          <cell r="L1113">
            <v>10770</v>
          </cell>
          <cell r="M1113">
            <v>95329</v>
          </cell>
          <cell r="N1113">
            <v>6851</v>
          </cell>
          <cell r="O1113">
            <v>3926</v>
          </cell>
          <cell r="P1113">
            <v>0</v>
          </cell>
          <cell r="Q1113">
            <v>0</v>
          </cell>
          <cell r="R1113">
            <v>126614.969</v>
          </cell>
          <cell r="S1113">
            <v>13.809263564464654</v>
          </cell>
          <cell r="T1113">
            <v>0.458729</v>
          </cell>
          <cell r="U1113">
            <v>1.141904079604244E-3</v>
          </cell>
          <cell r="V1113">
            <v>2.9000000000000001E-2</v>
          </cell>
          <cell r="W1113">
            <v>0.28877999999999998</v>
          </cell>
          <cell r="X1113">
            <v>9.1903088515547342</v>
          </cell>
          <cell r="Y1113">
            <v>10.33</v>
          </cell>
          <cell r="Z1113">
            <v>0</v>
          </cell>
          <cell r="AA1113">
            <v>0</v>
          </cell>
          <cell r="AB1113">
            <v>0</v>
          </cell>
          <cell r="AC1113">
            <v>0.20529694433196374</v>
          </cell>
          <cell r="AD1113">
            <v>9.0160754586616904E-2</v>
          </cell>
          <cell r="AE1113">
            <v>0</v>
          </cell>
          <cell r="AF1113">
            <v>14.586871755954318</v>
          </cell>
          <cell r="AG1113">
            <v>7.8933347237949354</v>
          </cell>
          <cell r="AH1113">
            <v>202604</v>
          </cell>
          <cell r="AJ1113" t="str">
            <v xml:space="preserve">CPO-5:Blockade has been reported at Indico, CPH, and CF-3.
SCB:Due to the unavailability of ullage, the dispatch of produced hydrocarbons has been affected.
LZC:Prod'n deferred due to DAS ullage constraints.
SPOC:1,917 bbl transfer to Tharjiath COST tank level.
A1-A3 :Due to the Myanmar New Year holidays (11–19 Apr 2026),Consolidated DPRs will be issued on 20 Apr. 
</v>
          </cell>
        </row>
        <row r="1114">
          <cell r="C1114">
            <v>46122</v>
          </cell>
          <cell r="D1114">
            <v>313207</v>
          </cell>
          <cell r="E1114">
            <v>35182</v>
          </cell>
          <cell r="F1114">
            <v>0</v>
          </cell>
          <cell r="G1114">
            <v>4454</v>
          </cell>
          <cell r="H1114">
            <v>1980</v>
          </cell>
          <cell r="I1114">
            <v>185560</v>
          </cell>
          <cell r="J1114">
            <v>149947</v>
          </cell>
          <cell r="K1114">
            <v>53676.24</v>
          </cell>
          <cell r="L1114">
            <v>11252</v>
          </cell>
          <cell r="M1114">
            <v>111693</v>
          </cell>
          <cell r="N1114">
            <v>6911</v>
          </cell>
          <cell r="O1114">
            <v>3990</v>
          </cell>
          <cell r="P1114">
            <v>0</v>
          </cell>
          <cell r="Q1114">
            <v>0</v>
          </cell>
          <cell r="R1114">
            <v>121923.19975</v>
          </cell>
          <cell r="S1114">
            <v>13.85173879432644</v>
          </cell>
          <cell r="T1114">
            <v>0.45915800000000001</v>
          </cell>
          <cell r="U1114">
            <v>0</v>
          </cell>
          <cell r="V1114">
            <v>2.8000000000000001E-2</v>
          </cell>
          <cell r="W1114">
            <v>0.26677000000000001</v>
          </cell>
          <cell r="X1114">
            <v>8.839208601517214</v>
          </cell>
          <cell r="Y1114">
            <v>10.199999999999999</v>
          </cell>
          <cell r="Z1114">
            <v>0</v>
          </cell>
          <cell r="AA1114">
            <v>0</v>
          </cell>
          <cell r="AB1114">
            <v>0</v>
          </cell>
          <cell r="AC1114">
            <v>0.20189892594302089</v>
          </cell>
          <cell r="AD1114">
            <v>8.5431845662004763E-2</v>
          </cell>
          <cell r="AE1114">
            <v>0</v>
          </cell>
          <cell r="AF1114">
            <v>14.688444188963802</v>
          </cell>
          <cell r="AG1114">
            <v>7.7831648722798707</v>
          </cell>
          <cell r="AH1114">
            <v>202604</v>
          </cell>
          <cell r="AJ1114" t="str">
            <v xml:space="preserve">CPO-5:Blockade has been reported at Indico, CPH, and CF-3.
SCB:Due to the unavailability of ullage, the dispatch of produced hydrocarbons has been affected.
LZC:Prod'n deferred due to DAS ullage constraints.
SPOC:1,021 bbl transfer to Tharjiath COST tank level.
A1-A3 :Due to the Myanmar New Year holidays (11–19 Apr 2026),Consolidated DPRs will be issued on 20 Apr. 
</v>
          </cell>
        </row>
        <row r="1115">
          <cell r="C1115">
            <v>46123</v>
          </cell>
          <cell r="D1115">
            <v>318473</v>
          </cell>
          <cell r="E1115">
            <v>35075</v>
          </cell>
          <cell r="F1115">
            <v>0</v>
          </cell>
          <cell r="G1115">
            <v>4294</v>
          </cell>
          <cell r="H1115">
            <v>1966</v>
          </cell>
          <cell r="I1115">
            <v>177699</v>
          </cell>
          <cell r="J1115">
            <v>154165</v>
          </cell>
          <cell r="K1115">
            <v>52405</v>
          </cell>
          <cell r="L1115">
            <v>14494</v>
          </cell>
          <cell r="M1115">
            <v>88941</v>
          </cell>
          <cell r="N1115">
            <v>7005</v>
          </cell>
          <cell r="O1115">
            <v>4006</v>
          </cell>
          <cell r="P1115">
            <v>0</v>
          </cell>
          <cell r="Q1115">
            <v>0</v>
          </cell>
          <cell r="R1115">
            <v>121049.80275000002</v>
          </cell>
          <cell r="S1115">
            <v>13.81011306906189</v>
          </cell>
          <cell r="T1115">
            <v>0.45747399999999999</v>
          </cell>
          <cell r="U1115">
            <v>0</v>
          </cell>
          <cell r="V1115">
            <v>2.3E-2</v>
          </cell>
          <cell r="W1115">
            <v>0.27012000000000003</v>
          </cell>
          <cell r="X1115">
            <v>8.9271040105112025</v>
          </cell>
          <cell r="Y1115">
            <v>10.31</v>
          </cell>
          <cell r="Z1115">
            <v>0</v>
          </cell>
          <cell r="AA1115">
            <v>0</v>
          </cell>
          <cell r="AB1115">
            <v>0</v>
          </cell>
          <cell r="AC1115">
            <v>0.20529694433196374</v>
          </cell>
          <cell r="AD1115">
            <v>8.585659796062263E-2</v>
          </cell>
          <cell r="AE1115">
            <v>0</v>
          </cell>
          <cell r="AF1115">
            <v>14.684649735096148</v>
          </cell>
          <cell r="AG1115">
            <v>7.8284203473994118</v>
          </cell>
          <cell r="AH1115">
            <v>202604</v>
          </cell>
          <cell r="AJ1115" t="str">
            <v xml:space="preserve">CPO-5:Blockade has been reported at Indico, CPH, and CF-3.
SCB:Due to the unavailability of ullage, the dispatch of produced hydrocarbons has been affected.
LZC:Prod'n deferred due to DAS ullage constraints.
A1-A3 :Due to the Myanmar New Year holidays (11–19 Apr 2026),Consolidated DPRs will be issued on 20 Apr. 
</v>
          </cell>
        </row>
        <row r="1116">
          <cell r="C1116">
            <v>46124</v>
          </cell>
          <cell r="D1116">
            <v>310991</v>
          </cell>
          <cell r="E1116">
            <v>34786</v>
          </cell>
          <cell r="F1116">
            <v>19978.259999999998</v>
          </cell>
          <cell r="G1116">
            <v>4214</v>
          </cell>
          <cell r="H1116">
            <v>1955</v>
          </cell>
          <cell r="I1116">
            <v>144447</v>
          </cell>
          <cell r="J1116">
            <v>158338</v>
          </cell>
          <cell r="K1116">
            <v>52275.39</v>
          </cell>
          <cell r="L1116">
            <v>13016</v>
          </cell>
          <cell r="M1116">
            <v>34559</v>
          </cell>
          <cell r="N1116">
            <v>6959</v>
          </cell>
          <cell r="O1116">
            <v>4050</v>
          </cell>
          <cell r="P1116">
            <v>0</v>
          </cell>
          <cell r="Q1116">
            <v>0</v>
          </cell>
          <cell r="R1116">
            <v>126569.57625000001</v>
          </cell>
          <cell r="S1116">
            <v>14.749098817206432</v>
          </cell>
          <cell r="T1116">
            <v>0.45722800000000002</v>
          </cell>
          <cell r="U1116">
            <v>1E-3</v>
          </cell>
          <cell r="V1116">
            <v>2.3E-2</v>
          </cell>
          <cell r="W1116">
            <v>0.27650000000000002</v>
          </cell>
          <cell r="X1116">
            <v>7.3767298037361204</v>
          </cell>
          <cell r="Y1116">
            <v>10.15</v>
          </cell>
          <cell r="Z1116">
            <v>0</v>
          </cell>
          <cell r="AA1116">
            <v>0</v>
          </cell>
          <cell r="AB1116">
            <v>0</v>
          </cell>
          <cell r="AC1116">
            <v>0.20246526234117804</v>
          </cell>
          <cell r="AD1116">
            <v>8.7102538036568339E-2</v>
          </cell>
          <cell r="AE1116">
            <v>0</v>
          </cell>
          <cell r="AF1116">
            <v>14.667914494530606</v>
          </cell>
          <cell r="AG1116">
            <v>7.507866319292873</v>
          </cell>
          <cell r="AH1116">
            <v>202604</v>
          </cell>
          <cell r="AJ1116" t="str">
            <v xml:space="preserve">CPO-5:Prod'n being ramped up.
SCB:Due to the unavailability of ullage, the dispatch of produced hydrocarbons has been affected.
LZC:Prod'n deferred due to DAS ullage constraints.
A1-A3 :Due to the Myanmar New Year holidays (11–19 Apr 2026),Consolidated DPRs will be issued on 20 Apr. 
</v>
          </cell>
        </row>
        <row r="1117">
          <cell r="C1117">
            <v>46125</v>
          </cell>
          <cell r="D1117">
            <v>324538</v>
          </cell>
          <cell r="E1117">
            <v>34950</v>
          </cell>
          <cell r="F1117">
            <v>22584.43</v>
          </cell>
          <cell r="G1117">
            <v>4227</v>
          </cell>
          <cell r="H1117">
            <v>1978</v>
          </cell>
          <cell r="I1117">
            <v>192486</v>
          </cell>
          <cell r="J1117">
            <v>158495</v>
          </cell>
          <cell r="K1117">
            <v>54823.78</v>
          </cell>
          <cell r="L1117">
            <v>12421</v>
          </cell>
          <cell r="M1117">
            <v>36604</v>
          </cell>
          <cell r="N1117">
            <v>6992</v>
          </cell>
          <cell r="O1117">
            <v>4125</v>
          </cell>
          <cell r="P1117">
            <v>0</v>
          </cell>
          <cell r="Q1117">
            <v>0</v>
          </cell>
          <cell r="R1117">
            <v>139121.52875000003</v>
          </cell>
          <cell r="S1117">
            <v>13.892231846794674</v>
          </cell>
          <cell r="T1117">
            <v>0.45806200000000002</v>
          </cell>
          <cell r="U1117">
            <v>3.3180233727031516E-3</v>
          </cell>
          <cell r="V1117">
            <v>2.3E-2</v>
          </cell>
          <cell r="W1117">
            <v>0.28937999999999997</v>
          </cell>
          <cell r="X1117">
            <v>9.7949999999999999</v>
          </cell>
          <cell r="Y1117">
            <v>10.1</v>
          </cell>
          <cell r="Z1117">
            <v>0</v>
          </cell>
          <cell r="AA1117">
            <v>0</v>
          </cell>
          <cell r="AB1117">
            <v>0</v>
          </cell>
          <cell r="AC1117">
            <v>0.2055801125310423</v>
          </cell>
          <cell r="AD1117">
            <v>8.9282933169473333E-2</v>
          </cell>
          <cell r="AE1117">
            <v>0</v>
          </cell>
          <cell r="AF1117">
            <v>14.663695288364336</v>
          </cell>
          <cell r="AG1117">
            <v>7.9670597061868857</v>
          </cell>
          <cell r="AH1117">
            <v>202604</v>
          </cell>
          <cell r="AJ1117" t="str">
            <v xml:space="preserve">SCB:Due to the unavailability of ullage, the dispatch of produced hydrocarbons has been affected.
LZC:Prod'n deferred due to DAS ullage constraints.
A1-A3 :Due to the Myanmar New Year holidays (11–19 Apr 2026),Consolidated DPRs will be issued on 20 Apr. 
</v>
          </cell>
        </row>
        <row r="1118">
          <cell r="C1118">
            <v>46126</v>
          </cell>
          <cell r="D1118">
            <v>340580</v>
          </cell>
          <cell r="E1118">
            <v>34654</v>
          </cell>
          <cell r="F1118">
            <v>22566.35</v>
          </cell>
          <cell r="G1118">
            <v>4257</v>
          </cell>
          <cell r="H1118">
            <v>1988</v>
          </cell>
          <cell r="I1118">
            <v>192632</v>
          </cell>
          <cell r="J1118">
            <v>156223</v>
          </cell>
          <cell r="K1118">
            <v>55151.62</v>
          </cell>
          <cell r="L1118">
            <v>15633</v>
          </cell>
          <cell r="M1118">
            <v>18426</v>
          </cell>
          <cell r="N1118">
            <v>7057</v>
          </cell>
          <cell r="O1118">
            <v>4034</v>
          </cell>
          <cell r="P1118">
            <v>0</v>
          </cell>
          <cell r="Q1118">
            <v>0</v>
          </cell>
          <cell r="R1118">
            <v>139062.14624999999</v>
          </cell>
          <cell r="S1118">
            <v>14.093564436339541</v>
          </cell>
          <cell r="T1118">
            <v>0.453874</v>
          </cell>
          <cell r="U1118">
            <v>3.6170489909301226E-3</v>
          </cell>
          <cell r="V1118">
            <v>2.9000000000000001E-2</v>
          </cell>
          <cell r="W1118">
            <v>0.28155999999999998</v>
          </cell>
          <cell r="X1118">
            <v>9.6634545953951179</v>
          </cell>
          <cell r="Y1118">
            <v>10.16</v>
          </cell>
          <cell r="Z1118">
            <v>0</v>
          </cell>
          <cell r="AA1118">
            <v>0</v>
          </cell>
          <cell r="AB1118">
            <v>0</v>
          </cell>
          <cell r="AC1118">
            <v>0.20359793513749233</v>
          </cell>
          <cell r="AD1118">
            <v>8.1297589955457633E-2</v>
          </cell>
          <cell r="AE1118">
            <v>0</v>
          </cell>
          <cell r="AF1118">
            <v>14.633396291062928</v>
          </cell>
          <cell r="AG1118">
            <v>7.9477258371699602</v>
          </cell>
          <cell r="AH1118">
            <v>202604</v>
          </cell>
          <cell r="AJ1118" t="str">
            <v>SCB:Due to the unavailability of ullage, the dispatch of produced hydrocarbons has been affected.
LZC:Prod'n deferred due to DAS ullage constraints.
A1-A3 :Due to the Myanmar New Year holidays (11–19 Apr 2026),Consolidated DPRs will be issued on 20 Apr. </v>
          </cell>
        </row>
        <row r="1119">
          <cell r="C1119">
            <v>46127</v>
          </cell>
          <cell r="D1119">
            <v>332278</v>
          </cell>
          <cell r="E1119">
            <v>34943</v>
          </cell>
          <cell r="F1119">
            <v>22441.85</v>
          </cell>
          <cell r="G1119">
            <v>4288</v>
          </cell>
          <cell r="H1119">
            <v>1953</v>
          </cell>
          <cell r="I1119">
            <v>190666</v>
          </cell>
          <cell r="J1119">
            <v>158016</v>
          </cell>
          <cell r="K1119">
            <v>55021.54</v>
          </cell>
          <cell r="L1119">
            <v>15275</v>
          </cell>
          <cell r="M1119">
            <v>103549</v>
          </cell>
          <cell r="N1119">
            <v>7091</v>
          </cell>
          <cell r="O1119">
            <v>3859</v>
          </cell>
          <cell r="P1119">
            <v>0</v>
          </cell>
          <cell r="Q1119">
            <v>0</v>
          </cell>
          <cell r="R1119">
            <v>142083.44525000002</v>
          </cell>
          <cell r="S1119">
            <v>14.174550541276012</v>
          </cell>
          <cell r="T1119">
            <v>0.45251400000000003</v>
          </cell>
          <cell r="U1119">
            <v>3.5543838684740348E-3</v>
          </cell>
          <cell r="V1119">
            <v>3.1E-2</v>
          </cell>
          <cell r="W1119">
            <v>0.27662999999999999</v>
          </cell>
          <cell r="X1119">
            <v>9.3785024366623517</v>
          </cell>
          <cell r="Y1119">
            <v>10.130000000000001</v>
          </cell>
          <cell r="Z1119">
            <v>0</v>
          </cell>
          <cell r="AA1119">
            <v>0</v>
          </cell>
          <cell r="AB1119">
            <v>0</v>
          </cell>
          <cell r="AC1119">
            <v>0.20303159873933516</v>
          </cell>
          <cell r="AD1119">
            <v>8.2968282330021209E-2</v>
          </cell>
          <cell r="AE1119">
            <v>0</v>
          </cell>
          <cell r="AF1119">
            <v>0.52935463135747995</v>
          </cell>
          <cell r="AG1119">
            <v>5.4839259467889008</v>
          </cell>
          <cell r="AH1119">
            <v>202604</v>
          </cell>
          <cell r="AJ1119" t="str">
            <v>SCB:Due to the unavailability of ullage, the dispatch of produced hydrocarbons has been affected.
LZC:Prod'n deferred due to DAS ullage constraints.
A1-A3 :Due to the Myanmar New Year holidays (11–19 Apr 2026),Consolidated DPRs will be issued on 20 Apr. </v>
          </cell>
        </row>
        <row r="1120">
          <cell r="C1120">
            <v>46128</v>
          </cell>
          <cell r="D1120">
            <v>325118</v>
          </cell>
          <cell r="E1120">
            <v>31975</v>
          </cell>
          <cell r="F1120">
            <v>22456.95</v>
          </cell>
          <cell r="G1120">
            <v>4317</v>
          </cell>
          <cell r="H1120">
            <v>1947</v>
          </cell>
          <cell r="I1120">
            <v>194859</v>
          </cell>
          <cell r="J1120">
            <v>158261</v>
          </cell>
          <cell r="K1120">
            <v>54697</v>
          </cell>
          <cell r="L1120">
            <v>11625</v>
          </cell>
          <cell r="M1120">
            <v>219231</v>
          </cell>
          <cell r="N1120">
            <v>7115</v>
          </cell>
          <cell r="O1120">
            <v>4548</v>
          </cell>
          <cell r="P1120">
            <v>0</v>
          </cell>
          <cell r="Q1120">
            <v>0</v>
          </cell>
          <cell r="R1120">
            <v>145937.84774999999</v>
          </cell>
          <cell r="S1120">
            <v>13.682970547675614</v>
          </cell>
          <cell r="T1120">
            <v>0.42898799999999998</v>
          </cell>
          <cell r="U1120">
            <v>3.5543838684740348E-3</v>
          </cell>
          <cell r="V1120">
            <v>3.0279744000000001E-2</v>
          </cell>
          <cell r="W1120">
            <v>0.27539999999999998</v>
          </cell>
          <cell r="X1120">
            <v>9.059201975381356</v>
          </cell>
          <cell r="Y1120">
            <v>9.77</v>
          </cell>
          <cell r="Z1120">
            <v>0</v>
          </cell>
          <cell r="AA1120">
            <v>0</v>
          </cell>
          <cell r="AB1120">
            <v>0</v>
          </cell>
          <cell r="AC1120">
            <v>0.20189892594302089</v>
          </cell>
          <cell r="AD1120">
            <v>8.9311249989381183E-2</v>
          </cell>
          <cell r="AE1120">
            <v>0</v>
          </cell>
          <cell r="AF1120">
            <v>0</v>
          </cell>
          <cell r="AG1120">
            <v>5.2165672974452679</v>
          </cell>
          <cell r="AH1120">
            <v>202604</v>
          </cell>
          <cell r="AJ1120" t="str">
            <v>SCB:Due to the unavailability of ullage, the dispatch of produced hydrocarbons has been affected.
LZC:Prod'n deferred due to DAS ullage constraints.
A1-A3 :Due to the Myanmar New Year holidays (11–19 Apr 2026),Consolidated DPRs will be issued on 20 Apr. </v>
          </cell>
        </row>
        <row r="1121">
          <cell r="C1121">
            <v>46129</v>
          </cell>
          <cell r="D1121">
            <v>321190</v>
          </cell>
          <cell r="E1121">
            <v>32717</v>
          </cell>
          <cell r="F1121">
            <v>22435.03</v>
          </cell>
          <cell r="G1121">
            <v>4420</v>
          </cell>
          <cell r="H1121">
            <v>1999</v>
          </cell>
          <cell r="I1121">
            <v>194395</v>
          </cell>
          <cell r="J1121">
            <v>160219</v>
          </cell>
          <cell r="K1121">
            <v>54405.41</v>
          </cell>
          <cell r="L1121">
            <v>14684</v>
          </cell>
          <cell r="M1121">
            <v>241158</v>
          </cell>
          <cell r="N1121">
            <v>7022</v>
          </cell>
          <cell r="O1121">
            <v>4178</v>
          </cell>
          <cell r="P1121">
            <v>0</v>
          </cell>
          <cell r="Q1121">
            <v>0</v>
          </cell>
          <cell r="R1121">
            <v>147911.66600000006</v>
          </cell>
          <cell r="S1121">
            <v>14.018808031782797</v>
          </cell>
          <cell r="T1121">
            <v>0.43853900000000001</v>
          </cell>
          <cell r="U1121">
            <v>3.4489320311371749E-3</v>
          </cell>
          <cell r="V1121">
            <v>3.0899952000000001E-2</v>
          </cell>
          <cell r="W1121">
            <v>0.28120000000000001</v>
          </cell>
          <cell r="X1121">
            <v>9.0501122761909336</v>
          </cell>
          <cell r="Y1121">
            <v>9.85</v>
          </cell>
          <cell r="Z1121">
            <v>0</v>
          </cell>
          <cell r="AA1121">
            <v>0</v>
          </cell>
          <cell r="AB1121">
            <v>0</v>
          </cell>
          <cell r="AC1121">
            <v>0.20416427153564945</v>
          </cell>
          <cell r="AD1121">
            <v>9.4351643932979748E-2</v>
          </cell>
          <cell r="AE1121">
            <v>0</v>
          </cell>
          <cell r="AF1121">
            <v>1.1566571427762375</v>
          </cell>
          <cell r="AG1121">
            <v>5.4529585378819077</v>
          </cell>
          <cell r="AH1121">
            <v>202604</v>
          </cell>
          <cell r="AJ1121" t="str">
            <v>SCB:Due to the unavailability of ullage, the dispatch of produced hydrocarbons has been affected.
LZC:Prod'n deferred due to DAS ullage constraints.
A1-A3 :Due to the Myanmar New Year holidays (11–19 Apr 2026),Consolidated DPRs will be issued on 20 Apr. </v>
          </cell>
        </row>
        <row r="1122">
          <cell r="C1122">
            <v>46130</v>
          </cell>
          <cell r="D1122">
            <v>350274</v>
          </cell>
          <cell r="E1122">
            <v>34692</v>
          </cell>
          <cell r="F1122">
            <v>22366.02</v>
          </cell>
          <cell r="G1122">
            <v>4432</v>
          </cell>
          <cell r="H1122">
            <v>2000</v>
          </cell>
          <cell r="I1122">
            <v>192480</v>
          </cell>
          <cell r="J1122">
            <v>160983</v>
          </cell>
          <cell r="K1122">
            <v>54985.19</v>
          </cell>
          <cell r="L1122">
            <v>9535</v>
          </cell>
          <cell r="M1122">
            <v>246329</v>
          </cell>
          <cell r="N1122">
            <v>7219</v>
          </cell>
          <cell r="O1122">
            <v>4376</v>
          </cell>
          <cell r="P1122">
            <v>0</v>
          </cell>
          <cell r="Q1122">
            <v>0</v>
          </cell>
          <cell r="R1122">
            <v>148280.41475</v>
          </cell>
          <cell r="S1122">
            <v>13.981712997703502</v>
          </cell>
          <cell r="T1122">
            <v>0.451463</v>
          </cell>
          <cell r="U1122">
            <v>3.5543838684740348E-3</v>
          </cell>
          <cell r="V1122">
            <v>2.7932016E-2</v>
          </cell>
          <cell r="W1122">
            <v>0.27938000000000002</v>
          </cell>
          <cell r="X1122">
            <v>9.2850569309664248</v>
          </cell>
          <cell r="Y1122">
            <v>9.7899999999999991</v>
          </cell>
          <cell r="Z1122">
            <v>0</v>
          </cell>
          <cell r="AA1122">
            <v>0</v>
          </cell>
          <cell r="AB1122">
            <v>0</v>
          </cell>
          <cell r="AC1122">
            <v>0.20104942134578516</v>
          </cell>
          <cell r="AD1122">
            <v>9.2680951558416186E-2</v>
          </cell>
          <cell r="AE1122">
            <v>0</v>
          </cell>
          <cell r="AF1122">
            <v>12.671068988268342</v>
          </cell>
          <cell r="AG1122">
            <v>7.4398870543531332</v>
          </cell>
          <cell r="AH1122">
            <v>202604</v>
          </cell>
          <cell r="AJ1122" t="str">
            <v>SCB:Due to the unavailability of ullage, the dispatch of produced hydrocarbons has been affected.
LZC:Prod'n deferred due to DAS ullage constraints.
A1-A3 :Due to the Myanmar New Year holidays (11–19 Apr 2026),Consolidated DPRs will be issued on 20 Apr. </v>
          </cell>
        </row>
        <row r="1123">
          <cell r="C1123">
            <v>46131</v>
          </cell>
          <cell r="D1123">
            <v>347261</v>
          </cell>
          <cell r="E1123">
            <v>35101</v>
          </cell>
          <cell r="F1123">
            <v>22394.059999999998</v>
          </cell>
          <cell r="G1123">
            <v>4424</v>
          </cell>
          <cell r="H1123">
            <v>1983</v>
          </cell>
          <cell r="I1123">
            <v>193021</v>
          </cell>
          <cell r="J1123">
            <v>149797</v>
          </cell>
          <cell r="K1123">
            <v>54518.91</v>
          </cell>
          <cell r="L1123">
            <v>12975</v>
          </cell>
          <cell r="M1123">
            <v>240048</v>
          </cell>
          <cell r="N1123">
            <v>7010</v>
          </cell>
          <cell r="O1123">
            <v>4397</v>
          </cell>
          <cell r="P1123">
            <v>0</v>
          </cell>
          <cell r="Q1123">
            <v>0</v>
          </cell>
          <cell r="R1123">
            <v>145948.68250000002</v>
          </cell>
          <cell r="S1123">
            <v>13.835315038779886</v>
          </cell>
          <cell r="T1123">
            <v>0.45457799999999998</v>
          </cell>
          <cell r="U1123">
            <v>3.5543838684740348E-3</v>
          </cell>
          <cell r="V1123">
            <v>2.8000000000000001E-2</v>
          </cell>
          <cell r="W1123">
            <v>0.27448</v>
          </cell>
          <cell r="X1123">
            <v>9.3914998570000581</v>
          </cell>
          <cell r="Y1123">
            <v>9.61</v>
          </cell>
          <cell r="Z1123">
            <v>0</v>
          </cell>
          <cell r="AA1123">
            <v>0</v>
          </cell>
          <cell r="AB1123">
            <v>0</v>
          </cell>
          <cell r="AC1123">
            <v>0.20614644892919945</v>
          </cell>
          <cell r="AD1123">
            <v>7.9456996661446927E-2</v>
          </cell>
          <cell r="AE1123">
            <v>0</v>
          </cell>
          <cell r="AF1123">
            <v>14.653387965917876</v>
          </cell>
          <cell r="AG1123">
            <v>7.7383338585371542</v>
          </cell>
          <cell r="AH1123">
            <v>202604</v>
          </cell>
          <cell r="AJ1123" t="str">
            <v>SCB:Due to the unavailability of ullage, the dispatch of produced hydrocarbons has been affected.
LZC:Prod'n deferred due to DAS ullage constraints.
A1-A3 :Due to the Myanmar New Year holidays (11–19 Apr 2026),Consolidated DPRs will be issued on 20 Apr. 
Vankor : Repair of defective section of oil-gathering pipeline.</v>
          </cell>
        </row>
        <row r="1124">
          <cell r="C1124">
            <v>46132</v>
          </cell>
          <cell r="D1124">
            <v>336769</v>
          </cell>
          <cell r="E1124">
            <v>35101</v>
          </cell>
          <cell r="F1124">
            <v>22368.19</v>
          </cell>
          <cell r="G1124">
            <v>4469</v>
          </cell>
          <cell r="H1124">
            <v>1993</v>
          </cell>
          <cell r="I1124">
            <v>194964</v>
          </cell>
          <cell r="J1124">
            <v>156362</v>
          </cell>
          <cell r="K1124">
            <v>54309.46</v>
          </cell>
          <cell r="L1124">
            <v>16957</v>
          </cell>
          <cell r="M1124">
            <v>241991</v>
          </cell>
          <cell r="N1124">
            <v>6975</v>
          </cell>
          <cell r="O1124">
            <v>4479</v>
          </cell>
          <cell r="P1124">
            <v>0</v>
          </cell>
          <cell r="Q1124">
            <v>0</v>
          </cell>
          <cell r="R1124">
            <v>148766.64749999999</v>
          </cell>
          <cell r="S1124">
            <v>14.025604068560682</v>
          </cell>
          <cell r="T1124">
            <v>0.45399600000000001</v>
          </cell>
          <cell r="U1124">
            <v>3.6625541205220491E-3</v>
          </cell>
          <cell r="V1124">
            <v>2.8000000000000001E-2</v>
          </cell>
          <cell r="W1124">
            <v>0.27157999999999999</v>
          </cell>
          <cell r="X1124">
            <v>9.390905203781994</v>
          </cell>
          <cell r="Y1124">
            <v>9.82</v>
          </cell>
          <cell r="Z1124">
            <v>0</v>
          </cell>
          <cell r="AA1124">
            <v>0</v>
          </cell>
          <cell r="AB1124">
            <v>0</v>
          </cell>
          <cell r="AC1124">
            <v>0.20501377613288516</v>
          </cell>
          <cell r="AD1124">
            <v>8.1382540415181212E-2</v>
          </cell>
          <cell r="AE1124">
            <v>0</v>
          </cell>
          <cell r="AF1124">
            <v>14.681534884906286</v>
          </cell>
          <cell r="AG1124">
            <v>7.8007543417365577</v>
          </cell>
          <cell r="AH1124">
            <v>202604</v>
          </cell>
          <cell r="AJ1124" t="str">
            <v>SCB:Due to the unavailability of ullage, the dispatch of produced hydrocarbons has been affected.
LZC:Prod'n deferred due to DAS ullage constraints.</v>
          </cell>
        </row>
        <row r="1125">
          <cell r="C1125">
            <v>46133</v>
          </cell>
          <cell r="D1125">
            <v>313763</v>
          </cell>
          <cell r="E1125">
            <v>35107</v>
          </cell>
          <cell r="F1125">
            <v>22386.38</v>
          </cell>
          <cell r="G1125">
            <v>4495</v>
          </cell>
          <cell r="H1125">
            <v>1944</v>
          </cell>
          <cell r="I1125">
            <v>194926</v>
          </cell>
          <cell r="J1125">
            <v>159229</v>
          </cell>
          <cell r="K1125">
            <v>54343.39</v>
          </cell>
          <cell r="L1125">
            <v>10572</v>
          </cell>
          <cell r="M1125">
            <v>284465</v>
          </cell>
          <cell r="N1125">
            <v>7345</v>
          </cell>
          <cell r="O1125">
            <v>4459</v>
          </cell>
          <cell r="P1125">
            <v>0</v>
          </cell>
          <cell r="Q1125">
            <v>0</v>
          </cell>
          <cell r="R1125">
            <v>149009.65625000003</v>
          </cell>
          <cell r="S1125">
            <v>14.017109022588325</v>
          </cell>
          <cell r="T1125">
            <v>0.45293099999999997</v>
          </cell>
          <cell r="U1125">
            <v>3.6944105429183882E-3</v>
          </cell>
          <cell r="V1125">
            <v>2.8000000000000001E-2</v>
          </cell>
          <cell r="W1125">
            <v>0.28479000000000004</v>
          </cell>
          <cell r="X1125">
            <v>10.405043791961987</v>
          </cell>
          <cell r="Y1125">
            <v>9.8699999999999992</v>
          </cell>
          <cell r="Z1125">
            <v>0</v>
          </cell>
          <cell r="AA1125">
            <v>0</v>
          </cell>
          <cell r="AB1125">
            <v>0</v>
          </cell>
          <cell r="AC1125">
            <v>0.20133258954486374</v>
          </cell>
          <cell r="AD1125">
            <v>9.2822535657955466E-2</v>
          </cell>
          <cell r="AE1125">
            <v>0</v>
          </cell>
          <cell r="AF1125">
            <v>14.673577858512177</v>
          </cell>
          <cell r="AG1125">
            <v>8.0320744023632926</v>
          </cell>
          <cell r="AH1125">
            <v>202604</v>
          </cell>
          <cell r="AJ1125" t="str">
            <v>SCB:Due to the unavailability of ullage, the dispatch of produced hydrocarbons has been affected.
LZC:Prod'n deferred due to DAS ullage constraints.
SPOC:1,847 bbl transfer to Tharjiath COST tank level.</v>
          </cell>
        </row>
        <row r="1126">
          <cell r="C1126">
            <v>46134</v>
          </cell>
          <cell r="D1126">
            <v>313107</v>
          </cell>
          <cell r="E1126">
            <v>35013</v>
          </cell>
          <cell r="F1126">
            <v>22385.5</v>
          </cell>
          <cell r="G1126">
            <v>4541</v>
          </cell>
          <cell r="H1126">
            <v>1949</v>
          </cell>
          <cell r="I1126">
            <v>190051</v>
          </cell>
          <cell r="J1126">
            <v>158959</v>
          </cell>
          <cell r="K1126">
            <v>53941.54</v>
          </cell>
          <cell r="L1126">
            <v>13988</v>
          </cell>
          <cell r="M1126">
            <v>374627</v>
          </cell>
          <cell r="N1126">
            <v>7093</v>
          </cell>
          <cell r="O1126">
            <v>4473</v>
          </cell>
          <cell r="P1126">
            <v>0</v>
          </cell>
          <cell r="Q1126">
            <v>0</v>
          </cell>
          <cell r="R1126">
            <v>152255.27975000005</v>
          </cell>
          <cell r="S1126">
            <v>13.941219945235268</v>
          </cell>
          <cell r="T1126">
            <v>0.45361000000000001</v>
          </cell>
          <cell r="U1126">
            <v>3.7968607973450151E-3</v>
          </cell>
          <cell r="V1126">
            <v>3.1E-2</v>
          </cell>
          <cell r="W1126">
            <v>0.28005000000000002</v>
          </cell>
          <cell r="X1126">
            <v>10.395246172273868</v>
          </cell>
          <cell r="Y1126">
            <v>9.8000000000000007</v>
          </cell>
          <cell r="Z1126">
            <v>0</v>
          </cell>
          <cell r="AA1126">
            <v>0</v>
          </cell>
          <cell r="AB1126">
            <v>0</v>
          </cell>
          <cell r="AC1126">
            <v>0.19821773935499948</v>
          </cell>
          <cell r="AD1126">
            <v>0.10423421408082187</v>
          </cell>
          <cell r="AE1126">
            <v>0</v>
          </cell>
          <cell r="AF1126">
            <v>14.525226039014912</v>
          </cell>
          <cell r="AG1126">
            <v>7.985640681446819</v>
          </cell>
          <cell r="AH1126">
            <v>202604</v>
          </cell>
          <cell r="AJ1126" t="str">
            <v>SCB:Due to the unavailability of ullage, the dispatch of produced hydrocarbons has been affected.
LZC:Prod'n deferred due to DAS ullage constraints.</v>
          </cell>
        </row>
        <row r="1127">
          <cell r="C1127">
            <v>46135</v>
          </cell>
          <cell r="D1127">
            <v>312022</v>
          </cell>
          <cell r="E1127">
            <v>35006</v>
          </cell>
          <cell r="F1127">
            <v>22290.36</v>
          </cell>
          <cell r="G1127">
            <v>4565</v>
          </cell>
          <cell r="H1127">
            <v>1934</v>
          </cell>
          <cell r="I1127">
            <v>190027</v>
          </cell>
          <cell r="J1127">
            <v>156146</v>
          </cell>
          <cell r="K1127">
            <v>53110.559999999998</v>
          </cell>
          <cell r="L1127">
            <v>14070</v>
          </cell>
          <cell r="M1127">
            <v>396864</v>
          </cell>
          <cell r="N1127">
            <v>7191</v>
          </cell>
          <cell r="O1127">
            <v>4567</v>
          </cell>
          <cell r="P1127">
            <v>0</v>
          </cell>
          <cell r="Q1127">
            <v>0</v>
          </cell>
          <cell r="R1127">
            <v>152165.77299999999</v>
          </cell>
          <cell r="S1127">
            <v>14.118483237858456</v>
          </cell>
          <cell r="T1127">
            <v>0.45027400000000001</v>
          </cell>
          <cell r="U1127">
            <v>3.7100697443274333E-3</v>
          </cell>
          <cell r="V1127">
            <v>3.1E-2</v>
          </cell>
          <cell r="W1127">
            <v>0.27424999999999999</v>
          </cell>
          <cell r="X1127">
            <v>10.668022098446256</v>
          </cell>
          <cell r="Y1127">
            <v>9.74</v>
          </cell>
          <cell r="Z1127">
            <v>0</v>
          </cell>
          <cell r="AA1127">
            <v>0</v>
          </cell>
          <cell r="AB1127">
            <v>0</v>
          </cell>
          <cell r="AC1127">
            <v>0.19736823475776374</v>
          </cell>
          <cell r="AD1127">
            <v>8.8716596771316186E-2</v>
          </cell>
          <cell r="AE1127">
            <v>0</v>
          </cell>
          <cell r="AF1127">
            <v>14.659957468136497</v>
          </cell>
          <cell r="AG1127">
            <v>8.0396839485116978</v>
          </cell>
          <cell r="AH1127">
            <v>202604</v>
          </cell>
          <cell r="AJ1127" t="str">
            <v>SCB:Due to the unavailability of ullage, the dispatch of produced hydrocarbons has been affected.
LZC:Prod'n deferred due to DAS ullage constraints.</v>
          </cell>
        </row>
        <row r="1128">
          <cell r="C1128">
            <v>46136</v>
          </cell>
          <cell r="D1128">
            <v>301938</v>
          </cell>
          <cell r="E1128">
            <v>34824</v>
          </cell>
          <cell r="F1128">
            <v>22290.95</v>
          </cell>
          <cell r="G1128">
            <v>4606</v>
          </cell>
          <cell r="H1128">
            <v>1948</v>
          </cell>
          <cell r="I1128">
            <v>190906</v>
          </cell>
          <cell r="J1128">
            <v>156771</v>
          </cell>
          <cell r="K1128">
            <v>53403.38</v>
          </cell>
          <cell r="L1128">
            <v>13962</v>
          </cell>
          <cell r="M1128">
            <v>325872</v>
          </cell>
          <cell r="N1128">
            <v>7077</v>
          </cell>
          <cell r="O1128">
            <v>4620</v>
          </cell>
          <cell r="P1128">
            <v>0</v>
          </cell>
          <cell r="Q1128">
            <v>0</v>
          </cell>
          <cell r="R1128">
            <v>149411.019</v>
          </cell>
          <cell r="S1128">
            <v>14.281021784129555</v>
          </cell>
          <cell r="T1128">
            <v>0.449243</v>
          </cell>
          <cell r="U1128">
            <v>3.8315205849122316E-3</v>
          </cell>
          <cell r="V1128">
            <v>3.4000000000000002E-2</v>
          </cell>
          <cell r="W1128">
            <v>0.27339999999999998</v>
          </cell>
          <cell r="X1128">
            <v>10.295486015738488</v>
          </cell>
          <cell r="Y1128">
            <v>9.7100000000000009</v>
          </cell>
          <cell r="Z1128">
            <v>0</v>
          </cell>
          <cell r="AA1128">
            <v>0</v>
          </cell>
          <cell r="AB1128">
            <v>0</v>
          </cell>
          <cell r="AC1128">
            <v>0.2016157577439423</v>
          </cell>
          <cell r="AD1128">
            <v>8.387442056707263E-2</v>
          </cell>
          <cell r="AE1128">
            <v>0</v>
          </cell>
          <cell r="AF1128">
            <v>14.651150937145152</v>
          </cell>
          <cell r="AG1128">
            <v>7.9595358612268257</v>
          </cell>
          <cell r="AH1128">
            <v>202604</v>
          </cell>
          <cell r="AJ1128" t="str">
            <v>SCB:Due to the unavailability of ullage, the dispatch of produced hydrocarbons has been affected.
LZC:Prod'n deferred due to DAS ullage constraints.</v>
          </cell>
        </row>
        <row r="1129">
          <cell r="C1129">
            <v>46137</v>
          </cell>
          <cell r="D1129">
            <v>315427</v>
          </cell>
          <cell r="E1129">
            <v>34906</v>
          </cell>
          <cell r="F1129">
            <v>7278.68</v>
          </cell>
          <cell r="G1129">
            <v>4601</v>
          </cell>
          <cell r="H1129">
            <v>1937</v>
          </cell>
          <cell r="I1129">
            <v>191093</v>
          </cell>
          <cell r="J1129">
            <v>155570</v>
          </cell>
          <cell r="K1129">
            <v>53342.21</v>
          </cell>
          <cell r="L1129">
            <v>12371</v>
          </cell>
          <cell r="M1129">
            <v>444293</v>
          </cell>
          <cell r="N1129">
            <v>7275</v>
          </cell>
          <cell r="O1129">
            <v>4739</v>
          </cell>
          <cell r="P1129">
            <v>0</v>
          </cell>
          <cell r="Q1129">
            <v>0</v>
          </cell>
          <cell r="R1129">
            <v>143437.86199999999</v>
          </cell>
          <cell r="S1129">
            <v>14.309904940435569</v>
          </cell>
          <cell r="T1129">
            <v>0.44703399999999999</v>
          </cell>
          <cell r="U1129">
            <v>1.2895196617839029E-3</v>
          </cell>
          <cell r="V1129">
            <v>3.1E-2</v>
          </cell>
          <cell r="W1129">
            <v>0.28131</v>
          </cell>
          <cell r="X1129">
            <v>10.174856362931017</v>
          </cell>
          <cell r="Y1129">
            <v>9.66</v>
          </cell>
          <cell r="Z1129">
            <v>0</v>
          </cell>
          <cell r="AA1129">
            <v>0</v>
          </cell>
          <cell r="AB1129">
            <v>0</v>
          </cell>
          <cell r="AC1129">
            <v>0.19623556196144945</v>
          </cell>
          <cell r="AD1129">
            <v>9.2624317918600457E-2</v>
          </cell>
          <cell r="AE1129">
            <v>0</v>
          </cell>
          <cell r="AF1129">
            <v>14.63164064822864</v>
          </cell>
          <cell r="AG1129">
            <v>7.9286597212760137</v>
          </cell>
          <cell r="AH1129">
            <v>202604</v>
          </cell>
          <cell r="AJ1129" t="str">
            <v>SCB:Due to the unavailability of ullage, the dispatch of produced hydrocarbons has been affected.
CPO-5: Blockade from 0700 hrs by the dump trucks local transportation companies. All wells closed except Indico-3 &amp; Perico-1X.</v>
          </cell>
        </row>
        <row r="1130">
          <cell r="C1130">
            <v>46138</v>
          </cell>
          <cell r="D1130">
            <v>328888</v>
          </cell>
          <cell r="E1130">
            <v>34780</v>
          </cell>
          <cell r="F1130">
            <v>1204.43</v>
          </cell>
          <cell r="G1130">
            <v>4610</v>
          </cell>
          <cell r="H1130">
            <v>1933</v>
          </cell>
          <cell r="I1130">
            <v>191415</v>
          </cell>
          <cell r="J1130">
            <v>153893</v>
          </cell>
          <cell r="K1130">
            <v>53760.29</v>
          </cell>
          <cell r="L1130">
            <v>14339</v>
          </cell>
          <cell r="M1130">
            <v>463730</v>
          </cell>
          <cell r="N1130">
            <v>7184</v>
          </cell>
          <cell r="O1130">
            <v>4825</v>
          </cell>
          <cell r="P1130">
            <v>0</v>
          </cell>
          <cell r="Q1130">
            <v>0</v>
          </cell>
          <cell r="R1130">
            <v>140555.65125</v>
          </cell>
          <cell r="S1130">
            <v>14.327744536977516</v>
          </cell>
          <cell r="T1130">
            <v>0.447737</v>
          </cell>
          <cell r="U1130">
            <v>6.6663457427077106E-4</v>
          </cell>
          <cell r="V1130">
            <v>2.5999999999999999E-2</v>
          </cell>
          <cell r="W1130">
            <v>0.27564</v>
          </cell>
          <cell r="X1130">
            <v>10.18697596185158</v>
          </cell>
          <cell r="Y1130">
            <v>9.59</v>
          </cell>
          <cell r="Z1130">
            <v>0</v>
          </cell>
          <cell r="AA1130">
            <v>0</v>
          </cell>
          <cell r="AB1130">
            <v>0</v>
          </cell>
          <cell r="AC1130">
            <v>0.20048308494762804</v>
          </cell>
          <cell r="AD1130">
            <v>9.3077387037126175E-2</v>
          </cell>
          <cell r="AE1130">
            <v>0</v>
          </cell>
          <cell r="AF1130">
            <v>14.621927979000246</v>
          </cell>
          <cell r="AG1130">
            <v>7.9044225606660392</v>
          </cell>
          <cell r="AH1130">
            <v>202604</v>
          </cell>
          <cell r="AJ1130" t="str">
            <v>CPO-5: Blockade from 0700 hrs by the dump trucks local transportation companies. All wells closed except Indico-3 &amp; Perico-1X.</v>
          </cell>
        </row>
        <row r="1131">
          <cell r="C1131">
            <v>46139</v>
          </cell>
          <cell r="D1131">
            <v>302968</v>
          </cell>
          <cell r="E1131">
            <v>36195</v>
          </cell>
          <cell r="F1131">
            <v>1221.45</v>
          </cell>
          <cell r="G1131">
            <v>4561</v>
          </cell>
          <cell r="H1131">
            <v>1886</v>
          </cell>
          <cell r="I1131">
            <v>191366</v>
          </cell>
          <cell r="J1131">
            <v>156214</v>
          </cell>
          <cell r="K1131">
            <v>53017.86</v>
          </cell>
          <cell r="L1131">
            <v>13763</v>
          </cell>
          <cell r="M1131">
            <v>455890</v>
          </cell>
          <cell r="N1131">
            <v>7210</v>
          </cell>
          <cell r="O1131">
            <v>4884</v>
          </cell>
          <cell r="P1131">
            <v>0</v>
          </cell>
          <cell r="Q1131">
            <v>0</v>
          </cell>
          <cell r="R1131">
            <v>140101.90775000001</v>
          </cell>
          <cell r="S1131">
            <v>14.3</v>
          </cell>
          <cell r="T1131">
            <v>0.449349</v>
          </cell>
          <cell r="U1131">
            <v>6.5898903289564965E-4</v>
          </cell>
          <cell r="V1131">
            <v>2.5000000000000001E-2</v>
          </cell>
          <cell r="W1131">
            <v>0.27247000000000005</v>
          </cell>
          <cell r="X1131">
            <v>10.583383123741671</v>
          </cell>
          <cell r="Y1131">
            <v>9.4499999999999993</v>
          </cell>
          <cell r="Z1131">
            <v>0</v>
          </cell>
          <cell r="AA1131">
            <v>0</v>
          </cell>
          <cell r="AC1131">
            <v>0.1987840757531566</v>
          </cell>
          <cell r="AD1131">
            <v>8.6394617538871912E-2</v>
          </cell>
          <cell r="AE1131">
            <v>0</v>
          </cell>
          <cell r="AF1131">
            <v>14.63008322313371</v>
          </cell>
          <cell r="AG1131">
            <v>7.9417840980294612</v>
          </cell>
          <cell r="AH1131">
            <v>202604</v>
          </cell>
          <cell r="AJ1131" t="str">
            <v>CPO-5: Blockade from 0700 hrs by the dump trucks local transportation companies. All wells closed except Indico-3 &amp; Perico-1X.
Vankor : Decline in gas production due to low Associate Gas Production.</v>
          </cell>
        </row>
        <row r="1132">
          <cell r="C1132">
            <v>46140</v>
          </cell>
          <cell r="D1132">
            <v>306082</v>
          </cell>
          <cell r="E1132">
            <v>34233</v>
          </cell>
          <cell r="F1132">
            <v>18087.45</v>
          </cell>
          <cell r="G1132">
            <v>4437</v>
          </cell>
          <cell r="H1132">
            <v>1911</v>
          </cell>
          <cell r="I1132">
            <v>187214</v>
          </cell>
          <cell r="J1132">
            <v>151676</v>
          </cell>
          <cell r="K1132">
            <v>53017.86</v>
          </cell>
          <cell r="L1132">
            <v>13725</v>
          </cell>
          <cell r="M1132">
            <v>470527</v>
          </cell>
          <cell r="N1132">
            <v>7245</v>
          </cell>
          <cell r="O1132">
            <v>4928</v>
          </cell>
          <cell r="P1132">
            <v>0</v>
          </cell>
          <cell r="Q1132">
            <v>0</v>
          </cell>
          <cell r="R1132">
            <v>150019.93475000001</v>
          </cell>
          <cell r="S1132">
            <v>14.657635488904052</v>
          </cell>
          <cell r="T1132">
            <v>0.45</v>
          </cell>
          <cell r="U1132">
            <v>2.3941588063894075E-3</v>
          </cell>
          <cell r="V1132">
            <v>2.4E-2</v>
          </cell>
          <cell r="W1132">
            <v>0.27200000000000002</v>
          </cell>
          <cell r="X1132">
            <v>10.419</v>
          </cell>
          <cell r="Y1132">
            <v>9.42</v>
          </cell>
          <cell r="Z1132">
            <v>0</v>
          </cell>
          <cell r="AC1132">
            <v>0.19935041215131374</v>
          </cell>
          <cell r="AD1132">
            <v>9.3502139335744028E-2</v>
          </cell>
          <cell r="AE1132">
            <v>0</v>
          </cell>
          <cell r="AF1132">
            <v>14.661146774572629</v>
          </cell>
          <cell r="AG1132">
            <v>7.9189601907987335</v>
          </cell>
          <cell r="AH1132">
            <v>202604</v>
          </cell>
          <cell r="AJ1132" t="str">
            <v>CPO-5:Blockade lifted. However, the wells will be opened after dispatching existing stock as the storage tanks are full. All wells closed except Indico-3 &amp; Perico-1X.
Vankor : Decline in gas production due to low Associate Gas Production.</v>
          </cell>
        </row>
        <row r="1133">
          <cell r="C1133">
            <v>46141</v>
          </cell>
          <cell r="D1133">
            <v>328909</v>
          </cell>
          <cell r="E1133">
            <v>34912</v>
          </cell>
          <cell r="F1133">
            <v>22416.86</v>
          </cell>
          <cell r="G1133">
            <v>4375</v>
          </cell>
          <cell r="H1133">
            <v>1933</v>
          </cell>
          <cell r="I1133">
            <v>186261</v>
          </cell>
          <cell r="J1133">
            <v>154613</v>
          </cell>
          <cell r="K1133">
            <v>53126.55</v>
          </cell>
          <cell r="L1133">
            <v>12515</v>
          </cell>
          <cell r="M1133">
            <v>459223</v>
          </cell>
          <cell r="N1133">
            <v>7300</v>
          </cell>
          <cell r="O1133">
            <v>5837</v>
          </cell>
          <cell r="P1133">
            <v>0</v>
          </cell>
          <cell r="Q1133">
            <v>0</v>
          </cell>
          <cell r="R1133">
            <v>154118.31150000001</v>
          </cell>
          <cell r="S1133">
            <v>14.638380051366711</v>
          </cell>
          <cell r="T1133">
            <v>0.44841399999999998</v>
          </cell>
          <cell r="U1133">
            <v>2.3941588063894075E-3</v>
          </cell>
          <cell r="V1133">
            <v>2.3E-2</v>
          </cell>
          <cell r="W1133">
            <v>0.28100000000000003</v>
          </cell>
          <cell r="X1133">
            <v>10.29</v>
          </cell>
          <cell r="Y1133">
            <v>9.89</v>
          </cell>
          <cell r="Z1133">
            <v>0</v>
          </cell>
          <cell r="AA1133">
            <v>0</v>
          </cell>
          <cell r="AB1133">
            <v>0</v>
          </cell>
          <cell r="AC1133">
            <v>0.20303159873933516</v>
          </cell>
          <cell r="AD1133">
            <v>9.2312832899614033E-2</v>
          </cell>
          <cell r="AE1133">
            <v>0</v>
          </cell>
          <cell r="AF1133">
            <v>14.663298852885626</v>
          </cell>
          <cell r="AG1133">
            <v>8.0231638105142054</v>
          </cell>
          <cell r="AH1133">
            <v>202604</v>
          </cell>
          <cell r="AJ1133" t="str">
            <v>CPO-5:Blockade lifted and all the wells  were opened gradually.
SPOC: 272 bbl transfer to Tharjiath COST tank level.</v>
          </cell>
        </row>
        <row r="1134">
          <cell r="C1134">
            <v>46142</v>
          </cell>
          <cell r="D1134">
            <v>322311</v>
          </cell>
          <cell r="E1134">
            <v>34893</v>
          </cell>
          <cell r="F1134">
            <v>22580</v>
          </cell>
          <cell r="G1134">
            <v>4371</v>
          </cell>
          <cell r="H1134">
            <v>1895</v>
          </cell>
          <cell r="I1134">
            <v>191380</v>
          </cell>
          <cell r="J1134">
            <v>154988</v>
          </cell>
          <cell r="K1134">
            <v>54088.59</v>
          </cell>
          <cell r="L1134">
            <v>13981</v>
          </cell>
          <cell r="M1134">
            <v>460584</v>
          </cell>
          <cell r="N1134">
            <v>7272</v>
          </cell>
          <cell r="O1134">
            <v>5125</v>
          </cell>
          <cell r="P1134">
            <v>0</v>
          </cell>
          <cell r="Q1134">
            <v>0</v>
          </cell>
          <cell r="R1134">
            <v>155476.43050000005</v>
          </cell>
          <cell r="S1134">
            <v>14.399102923145318</v>
          </cell>
          <cell r="T1134">
            <v>0.45678200000000002</v>
          </cell>
          <cell r="U1134">
            <v>3.7683740765177107E-3</v>
          </cell>
          <cell r="V1134">
            <v>2.3E-2</v>
          </cell>
          <cell r="W1134">
            <v>0.27544000000000002</v>
          </cell>
          <cell r="X1134">
            <v>10.510999999999999</v>
          </cell>
          <cell r="Y1134">
            <v>10.07</v>
          </cell>
          <cell r="Z1134">
            <v>0</v>
          </cell>
          <cell r="AA1134">
            <v>0</v>
          </cell>
          <cell r="AB1134">
            <v>0</v>
          </cell>
          <cell r="AC1134">
            <v>0.20359793513749233</v>
          </cell>
          <cell r="AD1134">
            <v>8.9396200449104762E-2</v>
          </cell>
          <cell r="AE1134">
            <v>0</v>
          </cell>
          <cell r="AF1134">
            <v>14.331765525404435</v>
          </cell>
          <cell r="AG1134">
            <v>8.0463992928655212</v>
          </cell>
          <cell r="AH1134">
            <v>202604</v>
          </cell>
        </row>
        <row r="1135">
          <cell r="C1135">
            <v>46143</v>
          </cell>
          <cell r="D1135">
            <v>329110</v>
          </cell>
          <cell r="E1135">
            <v>35025</v>
          </cell>
          <cell r="F1135">
            <v>9102</v>
          </cell>
          <cell r="G1135">
            <v>4345</v>
          </cell>
          <cell r="H1135">
            <v>1917</v>
          </cell>
          <cell r="I1135">
            <v>189393</v>
          </cell>
          <cell r="J1135">
            <v>153957</v>
          </cell>
          <cell r="K1135">
            <v>53842.32</v>
          </cell>
          <cell r="L1135">
            <v>14776</v>
          </cell>
          <cell r="M1135">
            <v>423906</v>
          </cell>
          <cell r="N1135">
            <v>7108</v>
          </cell>
          <cell r="O1135">
            <v>5342</v>
          </cell>
          <cell r="P1135">
            <v>0</v>
          </cell>
          <cell r="Q1135">
            <v>0</v>
          </cell>
          <cell r="R1135">
            <v>144351.7475</v>
          </cell>
          <cell r="S1135">
            <v>14.202867361183866</v>
          </cell>
          <cell r="T1135">
            <v>0.472912</v>
          </cell>
          <cell r="U1135">
            <v>1.6720515819191441E-3</v>
          </cell>
          <cell r="V1135">
            <v>2.3E-2</v>
          </cell>
          <cell r="W1135">
            <v>0.28175</v>
          </cell>
          <cell r="X1135">
            <v>8.5679999999999996</v>
          </cell>
          <cell r="Y1135">
            <v>10.08</v>
          </cell>
          <cell r="Z1135">
            <v>0</v>
          </cell>
          <cell r="AA1135">
            <v>0</v>
          </cell>
          <cell r="AB1135">
            <v>0</v>
          </cell>
          <cell r="AC1135">
            <v>0.1996335803503923</v>
          </cell>
          <cell r="AD1135">
            <v>9.5201148530215454E-2</v>
          </cell>
          <cell r="AE1135">
            <v>0</v>
          </cell>
          <cell r="AF1135">
            <v>14.672133700696877</v>
          </cell>
          <cell r="AG1135">
            <v>7.7250729926837263</v>
          </cell>
          <cell r="AH1135">
            <v>202605</v>
          </cell>
          <cell r="AJ1135" t="str">
            <v>CPO-5:Prod'n deferred due to community blocked.</v>
          </cell>
        </row>
        <row r="1136">
          <cell r="C1136">
            <v>46144</v>
          </cell>
          <cell r="D1136">
            <v>325172</v>
          </cell>
          <cell r="E1136">
            <v>34843</v>
          </cell>
          <cell r="F1136">
            <v>22315.86</v>
          </cell>
          <cell r="G1136">
            <v>4155</v>
          </cell>
          <cell r="H1136">
            <v>1878</v>
          </cell>
          <cell r="I1136">
            <v>187915</v>
          </cell>
          <cell r="J1136">
            <v>153982</v>
          </cell>
          <cell r="K1136">
            <v>53498.61</v>
          </cell>
          <cell r="L1136">
            <v>13054</v>
          </cell>
          <cell r="M1136">
            <v>438894</v>
          </cell>
          <cell r="N1136">
            <v>6893</v>
          </cell>
          <cell r="O1136">
            <v>5113</v>
          </cell>
          <cell r="P1136">
            <v>0</v>
          </cell>
          <cell r="Q1136">
            <v>0</v>
          </cell>
          <cell r="R1136">
            <v>152996.93300000002</v>
          </cell>
          <cell r="S1136">
            <v>14.254120805217093</v>
          </cell>
          <cell r="T1136">
            <v>0.47832799999999998</v>
          </cell>
          <cell r="U1136">
            <v>3.2250875697655648E-3</v>
          </cell>
          <cell r="V1136">
            <v>1.9E-2</v>
          </cell>
          <cell r="W1136">
            <v>0.27155000000000001</v>
          </cell>
          <cell r="X1136">
            <v>8.532</v>
          </cell>
          <cell r="Y1136">
            <v>10.130000000000001</v>
          </cell>
          <cell r="Z1136">
            <v>0</v>
          </cell>
          <cell r="AA1136">
            <v>0</v>
          </cell>
          <cell r="AB1136">
            <v>0</v>
          </cell>
          <cell r="AC1136">
            <v>0.19765140295684233</v>
          </cell>
          <cell r="AD1136">
            <v>8.5771647500899051E-2</v>
          </cell>
          <cell r="AE1136">
            <v>0</v>
          </cell>
          <cell r="AF1136">
            <v>14.644921236765427</v>
          </cell>
          <cell r="AG1136">
            <v>7.7130185171283348</v>
          </cell>
          <cell r="AH1136">
            <v>202605</v>
          </cell>
        </row>
        <row r="1137">
          <cell r="C1137">
            <v>46145</v>
          </cell>
          <cell r="D1137">
            <v>333127</v>
          </cell>
          <cell r="E1137">
            <v>35157</v>
          </cell>
          <cell r="F1137">
            <v>22378</v>
          </cell>
          <cell r="G1137">
            <v>4166</v>
          </cell>
          <cell r="H1137">
            <v>1918</v>
          </cell>
          <cell r="I1137">
            <v>188996</v>
          </cell>
          <cell r="J1137">
            <v>155364</v>
          </cell>
          <cell r="K1137">
            <v>54978.91</v>
          </cell>
          <cell r="L1137">
            <v>11182</v>
          </cell>
          <cell r="M1137">
            <v>424183</v>
          </cell>
          <cell r="N1137">
            <v>6481</v>
          </cell>
          <cell r="O1137">
            <v>5242</v>
          </cell>
          <cell r="P1137">
            <v>0</v>
          </cell>
          <cell r="Q1137">
            <v>0</v>
          </cell>
          <cell r="R1137">
            <v>153315.20975000001</v>
          </cell>
          <cell r="S1137">
            <v>14.132641647812381</v>
          </cell>
          <cell r="T1137">
            <v>0.48770799999999997</v>
          </cell>
          <cell r="U1137">
            <v>3.5872880132069647E-3</v>
          </cell>
          <cell r="V1137">
            <v>2.1732768E-2</v>
          </cell>
          <cell r="W1137">
            <v>0.28052999999999995</v>
          </cell>
          <cell r="X1137">
            <v>8.5389999999999997</v>
          </cell>
          <cell r="Y1137">
            <v>10.1</v>
          </cell>
          <cell r="Z1137">
            <v>0</v>
          </cell>
          <cell r="AA1137">
            <v>0</v>
          </cell>
          <cell r="AB1137">
            <v>0</v>
          </cell>
          <cell r="AC1137">
            <v>0.19453655276697804</v>
          </cell>
          <cell r="AD1137">
            <v>9.2737585198231887E-2</v>
          </cell>
          <cell r="AE1137">
            <v>0</v>
          </cell>
          <cell r="AF1137">
            <v>14.611932141572771</v>
          </cell>
          <cell r="AG1137">
            <v>7.7127798311495432</v>
          </cell>
          <cell r="AH1137">
            <v>202605</v>
          </cell>
          <cell r="AJ1137" t="str">
            <v>SPOC: 2,549 bbl transfer to Tharjiath COST tank level.</v>
          </cell>
        </row>
        <row r="1138">
          <cell r="C1138">
            <v>46146</v>
          </cell>
          <cell r="D1138">
            <v>333108</v>
          </cell>
          <cell r="E1138">
            <v>35308</v>
          </cell>
          <cell r="F1138">
            <v>22358</v>
          </cell>
          <cell r="G1138">
            <v>4176</v>
          </cell>
          <cell r="H1138">
            <v>1922</v>
          </cell>
          <cell r="I1138">
            <v>190834</v>
          </cell>
          <cell r="J1138">
            <v>156530</v>
          </cell>
          <cell r="K1138">
            <v>53766.879999999997</v>
          </cell>
          <cell r="L1138">
            <v>13768</v>
          </cell>
          <cell r="M1138">
            <v>273222</v>
          </cell>
          <cell r="N1138">
            <v>6883</v>
          </cell>
          <cell r="O1138">
            <v>5121</v>
          </cell>
          <cell r="P1138">
            <v>0</v>
          </cell>
          <cell r="Q1138">
            <v>0</v>
          </cell>
          <cell r="R1138">
            <v>148299.429</v>
          </cell>
          <cell r="S1138">
            <v>14.226087153508312</v>
          </cell>
          <cell r="T1138">
            <v>0.49599399999999999</v>
          </cell>
          <cell r="U1138">
            <v>3.4775320192441108E-3</v>
          </cell>
          <cell r="V1138">
            <v>2.1000000000000001E-2</v>
          </cell>
          <cell r="W1138">
            <v>0.27085999999999999</v>
          </cell>
          <cell r="X1138">
            <v>8.5319427886970569</v>
          </cell>
          <cell r="Y1138">
            <v>10</v>
          </cell>
          <cell r="Z1138">
            <v>0</v>
          </cell>
          <cell r="AA1138">
            <v>0</v>
          </cell>
          <cell r="AB1138">
            <v>0</v>
          </cell>
          <cell r="AC1138">
            <v>0.19538605736421377</v>
          </cell>
          <cell r="AD1138">
            <v>8.7187488496291918E-2</v>
          </cell>
          <cell r="AE1138">
            <v>0</v>
          </cell>
          <cell r="AF1138">
            <v>14.630479658612419</v>
          </cell>
          <cell r="AG1138">
            <v>7.6813289906522213</v>
          </cell>
          <cell r="AH1138">
            <v>202605</v>
          </cell>
        </row>
        <row r="1139">
          <cell r="C1139">
            <v>46147</v>
          </cell>
          <cell r="D1139">
            <v>332005</v>
          </cell>
          <cell r="E1139">
            <v>34950</v>
          </cell>
          <cell r="F1139">
            <v>22322.13</v>
          </cell>
          <cell r="G1139">
            <v>4224</v>
          </cell>
          <cell r="H1139">
            <v>1910</v>
          </cell>
          <cell r="I1139">
            <v>190757</v>
          </cell>
          <cell r="J1139">
            <v>158520</v>
          </cell>
          <cell r="K1139">
            <v>54310.39</v>
          </cell>
          <cell r="L1139">
            <v>11773</v>
          </cell>
          <cell r="M1139">
            <v>165947</v>
          </cell>
          <cell r="N1139">
            <v>6638</v>
          </cell>
          <cell r="O1139">
            <v>5169</v>
          </cell>
          <cell r="P1139">
            <v>0</v>
          </cell>
          <cell r="Q1139">
            <v>0</v>
          </cell>
          <cell r="R1139">
            <v>144015.231</v>
          </cell>
          <cell r="S1139">
            <v>14.156710944734064</v>
          </cell>
          <cell r="T1139">
            <v>0.50014000000000003</v>
          </cell>
          <cell r="U1139">
            <v>3.4775320192441108E-3</v>
          </cell>
          <cell r="V1139">
            <v>2.1999999999999999E-2</v>
          </cell>
          <cell r="W1139">
            <v>0.28170000000000001</v>
          </cell>
          <cell r="X1139">
            <v>8.52</v>
          </cell>
          <cell r="Y1139">
            <v>9.66</v>
          </cell>
          <cell r="Z1139">
            <v>0</v>
          </cell>
          <cell r="AA1139">
            <v>0</v>
          </cell>
          <cell r="AB1139">
            <v>0</v>
          </cell>
          <cell r="AC1139">
            <v>0.19397021636882089</v>
          </cell>
          <cell r="AD1139">
            <v>9.9618572435841157E-2</v>
          </cell>
          <cell r="AE1139">
            <v>0</v>
          </cell>
          <cell r="AF1139">
            <v>14.634528963859241</v>
          </cell>
          <cell r="AG1139">
            <v>7.6064756717644482</v>
          </cell>
          <cell r="AH1139">
            <v>202605</v>
          </cell>
          <cell r="AJ1139" t="str">
            <v>SPOC: 1,949 bbl transfer to Tharjiath COST tank level.</v>
          </cell>
        </row>
        <row r="1140">
          <cell r="C1140">
            <v>46148</v>
          </cell>
          <cell r="D1140">
            <v>307722</v>
          </cell>
          <cell r="E1140">
            <v>32459</v>
          </cell>
          <cell r="F1140">
            <v>22238</v>
          </cell>
          <cell r="G1140">
            <v>4232</v>
          </cell>
          <cell r="H1140">
            <v>1935</v>
          </cell>
          <cell r="I1140">
            <v>190556</v>
          </cell>
          <cell r="J1140">
            <v>154463</v>
          </cell>
          <cell r="K1140">
            <v>53960.99</v>
          </cell>
          <cell r="L1140">
            <v>13005</v>
          </cell>
          <cell r="M1140">
            <v>153402</v>
          </cell>
          <cell r="N1140">
            <v>7428</v>
          </cell>
          <cell r="O1140">
            <v>5223</v>
          </cell>
          <cell r="P1140">
            <v>0</v>
          </cell>
          <cell r="Q1140">
            <v>0</v>
          </cell>
          <cell r="R1140">
            <v>141324.04224999997</v>
          </cell>
          <cell r="S1140">
            <v>14.27422574735167</v>
          </cell>
          <cell r="T1140">
            <v>0.33772200000000002</v>
          </cell>
          <cell r="U1140">
            <v>3.5976236524733326E-3</v>
          </cell>
          <cell r="V1140">
            <v>2.3E-2</v>
          </cell>
          <cell r="W1140">
            <v>0.27323000000000003</v>
          </cell>
          <cell r="X1140">
            <v>8.5039999999999996</v>
          </cell>
          <cell r="Y1140">
            <v>10.029999999999999</v>
          </cell>
          <cell r="Z1140">
            <v>0</v>
          </cell>
          <cell r="AA1140">
            <v>0</v>
          </cell>
          <cell r="AB1140">
            <v>0</v>
          </cell>
          <cell r="AC1140">
            <v>0.19028902978079948</v>
          </cell>
          <cell r="AD1140">
            <v>9.4266693473256183E-2</v>
          </cell>
          <cell r="AE1140">
            <v>0</v>
          </cell>
          <cell r="AF1140">
            <v>14.630791143631406</v>
          </cell>
          <cell r="AG1140">
            <v>7.647909008192566</v>
          </cell>
          <cell r="AH1140">
            <v>202605</v>
          </cell>
          <cell r="AJ1140" t="str">
            <v xml:space="preserve">_x000D_
</v>
          </cell>
        </row>
        <row r="1141">
          <cell r="C1141">
            <v>46149</v>
          </cell>
          <cell r="D1141">
            <v>355827</v>
          </cell>
          <cell r="E1141">
            <v>33478</v>
          </cell>
          <cell r="F1141">
            <v>22255</v>
          </cell>
          <cell r="G1141">
            <v>4291</v>
          </cell>
          <cell r="H1141">
            <v>1935</v>
          </cell>
          <cell r="I1141">
            <v>189971</v>
          </cell>
          <cell r="J1141">
            <v>155883</v>
          </cell>
          <cell r="K1141">
            <v>50896.81</v>
          </cell>
          <cell r="L1141">
            <v>13182</v>
          </cell>
          <cell r="M1141">
            <v>77474</v>
          </cell>
          <cell r="N1141">
            <v>6755</v>
          </cell>
          <cell r="O1141">
            <v>5222</v>
          </cell>
          <cell r="P1141">
            <v>0</v>
          </cell>
          <cell r="Q1141">
            <v>0</v>
          </cell>
          <cell r="R1141">
            <v>139464.94974999997</v>
          </cell>
          <cell r="S1141">
            <v>14.129809965821595</v>
          </cell>
          <cell r="T1141">
            <v>0.277721</v>
          </cell>
          <cell r="U1141">
            <v>3.6122068147258785E-3</v>
          </cell>
          <cell r="V1141">
            <v>2.4E-2</v>
          </cell>
          <cell r="W1141">
            <v>0.27444000000000002</v>
          </cell>
          <cell r="X1141">
            <v>8.5072505217374061</v>
          </cell>
          <cell r="Y1141">
            <v>10</v>
          </cell>
          <cell r="Z1141">
            <v>0</v>
          </cell>
          <cell r="AA1141">
            <v>0</v>
          </cell>
          <cell r="AB1141">
            <v>0</v>
          </cell>
          <cell r="AC1141">
            <v>0.19651873016052807</v>
          </cell>
          <cell r="AD1141">
            <v>9.6616989525608307E-2</v>
          </cell>
          <cell r="AE1141">
            <v>0</v>
          </cell>
          <cell r="AF1141">
            <v>14.628185996199884</v>
          </cell>
          <cell r="AG1141">
            <v>7.6232271913296454</v>
          </cell>
          <cell r="AH1141">
            <v>202605</v>
          </cell>
        </row>
        <row r="1142">
          <cell r="C1142">
            <v>46150</v>
          </cell>
          <cell r="D1142">
            <v>348493</v>
          </cell>
          <cell r="E1142">
            <v>33642</v>
          </cell>
          <cell r="F1142">
            <v>22230</v>
          </cell>
          <cell r="G1142">
            <v>4335</v>
          </cell>
          <cell r="H1142">
            <v>1912</v>
          </cell>
          <cell r="I1142">
            <v>189396</v>
          </cell>
          <cell r="J1142">
            <v>157190</v>
          </cell>
          <cell r="K1142">
            <v>50693.85</v>
          </cell>
          <cell r="L1142">
            <v>12488</v>
          </cell>
          <cell r="M1142">
            <v>76357</v>
          </cell>
          <cell r="N1142">
            <v>6753</v>
          </cell>
          <cell r="O1142">
            <v>5285</v>
          </cell>
          <cell r="P1142">
            <v>0</v>
          </cell>
          <cell r="Q1142">
            <v>0</v>
          </cell>
          <cell r="R1142">
            <v>139263.16274999999</v>
          </cell>
          <cell r="S1142">
            <v>14.091582258945991</v>
          </cell>
          <cell r="T1142">
            <v>0.27341700000000002</v>
          </cell>
          <cell r="U1142">
            <v>3.7308542901397998E-3</v>
          </cell>
          <cell r="V1142">
            <v>2.1999999999999999E-2</v>
          </cell>
          <cell r="W1142">
            <v>0.27260000000000001</v>
          </cell>
          <cell r="X1142">
            <v>8.5108184410457959</v>
          </cell>
          <cell r="Y1142">
            <v>10.06</v>
          </cell>
          <cell r="Z1142">
            <v>0</v>
          </cell>
          <cell r="AA1142">
            <v>0</v>
          </cell>
          <cell r="AB1142">
            <v>0</v>
          </cell>
          <cell r="AC1142">
            <v>0.19340387997066377</v>
          </cell>
          <cell r="AD1142">
            <v>8.5176994282834054E-2</v>
          </cell>
          <cell r="AE1142">
            <v>0</v>
          </cell>
          <cell r="AF1142">
            <v>14.61221530977185</v>
          </cell>
          <cell r="AG1142">
            <v>7.6267868864544521</v>
          </cell>
          <cell r="AH1142">
            <v>202605</v>
          </cell>
          <cell r="AJ1142" t="str">
            <v>SPOC: 1,246 bbl transfer to Tharjiath COST tank level.</v>
          </cell>
        </row>
        <row r="1143">
          <cell r="C1143">
            <v>46151</v>
          </cell>
          <cell r="D1143">
            <v>354259</v>
          </cell>
          <cell r="E1143">
            <v>33704</v>
          </cell>
          <cell r="F1143">
            <v>22203</v>
          </cell>
          <cell r="G1143">
            <v>4404</v>
          </cell>
          <cell r="H1143">
            <v>1820</v>
          </cell>
          <cell r="I1143">
            <v>190146</v>
          </cell>
          <cell r="J1143">
            <v>157467</v>
          </cell>
          <cell r="K1143">
            <v>52218.28</v>
          </cell>
          <cell r="L1143">
            <v>11192</v>
          </cell>
          <cell r="M1143">
            <v>77586</v>
          </cell>
          <cell r="N1143">
            <v>6870</v>
          </cell>
          <cell r="O1143">
            <v>5339</v>
          </cell>
          <cell r="P1143">
            <v>0</v>
          </cell>
          <cell r="Q1143">
            <v>0</v>
          </cell>
          <cell r="R1143">
            <v>139746.25575000001</v>
          </cell>
          <cell r="S1143">
            <v>13.997570416851904</v>
          </cell>
          <cell r="T1143">
            <v>0.26392199999999999</v>
          </cell>
          <cell r="U1143">
            <v>3.7994093111367224E-3</v>
          </cell>
          <cell r="V1143">
            <v>2.3E-2</v>
          </cell>
          <cell r="W1143">
            <v>0.25944</v>
          </cell>
          <cell r="X1143">
            <v>8.5491877320209433</v>
          </cell>
          <cell r="Y1143">
            <v>10.039999999999999</v>
          </cell>
          <cell r="Z1143">
            <v>0</v>
          </cell>
          <cell r="AA1143">
            <v>0</v>
          </cell>
          <cell r="AB1143">
            <v>0</v>
          </cell>
          <cell r="AC1143">
            <v>0.19680189835960663</v>
          </cell>
          <cell r="AD1143">
            <v>8.6111449339793339E-2</v>
          </cell>
          <cell r="AE1143">
            <v>0</v>
          </cell>
          <cell r="AF1143">
            <v>14.602446006903641</v>
          </cell>
          <cell r="AG1143">
            <v>7.6103740308262005</v>
          </cell>
          <cell r="AH1143">
            <v>202605</v>
          </cell>
          <cell r="AJ1143" t="str">
            <v>SPOC: 2,923 bbl transfer to Tharjiath COST tank level.</v>
          </cell>
        </row>
        <row r="1144">
          <cell r="C1144">
            <v>46152</v>
          </cell>
          <cell r="D1144">
            <v>322259</v>
          </cell>
          <cell r="E1144">
            <v>33610</v>
          </cell>
          <cell r="F1144">
            <v>22097</v>
          </cell>
          <cell r="G1144">
            <v>4463</v>
          </cell>
          <cell r="H1144">
            <v>1943</v>
          </cell>
          <cell r="I1144">
            <v>187922</v>
          </cell>
          <cell r="J1144">
            <v>158086</v>
          </cell>
          <cell r="K1144">
            <v>52467.31</v>
          </cell>
          <cell r="L1144">
            <v>12427</v>
          </cell>
          <cell r="M1144">
            <v>81580</v>
          </cell>
          <cell r="N1144">
            <v>6776</v>
          </cell>
          <cell r="O1144">
            <v>5370</v>
          </cell>
          <cell r="P1144">
            <v>0</v>
          </cell>
          <cell r="Q1144">
            <v>0</v>
          </cell>
          <cell r="R1144">
            <v>139101.337</v>
          </cell>
          <cell r="S1144">
            <v>16.221856620614073</v>
          </cell>
          <cell r="T1144">
            <v>0.26492500000000002</v>
          </cell>
          <cell r="U1144">
            <v>3.6381450217614756E-3</v>
          </cell>
          <cell r="V1144">
            <v>2.2208544E-2</v>
          </cell>
          <cell r="W1144">
            <v>0.27994000000000002</v>
          </cell>
          <cell r="X1144">
            <v>8.5191719029186146</v>
          </cell>
          <cell r="Y1144">
            <v>10.1</v>
          </cell>
          <cell r="Z1144">
            <v>0</v>
          </cell>
          <cell r="AA1144">
            <v>0</v>
          </cell>
          <cell r="AB1144">
            <v>0</v>
          </cell>
          <cell r="AC1144">
            <v>0.19538605736421377</v>
          </cell>
          <cell r="AD1144">
            <v>8.6762736197674051E-2</v>
          </cell>
          <cell r="AE1144">
            <v>0</v>
          </cell>
          <cell r="AF1144">
            <v>14.59423412913036</v>
          </cell>
          <cell r="AG1144">
            <v>7.7041150714779789</v>
          </cell>
          <cell r="AH1144">
            <v>202605</v>
          </cell>
          <cell r="AJ1144" t="str">
            <v>SPOC: 1,031 bbl transfer to Tharjiath COST tank level.</v>
          </cell>
        </row>
        <row r="1145">
          <cell r="C1145">
            <v>46153</v>
          </cell>
          <cell r="D1145">
            <v>343687</v>
          </cell>
          <cell r="E1145">
            <v>33346</v>
          </cell>
          <cell r="F1145">
            <v>22310</v>
          </cell>
          <cell r="G1145">
            <v>4405</v>
          </cell>
          <cell r="H1145">
            <v>1880</v>
          </cell>
          <cell r="I1145">
            <v>189597</v>
          </cell>
          <cell r="J1145">
            <v>156603</v>
          </cell>
          <cell r="K1145">
            <v>48295.01</v>
          </cell>
          <cell r="L1145">
            <v>12200</v>
          </cell>
          <cell r="M1145">
            <v>79883</v>
          </cell>
          <cell r="N1145">
            <v>6986</v>
          </cell>
          <cell r="O1145">
            <v>5375</v>
          </cell>
          <cell r="P1145">
            <v>0</v>
          </cell>
          <cell r="Q1145">
            <v>0</v>
          </cell>
          <cell r="R1145">
            <v>138522.72725</v>
          </cell>
          <cell r="S1145">
            <v>14.475558336896533</v>
          </cell>
          <cell r="T1145">
            <v>0.26504299999999997</v>
          </cell>
          <cell r="U1145">
            <v>2.6942321469529684E-3</v>
          </cell>
          <cell r="V1145">
            <v>2.1000000000000001E-2</v>
          </cell>
          <cell r="W1145">
            <v>0.28169</v>
          </cell>
          <cell r="X1145">
            <v>8.0337366592382207</v>
          </cell>
          <cell r="Y1145">
            <v>10.11</v>
          </cell>
          <cell r="Z1145">
            <v>0</v>
          </cell>
          <cell r="AA1145">
            <v>0</v>
          </cell>
          <cell r="AB1145">
            <v>0</v>
          </cell>
          <cell r="AC1145">
            <v>0.19397021636882089</v>
          </cell>
          <cell r="AD1145">
            <v>0.11122846859806255</v>
          </cell>
          <cell r="AE1145">
            <v>0</v>
          </cell>
          <cell r="AF1145">
            <v>14.600407195870275</v>
          </cell>
          <cell r="AG1145">
            <v>7.5704063577396106</v>
          </cell>
          <cell r="AH1145">
            <v>202605</v>
          </cell>
          <cell r="AJ1145" t="str">
            <v>SPOC: 1,167 bbl transfer to Tharjiath COST tank level.</v>
          </cell>
        </row>
        <row r="1146">
          <cell r="C1146">
            <v>46154</v>
          </cell>
          <cell r="D1146">
            <v>316576</v>
          </cell>
          <cell r="E1146">
            <v>33308</v>
          </cell>
          <cell r="F1146">
            <v>22210</v>
          </cell>
          <cell r="G1146">
            <v>4432</v>
          </cell>
          <cell r="H1146">
            <v>1887</v>
          </cell>
          <cell r="I1146">
            <v>188969</v>
          </cell>
          <cell r="J1146">
            <v>158130</v>
          </cell>
          <cell r="K1146">
            <v>51034.36</v>
          </cell>
          <cell r="L1146">
            <v>12090</v>
          </cell>
          <cell r="M1146">
            <v>82571</v>
          </cell>
          <cell r="N1146">
            <v>7168</v>
          </cell>
          <cell r="O1146">
            <v>5539</v>
          </cell>
          <cell r="P1146">
            <v>0</v>
          </cell>
          <cell r="Q1146">
            <v>0</v>
          </cell>
          <cell r="R1146">
            <v>138792.83050000001</v>
          </cell>
          <cell r="S1146">
            <v>14.791857215267296</v>
          </cell>
          <cell r="T1146">
            <v>0.267627</v>
          </cell>
          <cell r="U1146">
            <v>3.4355948089605745E-3</v>
          </cell>
          <cell r="V1146">
            <v>2.1999999999999999E-2</v>
          </cell>
          <cell r="W1146">
            <v>0.25577</v>
          </cell>
          <cell r="X1146">
            <v>8.5190000000000001</v>
          </cell>
          <cell r="Y1146">
            <v>9.92</v>
          </cell>
          <cell r="Z1146">
            <v>0</v>
          </cell>
          <cell r="AA1146">
            <v>0</v>
          </cell>
          <cell r="AB1146">
            <v>0</v>
          </cell>
          <cell r="AC1146">
            <v>0.19765140295684233</v>
          </cell>
          <cell r="AD1146">
            <v>8.9566101368551893E-2</v>
          </cell>
          <cell r="AE1146">
            <v>0</v>
          </cell>
          <cell r="AF1146">
            <v>14.589222052006672</v>
          </cell>
          <cell r="AG1146">
            <v>7.5924269572603773</v>
          </cell>
          <cell r="AH1146">
            <v>202605</v>
          </cell>
          <cell r="AJ1146" t="str">
            <v>GPOC:Prod'n deferred due to power trip. 
SPOC: 2,526 bbl transfer to Tharjiath COST tank level.</v>
          </cell>
        </row>
        <row r="1147">
          <cell r="C1147">
            <v>46155</v>
          </cell>
          <cell r="D1147">
            <v>321852</v>
          </cell>
          <cell r="E1147">
            <v>28560</v>
          </cell>
          <cell r="F1147">
            <v>22154.19</v>
          </cell>
          <cell r="G1147">
            <v>4502</v>
          </cell>
          <cell r="H1147">
            <v>1855</v>
          </cell>
          <cell r="I1147">
            <v>186823</v>
          </cell>
          <cell r="J1147">
            <v>156544</v>
          </cell>
          <cell r="K1147">
            <v>50973.94</v>
          </cell>
          <cell r="L1147">
            <v>10908</v>
          </cell>
          <cell r="M1147">
            <v>90614</v>
          </cell>
          <cell r="N1147">
            <v>6925</v>
          </cell>
          <cell r="O1147">
            <v>5512</v>
          </cell>
          <cell r="P1147">
            <v>0</v>
          </cell>
          <cell r="Q1147">
            <v>0</v>
          </cell>
          <cell r="R1147">
            <v>136771.49399999998</v>
          </cell>
          <cell r="S1147">
            <v>14.042594160505397</v>
          </cell>
          <cell r="T1147">
            <v>0.25270300000000001</v>
          </cell>
          <cell r="U1147">
            <v>3.4355948089605745E-3</v>
          </cell>
          <cell r="V1147">
            <v>2.1999999999999999E-2</v>
          </cell>
          <cell r="W1147">
            <v>0.26788000000000001</v>
          </cell>
          <cell r="X1147">
            <v>8.5210000000000008</v>
          </cell>
          <cell r="Y1147">
            <v>10.07</v>
          </cell>
          <cell r="Z1147">
            <v>0</v>
          </cell>
          <cell r="AA1147">
            <v>0</v>
          </cell>
          <cell r="AB1147">
            <v>0</v>
          </cell>
          <cell r="AC1147">
            <v>0.19566922556329233</v>
          </cell>
          <cell r="AD1147">
            <v>8.8971448150486895E-2</v>
          </cell>
          <cell r="AE1147">
            <v>0</v>
          </cell>
          <cell r="AF1147">
            <v>14.553004839344521</v>
          </cell>
          <cell r="AG1147">
            <v>7.6113787059555094</v>
          </cell>
          <cell r="AH1147">
            <v>202605</v>
          </cell>
          <cell r="AJ1147" t="str">
            <v>IEC:Planned shutdown of APGTP plant of Imperial Energy from 16.05.2026 to 20.05.2026.
GPOC:Prod'n deferred due to power trip. 
SPOC: 2,718 bbl transfer to Tharjiath COST tank level.
BC-10: Prod'n deferred due to AW1 Abalone and ALM 2 Train B being offline.</v>
          </cell>
        </row>
        <row r="1148">
          <cell r="C1148">
            <v>46156</v>
          </cell>
          <cell r="D1148">
            <v>295603</v>
          </cell>
          <cell r="E1148">
            <v>24346</v>
          </cell>
          <cell r="F1148">
            <v>22128.22</v>
          </cell>
          <cell r="G1148">
            <v>4559</v>
          </cell>
          <cell r="H1148">
            <v>1804</v>
          </cell>
          <cell r="I1148">
            <v>180008</v>
          </cell>
          <cell r="J1148">
            <v>154692</v>
          </cell>
          <cell r="K1148">
            <v>51204.9</v>
          </cell>
          <cell r="L1148">
            <v>8461</v>
          </cell>
          <cell r="M1148">
            <v>102944</v>
          </cell>
          <cell r="N1148">
            <v>7032</v>
          </cell>
          <cell r="O1148">
            <v>5417</v>
          </cell>
          <cell r="P1148">
            <v>0</v>
          </cell>
          <cell r="Q1148">
            <v>0</v>
          </cell>
          <cell r="R1148">
            <v>132915.103</v>
          </cell>
          <cell r="S1148">
            <v>14.214477257346088</v>
          </cell>
          <cell r="T1148">
            <v>0.224493</v>
          </cell>
          <cell r="U1148">
            <v>3.4355948089605745E-3</v>
          </cell>
          <cell r="V1148">
            <v>2.3E-2</v>
          </cell>
          <cell r="W1148">
            <v>0.25097000000000003</v>
          </cell>
          <cell r="X1148">
            <v>8.4139999999999997</v>
          </cell>
          <cell r="Y1148">
            <v>9.9600000000000009</v>
          </cell>
          <cell r="Z1148">
            <v>0</v>
          </cell>
          <cell r="AA1148">
            <v>0</v>
          </cell>
          <cell r="AB1148">
            <v>0</v>
          </cell>
          <cell r="AC1148">
            <v>0.19906724395223518</v>
          </cell>
          <cell r="AD1148">
            <v>9.4153426193624754E-2</v>
          </cell>
          <cell r="AE1148">
            <v>0</v>
          </cell>
          <cell r="AF1148">
            <v>14.527491384607542</v>
          </cell>
          <cell r="AG1148">
            <v>7.5404888724728512</v>
          </cell>
          <cell r="AH1148">
            <v>202605</v>
          </cell>
          <cell r="AJ1148" t="str">
            <v>IEC:Planned shutdown of APGTP plant of Imperial Energy from 16.05.2026 to 20.05.2026.
SPOC: 4,362 bbl transfer to Tharjiath COST tank level.
BC-10: Prod'n deferred due to AW1 Abalone and ALM 2 Train B being offline.</v>
          </cell>
        </row>
        <row r="1149">
          <cell r="C1149">
            <v>46157</v>
          </cell>
          <cell r="D1149">
            <v>291662</v>
          </cell>
          <cell r="E1149">
            <v>21711</v>
          </cell>
          <cell r="F1149">
            <v>22112</v>
          </cell>
          <cell r="G1149">
            <v>4582</v>
          </cell>
          <cell r="H1149">
            <v>1788</v>
          </cell>
          <cell r="I1149">
            <v>176753</v>
          </cell>
          <cell r="J1149">
            <v>154995</v>
          </cell>
          <cell r="K1149">
            <v>52107.15</v>
          </cell>
          <cell r="L1149">
            <v>10406</v>
          </cell>
          <cell r="M1149">
            <v>140152</v>
          </cell>
          <cell r="N1149">
            <v>7018</v>
          </cell>
          <cell r="O1149">
            <v>5475</v>
          </cell>
          <cell r="P1149">
            <v>0</v>
          </cell>
          <cell r="Q1149">
            <v>0</v>
          </cell>
          <cell r="R1149">
            <v>133705.07850000003</v>
          </cell>
          <cell r="S1149">
            <v>14.292348512092698</v>
          </cell>
          <cell r="T1149">
            <v>0.19705</v>
          </cell>
          <cell r="U1149">
            <v>3.4355948089605745E-3</v>
          </cell>
          <cell r="V1149">
            <v>2.3E-2</v>
          </cell>
          <cell r="W1149">
            <v>0.18687000000000001</v>
          </cell>
          <cell r="X1149">
            <v>8.359</v>
          </cell>
          <cell r="Y1149">
            <v>9.9499999999999993</v>
          </cell>
          <cell r="Z1149">
            <v>0</v>
          </cell>
          <cell r="AA1149">
            <v>0</v>
          </cell>
          <cell r="AB1149">
            <v>0</v>
          </cell>
          <cell r="AC1149">
            <v>0.19821773935499948</v>
          </cell>
          <cell r="AD1149">
            <v>9.001917048707761E-2</v>
          </cell>
          <cell r="AE1149">
            <v>0</v>
          </cell>
          <cell r="AF1149">
            <v>14.541196725442946</v>
          </cell>
          <cell r="AG1149">
            <v>7.4582397568278926</v>
          </cell>
          <cell r="AH1149">
            <v>202605</v>
          </cell>
          <cell r="AJ1149" t="str">
            <v>IEC:Planned shutdown of APGTP plant of Imperial Energy from 16.05.2026 to 20.05.2026.
SPOC: 2,526 bbl transfer to Tharjiath COST tank level.
BC-10: Prod'n deferred due to AW1 Abalone, ALM 2 Train B &amp; ALM 3 Train A being offline.</v>
          </cell>
        </row>
        <row r="1150">
          <cell r="C1150">
            <v>46158</v>
          </cell>
          <cell r="D1150">
            <v>320511</v>
          </cell>
          <cell r="E1150">
            <v>2818</v>
          </cell>
          <cell r="F1150">
            <v>22077</v>
          </cell>
          <cell r="G1150">
            <v>4629</v>
          </cell>
          <cell r="H1150">
            <v>1667</v>
          </cell>
          <cell r="I1150">
            <v>183153</v>
          </cell>
          <cell r="J1150">
            <v>157204</v>
          </cell>
          <cell r="K1150">
            <v>50685.84</v>
          </cell>
          <cell r="L1150">
            <v>12840</v>
          </cell>
          <cell r="M1150">
            <v>181056</v>
          </cell>
          <cell r="N1150">
            <v>7005</v>
          </cell>
          <cell r="O1150">
            <v>5459</v>
          </cell>
          <cell r="P1150">
            <v>0</v>
          </cell>
          <cell r="Q1150">
            <v>0</v>
          </cell>
          <cell r="R1150">
            <v>133040.34675</v>
          </cell>
          <cell r="S1150">
            <v>14.070344644015098</v>
          </cell>
          <cell r="T1150">
            <v>7.7396999999999994E-2</v>
          </cell>
          <cell r="U1150">
            <v>3.4355948089605745E-3</v>
          </cell>
          <cell r="V1150">
            <v>2.3E-2</v>
          </cell>
          <cell r="W1150">
            <v>0.12537000000000001</v>
          </cell>
          <cell r="X1150">
            <v>8.3140000000000001</v>
          </cell>
          <cell r="Y1150">
            <v>9.81</v>
          </cell>
          <cell r="Z1150">
            <v>0</v>
          </cell>
          <cell r="AA1150">
            <v>0</v>
          </cell>
          <cell r="AB1150">
            <v>0</v>
          </cell>
          <cell r="AC1150">
            <v>0.19821773935499948</v>
          </cell>
          <cell r="AD1150">
            <v>8.8971448150486895E-2</v>
          </cell>
          <cell r="AE1150">
            <v>0</v>
          </cell>
          <cell r="AF1150">
            <v>14.547114940803686</v>
          </cell>
          <cell r="AG1150">
            <v>7.3131268413633137</v>
          </cell>
          <cell r="AH1150">
            <v>202605</v>
          </cell>
          <cell r="AJ1150" t="str">
            <v>IEC:Planned shutdown of APGTP plant of Imperial Energy from 16.05.2026 to 20.05.2026.
BC-10: Prod'n deferred due to AW1 Abalone, ALM 2 Train B &amp; ALM 3 Train A being offline.</v>
          </cell>
        </row>
        <row r="1151">
          <cell r="C1151">
            <v>46159</v>
          </cell>
          <cell r="D1151">
            <v>181679</v>
          </cell>
          <cell r="E1151">
            <v>8604</v>
          </cell>
          <cell r="F1151">
            <v>22054.86</v>
          </cell>
          <cell r="G1151">
            <v>4662</v>
          </cell>
          <cell r="H1151">
            <v>1679</v>
          </cell>
          <cell r="I1151">
            <v>184635</v>
          </cell>
          <cell r="J1151">
            <v>154561</v>
          </cell>
          <cell r="K1151">
            <v>50355.519999999997</v>
          </cell>
          <cell r="L1151">
            <v>15057</v>
          </cell>
          <cell r="M1151">
            <v>212248</v>
          </cell>
          <cell r="N1151">
            <v>7056</v>
          </cell>
          <cell r="O1151">
            <v>5486</v>
          </cell>
          <cell r="P1151">
            <v>0</v>
          </cell>
          <cell r="Q1151">
            <v>0</v>
          </cell>
          <cell r="R1151">
            <v>131880.31400000001</v>
          </cell>
          <cell r="S1151">
            <v>8.4602162838704551</v>
          </cell>
          <cell r="T1151">
            <v>5.9284999999999997E-2</v>
          </cell>
          <cell r="U1151">
            <v>3.4355948089605745E-3</v>
          </cell>
          <cell r="V1151">
            <v>2.1999999999999999E-2</v>
          </cell>
          <cell r="W1151">
            <v>0.12257999999999999</v>
          </cell>
          <cell r="X1151">
            <v>8.343</v>
          </cell>
          <cell r="Y1151">
            <v>9.8800000000000008</v>
          </cell>
          <cell r="Z1151">
            <v>0</v>
          </cell>
          <cell r="AA1151">
            <v>0</v>
          </cell>
          <cell r="AB1151">
            <v>0</v>
          </cell>
          <cell r="AC1151">
            <v>0.2016157577439423</v>
          </cell>
          <cell r="AD1151">
            <v>8.5092043823110475E-2</v>
          </cell>
          <cell r="AE1151">
            <v>0</v>
          </cell>
          <cell r="AF1151">
            <v>14.525084454915373</v>
          </cell>
          <cell r="AG1151">
            <v>7.1599271845199022</v>
          </cell>
          <cell r="AH1151">
            <v>202605</v>
          </cell>
          <cell r="AJ1151" t="str">
            <v>IEC:Planned shutdown of APGTP plant of Imperial Energy from 15.05.2026 to 20.05.2026.
BC-10: Prod'n deferred due to AW1 Abalone, ALM 2 Train B &amp; ALM 3 Train A being offline.</v>
          </cell>
        </row>
        <row r="1152">
          <cell r="C1152">
            <v>46160</v>
          </cell>
          <cell r="D1152">
            <v>326213</v>
          </cell>
          <cell r="E1152">
            <v>11855</v>
          </cell>
          <cell r="F1152">
            <v>22068.670000000002</v>
          </cell>
          <cell r="G1152">
            <v>4682</v>
          </cell>
          <cell r="H1152">
            <v>1659</v>
          </cell>
          <cell r="I1152">
            <v>183112</v>
          </cell>
          <cell r="J1152">
            <v>155486</v>
          </cell>
          <cell r="K1152">
            <v>53352.93</v>
          </cell>
          <cell r="L1152">
            <v>14953</v>
          </cell>
          <cell r="M1152">
            <v>361673</v>
          </cell>
          <cell r="N1152">
            <v>7048</v>
          </cell>
          <cell r="O1152">
            <v>5530</v>
          </cell>
          <cell r="P1152">
            <v>0</v>
          </cell>
          <cell r="Q1152">
            <v>0</v>
          </cell>
          <cell r="R1152">
            <v>143639.253</v>
          </cell>
          <cell r="S1152">
            <v>12.475824515003664</v>
          </cell>
          <cell r="T1152">
            <v>6.5614000000000006E-2</v>
          </cell>
          <cell r="U1152">
            <v>3.4355948089605745E-3</v>
          </cell>
          <cell r="V1152">
            <v>2.1999999999999999E-2</v>
          </cell>
          <cell r="W1152">
            <v>0.12049</v>
          </cell>
          <cell r="X1152">
            <v>8.3710000000000004</v>
          </cell>
          <cell r="Y1152">
            <v>9.99</v>
          </cell>
          <cell r="Z1152">
            <v>0</v>
          </cell>
          <cell r="AA1152">
            <v>0</v>
          </cell>
          <cell r="AB1152">
            <v>0</v>
          </cell>
          <cell r="AC1152">
            <v>0.19340387997066377</v>
          </cell>
          <cell r="AD1152">
            <v>9.0981942363944759E-2</v>
          </cell>
          <cell r="AE1152">
            <v>0</v>
          </cell>
          <cell r="AF1152">
            <v>14.516504458483292</v>
          </cell>
          <cell r="AG1152">
            <v>7.3111966087483689</v>
          </cell>
          <cell r="AH1152">
            <v>202605</v>
          </cell>
          <cell r="AJ1152" t="str">
            <v>IEC:Planned shutdown of APGTP plant of Imperial Energy from 15.05.2026 to 20.05.2026.
BC-10: Prod'n deferred due to AW1 Abalone &amp; ALM 3 Train A being offline.</v>
          </cell>
        </row>
        <row r="1153">
          <cell r="C1153">
            <v>46161</v>
          </cell>
          <cell r="D1153">
            <v>336651</v>
          </cell>
          <cell r="E1153">
            <v>13692</v>
          </cell>
          <cell r="F1153">
            <v>22077.919999999998</v>
          </cell>
          <cell r="G1153">
            <v>4707</v>
          </cell>
          <cell r="H1153">
            <v>1689</v>
          </cell>
          <cell r="I1153">
            <v>180576</v>
          </cell>
          <cell r="J1153">
            <v>152818</v>
          </cell>
          <cell r="K1153">
            <v>51969.85</v>
          </cell>
          <cell r="L1153">
            <v>12224</v>
          </cell>
          <cell r="M1153">
            <v>435555</v>
          </cell>
          <cell r="N1153">
            <v>7011</v>
          </cell>
          <cell r="O1153">
            <v>5540</v>
          </cell>
          <cell r="P1153">
            <v>0</v>
          </cell>
          <cell r="Q1153">
            <v>0</v>
          </cell>
          <cell r="R1153">
            <v>145239.71824999998</v>
          </cell>
          <cell r="S1153">
            <v>13.408863730967555</v>
          </cell>
          <cell r="T1153">
            <v>0.114297</v>
          </cell>
          <cell r="U1153">
            <v>3.4355948089605745E-3</v>
          </cell>
          <cell r="V1153">
            <v>2.1000000000000001E-2</v>
          </cell>
          <cell r="W1153">
            <v>0.12487999999999999</v>
          </cell>
          <cell r="X1153">
            <v>8.3510000000000009</v>
          </cell>
          <cell r="Y1153">
            <v>9.9499999999999993</v>
          </cell>
          <cell r="Z1153">
            <v>0</v>
          </cell>
          <cell r="AA1153">
            <v>0</v>
          </cell>
          <cell r="AB1153">
            <v>0</v>
          </cell>
          <cell r="AC1153">
            <v>0.20048308494762804</v>
          </cell>
          <cell r="AD1153">
            <v>9.3558772975559742E-2</v>
          </cell>
          <cell r="AE1153">
            <v>0</v>
          </cell>
          <cell r="AF1153">
            <v>14.499202881519592</v>
          </cell>
          <cell r="AG1153">
            <v>7.3399905925235949</v>
          </cell>
          <cell r="AH1153">
            <v>202605</v>
          </cell>
          <cell r="AJ1153" t="str">
            <v>IEC:Planned shutdown of APGTP plant of Imperial Energy from 15.05.2026 to 20.05.2026.
BC-10: Prod'n deferred due to AW1 Abalone &amp; ALM 3 Train A being offline.
Vankor:Repair of defective section of oil-gathering pipeline.</v>
          </cell>
        </row>
        <row r="1154">
          <cell r="C1154">
            <v>46162</v>
          </cell>
          <cell r="D1154">
            <v>299814</v>
          </cell>
          <cell r="E1154">
            <v>15981</v>
          </cell>
          <cell r="F1154">
            <v>22046</v>
          </cell>
          <cell r="G1154">
            <v>4337</v>
          </cell>
          <cell r="H1154">
            <v>1667</v>
          </cell>
          <cell r="I1154">
            <v>183696</v>
          </cell>
          <cell r="J1154">
            <v>154074</v>
          </cell>
          <cell r="K1154">
            <v>49012.56</v>
          </cell>
          <cell r="L1154">
            <v>11826</v>
          </cell>
          <cell r="M1154">
            <v>451786</v>
          </cell>
          <cell r="N1154">
            <v>7291</v>
          </cell>
          <cell r="O1154">
            <v>5591</v>
          </cell>
          <cell r="P1154">
            <v>0</v>
          </cell>
          <cell r="Q1154">
            <v>0</v>
          </cell>
          <cell r="R1154">
            <v>145366.58199999999</v>
          </cell>
          <cell r="S1154">
            <v>13.432933027889234</v>
          </cell>
          <cell r="T1154">
            <v>0.12164800000000001</v>
          </cell>
          <cell r="U1154">
            <v>3.4355948089605745E-3</v>
          </cell>
          <cell r="V1154">
            <v>2.3E-2</v>
          </cell>
          <cell r="W1154">
            <v>0.12111</v>
          </cell>
          <cell r="X1154">
            <v>8.4139999999999997</v>
          </cell>
          <cell r="Y1154">
            <v>9.92</v>
          </cell>
          <cell r="Z1154">
            <v>0</v>
          </cell>
          <cell r="AA1154">
            <v>0</v>
          </cell>
          <cell r="AB1154">
            <v>0</v>
          </cell>
          <cell r="AC1154">
            <v>0.20048308494762804</v>
          </cell>
          <cell r="AD1154">
            <v>9.3303921596389033E-2</v>
          </cell>
          <cell r="AE1154">
            <v>0</v>
          </cell>
          <cell r="AF1154">
            <v>14.493879319376916</v>
          </cell>
          <cell r="AG1154">
            <v>7.3437024433426306</v>
          </cell>
          <cell r="AH1154">
            <v>202605</v>
          </cell>
          <cell r="AJ1154" t="str">
            <v>IEC:Planned shutdown of APGTP plant of Imperial Energy from 15.05.2026 to 20.05.2026.
BC-10: Prod'n deferred due to AW1 Abalone &amp; ALM 3 Train A being offline.
SPOC: 1,188 bbl transfer to Tharjiath COST tank level.
Vankor:Repair of defective section of oil-gathering pipeline.</v>
          </cell>
        </row>
        <row r="1155">
          <cell r="C1155">
            <v>46163</v>
          </cell>
          <cell r="D1155">
            <v>300098</v>
          </cell>
          <cell r="E1155">
            <v>19786</v>
          </cell>
          <cell r="F1155">
            <v>21982.33</v>
          </cell>
          <cell r="G1155">
            <v>4663</v>
          </cell>
          <cell r="H1155">
            <v>1670</v>
          </cell>
          <cell r="I1155">
            <v>181734</v>
          </cell>
          <cell r="J1155">
            <v>150070</v>
          </cell>
          <cell r="K1155">
            <v>50768.33</v>
          </cell>
          <cell r="L1155">
            <v>11054</v>
          </cell>
          <cell r="M1155">
            <v>462331</v>
          </cell>
          <cell r="N1155">
            <v>7270</v>
          </cell>
          <cell r="O1155">
            <v>5622</v>
          </cell>
          <cell r="P1155">
            <v>0</v>
          </cell>
          <cell r="Q1155">
            <v>0</v>
          </cell>
          <cell r="R1155">
            <v>145774.8175</v>
          </cell>
          <cell r="S1155">
            <v>14.348982151908414</v>
          </cell>
          <cell r="T1155">
            <v>0.123944</v>
          </cell>
          <cell r="U1155">
            <v>3.4355948089605745E-3</v>
          </cell>
          <cell r="V1155">
            <v>2.2395456000000001E-2</v>
          </cell>
          <cell r="W1155">
            <v>0.11799999999999999</v>
          </cell>
          <cell r="X1155">
            <v>8.4139999999999997</v>
          </cell>
          <cell r="Y1155">
            <v>10</v>
          </cell>
          <cell r="Z1155">
            <v>0</v>
          </cell>
          <cell r="AA1155">
            <v>0</v>
          </cell>
          <cell r="AB1155">
            <v>0</v>
          </cell>
          <cell r="AC1155">
            <v>0.19623556196144945</v>
          </cell>
          <cell r="AD1155">
            <v>8.973600228799905E-2</v>
          </cell>
          <cell r="AE1155">
            <v>0</v>
          </cell>
          <cell r="AF1155">
            <v>14.506140502397017</v>
          </cell>
          <cell r="AG1155">
            <v>7.3886945340817736</v>
          </cell>
          <cell r="AH1155">
            <v>202605</v>
          </cell>
          <cell r="AJ1155" t="str">
            <v>Sakhalin-1:Production deferment is observed due to shut in of Gas Injection Compressor-1 at Odoptu for repair.  Repair is estimated to be completed at end of May.
IEC:Planned shutdown of APGTP plant of Imperial Energy from 15.05.2026 to 20.05.2026.
BC-10: Prod'n deferred due to AW1 Abalone &amp; ALM 3 Train A being offline.
SPOC: 2,051 bbl transfer to Tharjiath COST tank level.
Vankor:Repair of defective section of oil-gathering pipeline.</v>
          </cell>
        </row>
        <row r="1156">
          <cell r="C1156">
            <v>46164</v>
          </cell>
          <cell r="D1156">
            <v>308315</v>
          </cell>
          <cell r="E1156">
            <v>34403</v>
          </cell>
          <cell r="F1156">
            <v>22065.93</v>
          </cell>
          <cell r="G1156">
            <v>4570</v>
          </cell>
          <cell r="H1156">
            <v>1928</v>
          </cell>
          <cell r="I1156">
            <v>180239</v>
          </cell>
          <cell r="J1156">
            <v>153752</v>
          </cell>
          <cell r="K1156">
            <v>53275.9</v>
          </cell>
          <cell r="L1156">
            <v>8080</v>
          </cell>
          <cell r="M1156">
            <v>450743</v>
          </cell>
          <cell r="N1156">
            <v>7334</v>
          </cell>
          <cell r="O1156">
            <v>5672</v>
          </cell>
          <cell r="P1156">
            <v>0</v>
          </cell>
          <cell r="Q1156">
            <v>0</v>
          </cell>
          <cell r="R1156">
            <v>150363.02974999999</v>
          </cell>
          <cell r="S1156">
            <v>14.258651496402345</v>
          </cell>
          <cell r="T1156">
            <v>0.13564399999999999</v>
          </cell>
          <cell r="U1156">
            <v>3.4355948089605745E-3</v>
          </cell>
          <cell r="V1156">
            <v>2.1375936000000002E-2</v>
          </cell>
          <cell r="W1156">
            <v>0.22666999999999998</v>
          </cell>
          <cell r="X1156">
            <v>8.4931487454232943</v>
          </cell>
          <cell r="Y1156">
            <v>9.91</v>
          </cell>
          <cell r="Z1156">
            <v>0</v>
          </cell>
          <cell r="AA1156">
            <v>0</v>
          </cell>
          <cell r="AB1156">
            <v>0</v>
          </cell>
          <cell r="AC1156">
            <v>0.19906724395223518</v>
          </cell>
          <cell r="AD1156">
            <v>8.6111449339793339E-2</v>
          </cell>
          <cell r="AE1156">
            <v>0</v>
          </cell>
          <cell r="AF1156">
            <v>14.508745649828539</v>
          </cell>
          <cell r="AG1156">
            <v>7.4891058903959422</v>
          </cell>
          <cell r="AH1156">
            <v>202605</v>
          </cell>
          <cell r="AJ1156" t="str">
            <v>Sakhalin-1:Production deferment is observed due to shut in of Gas Injection Compressor-1 at Odoptu for repair.  Repair is estimated to be completed at end of May.
IEC:Planned shutdown of APGTP plant of Imperial Energy from 15.05.2026 to 20.05.2026.
SPOC: 4,843 bbl transfer to Tharjiath COST tank level.
Vankor:Repair of defective section of oil-gathering pipeline.</v>
          </cell>
        </row>
        <row r="1157">
          <cell r="C1157">
            <v>46165</v>
          </cell>
          <cell r="D1157">
            <v>308867</v>
          </cell>
          <cell r="E1157">
            <v>27824</v>
          </cell>
          <cell r="F1157">
            <v>22146.7</v>
          </cell>
          <cell r="G1157">
            <v>4439</v>
          </cell>
          <cell r="H1157">
            <v>2015</v>
          </cell>
          <cell r="I1157">
            <v>179934</v>
          </cell>
          <cell r="J1157">
            <v>155220</v>
          </cell>
          <cell r="K1157">
            <v>56313.23</v>
          </cell>
          <cell r="L1157">
            <v>13473</v>
          </cell>
          <cell r="M1157">
            <v>392617</v>
          </cell>
          <cell r="N1157">
            <v>7254</v>
          </cell>
          <cell r="O1157">
            <v>5680</v>
          </cell>
          <cell r="P1157">
            <v>0</v>
          </cell>
          <cell r="Q1157">
            <v>0</v>
          </cell>
          <cell r="R1157">
            <v>148731.31850000002</v>
          </cell>
          <cell r="S1157">
            <v>13.543651793728955</v>
          </cell>
          <cell r="T1157">
            <v>0.245921</v>
          </cell>
          <cell r="U1157">
            <v>3.4355948089605745E-3</v>
          </cell>
          <cell r="V1157">
            <v>2.2976015999999998E-2</v>
          </cell>
          <cell r="W1157">
            <v>0.30097000000000002</v>
          </cell>
          <cell r="X1157">
            <v>8.4324374835408484</v>
          </cell>
          <cell r="Y1157">
            <v>10.029999999999999</v>
          </cell>
          <cell r="Z1157">
            <v>0</v>
          </cell>
          <cell r="AA1157">
            <v>0</v>
          </cell>
          <cell r="AB1157">
            <v>0</v>
          </cell>
          <cell r="AC1157">
            <v>0.19227120717434948</v>
          </cell>
          <cell r="AD1157">
            <v>9.103857600376046E-2</v>
          </cell>
          <cell r="AE1157">
            <v>0</v>
          </cell>
          <cell r="AF1157">
            <v>14.501439910292314</v>
          </cell>
          <cell r="AG1157">
            <v>7.5921060376151175</v>
          </cell>
          <cell r="AH1157">
            <v>202605</v>
          </cell>
          <cell r="AJ1157" t="str">
            <v>Sakhalin-1:Production deferment is observed due to shut in of Gas Injection Compressor-1 at Odoptu for repair.  Repair is estimated to be completed at end of May.
IEC:Planned shutdown of APGTP plant of Imperial Energy from 15.05.2026 to 20.05.2026.
Vankor:Repair of defective section of oil-gathering pipeline.</v>
          </cell>
        </row>
        <row r="1158">
          <cell r="C1158">
            <v>46166</v>
          </cell>
          <cell r="D1158">
            <v>324478</v>
          </cell>
          <cell r="E1158">
            <v>24465</v>
          </cell>
          <cell r="F1158">
            <v>22102.02</v>
          </cell>
          <cell r="G1158">
            <v>4402</v>
          </cell>
          <cell r="H1158">
            <v>1993</v>
          </cell>
          <cell r="I1158">
            <v>181254</v>
          </cell>
          <cell r="J1158">
            <v>157276</v>
          </cell>
          <cell r="K1158">
            <v>56815.83</v>
          </cell>
          <cell r="L1158">
            <v>11622</v>
          </cell>
          <cell r="M1158">
            <v>270951</v>
          </cell>
          <cell r="N1158">
            <v>7173</v>
          </cell>
          <cell r="O1158">
            <v>5549</v>
          </cell>
          <cell r="P1158">
            <v>0</v>
          </cell>
          <cell r="Q1158">
            <v>0</v>
          </cell>
          <cell r="R1158">
            <v>143758.9405</v>
          </cell>
          <cell r="S1158">
            <v>13.452188465426577</v>
          </cell>
          <cell r="T1158">
            <v>0.25428200000000001</v>
          </cell>
          <cell r="U1158">
            <v>3.4355948089605745E-3</v>
          </cell>
          <cell r="V1158">
            <v>2.3E-2</v>
          </cell>
          <cell r="W1158">
            <v>0.29580000000000001</v>
          </cell>
          <cell r="X1158">
            <v>8.4230079825115318</v>
          </cell>
          <cell r="Y1158">
            <v>9.9499999999999993</v>
          </cell>
          <cell r="Z1158">
            <v>0</v>
          </cell>
          <cell r="AA1158">
            <v>0</v>
          </cell>
          <cell r="AB1158">
            <v>0</v>
          </cell>
          <cell r="AC1158">
            <v>0.17641378802594954</v>
          </cell>
          <cell r="AD1158">
            <v>9.103857600376046E-2</v>
          </cell>
          <cell r="AE1158">
            <v>0</v>
          </cell>
          <cell r="AF1158">
            <v>14.476351207853952</v>
          </cell>
          <cell r="AG1158">
            <v>7.5578349015355641</v>
          </cell>
          <cell r="AH1158">
            <v>202605</v>
          </cell>
          <cell r="AJ1158" t="str">
            <v>Sakhalin-1:Production deferment is observed due to shut in of Gas Injection Compressor-1 at Odoptu for repair.  Repair is estimated to be completed at end of May.
IEC:Planned shutdown of APGTP plant of Imperial Energy from 15.05.2026 to 20.05.2026.
Vankor:Repair of defective section of oil-gathering pipeline.
SPOC: 1,109 bbl transfer to Tharjiath COST tank level.</v>
          </cell>
        </row>
        <row r="1159">
          <cell r="C1159">
            <v>46167</v>
          </cell>
          <cell r="D1159">
            <v>319942</v>
          </cell>
          <cell r="E1159">
            <v>27843</v>
          </cell>
          <cell r="F1159">
            <v>22086</v>
          </cell>
          <cell r="G1159">
            <v>4450</v>
          </cell>
          <cell r="H1159">
            <v>1978</v>
          </cell>
          <cell r="I1159">
            <v>180313</v>
          </cell>
          <cell r="J1159">
            <v>157569</v>
          </cell>
          <cell r="K1159">
            <v>58934.35</v>
          </cell>
          <cell r="L1159">
            <v>9508</v>
          </cell>
          <cell r="M1159">
            <v>308738</v>
          </cell>
          <cell r="N1159">
            <v>4997</v>
          </cell>
          <cell r="O1159">
            <v>5322</v>
          </cell>
          <cell r="P1159">
            <v>0</v>
          </cell>
          <cell r="Q1159">
            <v>0</v>
          </cell>
          <cell r="R1159">
            <v>145625.03599999999</v>
          </cell>
          <cell r="S1159">
            <v>13.398103339402567</v>
          </cell>
          <cell r="T1159">
            <v>0.2767</v>
          </cell>
          <cell r="U1159">
            <v>3.4355948089605745E-3</v>
          </cell>
          <cell r="V1159">
            <v>2.1999999999999999E-2</v>
          </cell>
          <cell r="W1159">
            <v>0.28655000000000003</v>
          </cell>
          <cell r="X1159">
            <v>8.438270748441866</v>
          </cell>
          <cell r="Y1159">
            <v>9.85</v>
          </cell>
          <cell r="Z1159">
            <v>0</v>
          </cell>
          <cell r="AA1159">
            <v>0</v>
          </cell>
          <cell r="AB1159">
            <v>0</v>
          </cell>
          <cell r="AC1159">
            <v>0.16225537807202101</v>
          </cell>
          <cell r="AD1159">
            <v>8.7555607155094056E-2</v>
          </cell>
          <cell r="AE1159">
            <v>0</v>
          </cell>
          <cell r="AF1159">
            <v>14.480032394441974</v>
          </cell>
          <cell r="AG1159">
            <v>7.5272835138709944</v>
          </cell>
          <cell r="AH1159">
            <v>202605</v>
          </cell>
          <cell r="AJ1159" t="str">
            <v>Sakhalin-1:Production deferment is observed due to shut in of Gas Injection Compressor-1 at Odoptu for repair.  Repair is estimated to be completed at end of May.
SPOC: 3,486 bbl transfer to Tharjiath COST tank level.</v>
          </cell>
        </row>
        <row r="1160">
          <cell r="C1160">
            <v>46168</v>
          </cell>
          <cell r="D1160">
            <v>329811</v>
          </cell>
          <cell r="E1160">
            <v>29182</v>
          </cell>
          <cell r="F1160">
            <v>22111.01</v>
          </cell>
          <cell r="G1160">
            <v>4445</v>
          </cell>
          <cell r="H1160">
            <v>1926</v>
          </cell>
          <cell r="I1160">
            <v>180268</v>
          </cell>
          <cell r="J1160">
            <v>155084</v>
          </cell>
          <cell r="K1160">
            <v>57882.44</v>
          </cell>
          <cell r="L1160">
            <v>15832</v>
          </cell>
          <cell r="M1160">
            <v>391674</v>
          </cell>
          <cell r="N1160">
            <v>6956</v>
          </cell>
          <cell r="O1160">
            <v>5483</v>
          </cell>
          <cell r="P1160">
            <v>0</v>
          </cell>
          <cell r="Q1160">
            <v>0</v>
          </cell>
          <cell r="R1160">
            <v>150443.15875</v>
          </cell>
          <cell r="S1160">
            <v>13.385643938643112</v>
          </cell>
          <cell r="T1160">
            <v>0.39782099999999998</v>
          </cell>
          <cell r="U1160">
            <v>3.0966424746635252E-3</v>
          </cell>
          <cell r="V1160">
            <v>2.1000000000000001E-2</v>
          </cell>
          <cell r="W1160">
            <v>0.27733999999999998</v>
          </cell>
          <cell r="X1160">
            <v>8.3359054444749638</v>
          </cell>
          <cell r="Y1160">
            <v>9.75</v>
          </cell>
          <cell r="Z1160">
            <v>0</v>
          </cell>
          <cell r="AA1160">
            <v>0</v>
          </cell>
          <cell r="AB1160">
            <v>0</v>
          </cell>
          <cell r="AC1160">
            <v>0.19227120717434948</v>
          </cell>
          <cell r="AD1160">
            <v>8.9820952747722616E-2</v>
          </cell>
          <cell r="AE1160">
            <v>0</v>
          </cell>
          <cell r="AF1160">
            <v>14.470546259772842</v>
          </cell>
          <cell r="AG1160">
            <v>7.506033922149955</v>
          </cell>
          <cell r="AH1160">
            <v>202605</v>
          </cell>
          <cell r="AJ1160" t="str">
            <v>Sakhalin-1:Production deferment is observed due to shut in of Gas Injection Compressor-1 at Odoptu for repair.  Repair is estimated to be completed at end of May.
LZC:Due to the Eid holiday, the daily reports will resume and be issued on Monday, 1 June.</v>
          </cell>
        </row>
        <row r="1161">
          <cell r="C1161">
            <v>46169</v>
          </cell>
          <cell r="D1161">
            <v>337150</v>
          </cell>
          <cell r="E1161">
            <v>31774</v>
          </cell>
          <cell r="F1161">
            <v>22107.5</v>
          </cell>
          <cell r="G1161">
            <v>4530</v>
          </cell>
          <cell r="H1161">
            <v>1928</v>
          </cell>
          <cell r="I1161">
            <v>180836</v>
          </cell>
          <cell r="J1161">
            <v>155208</v>
          </cell>
          <cell r="K1161">
            <v>52497.7</v>
          </cell>
          <cell r="L1161">
            <v>15689</v>
          </cell>
          <cell r="M1161">
            <v>400601</v>
          </cell>
          <cell r="N1161">
            <v>7258</v>
          </cell>
          <cell r="O1161">
            <v>5540</v>
          </cell>
          <cell r="P1161">
            <v>0</v>
          </cell>
          <cell r="Q1161">
            <v>0</v>
          </cell>
          <cell r="R1161">
            <v>150577.96375000002</v>
          </cell>
          <cell r="S1161">
            <v>13.1387212690466</v>
          </cell>
          <cell r="T1161">
            <v>0.45955099999999999</v>
          </cell>
          <cell r="U1161">
            <v>3.1509824520667027E-3</v>
          </cell>
          <cell r="V1161">
            <v>2.4E-2</v>
          </cell>
          <cell r="W1161">
            <v>0.26972000000000002</v>
          </cell>
          <cell r="X1161">
            <v>8.3379999999999992</v>
          </cell>
          <cell r="Y1161">
            <v>9.77</v>
          </cell>
          <cell r="Z1161">
            <v>0</v>
          </cell>
          <cell r="AA1161">
            <v>0</v>
          </cell>
          <cell r="AB1161">
            <v>0</v>
          </cell>
          <cell r="AC1161">
            <v>0.19255437537342804</v>
          </cell>
          <cell r="AD1161">
            <v>9.1350061022746898E-2</v>
          </cell>
          <cell r="AE1161">
            <v>0</v>
          </cell>
          <cell r="AF1161">
            <v>8.1800779845220255</v>
          </cell>
          <cell r="AG1161">
            <v>6.4462406301885329</v>
          </cell>
          <cell r="AH1161">
            <v>202605</v>
          </cell>
          <cell r="AJ1161" t="str">
            <v>Sakhalin-1:Production deferment is observed due to shut in of Gas Injection Compressor-1 at Odoptu for repair.  Repair is estimated to be completed at end of May.
LZC:Due to the Eid holiday, the daily reports will resume and be issued on Monday, 1 June.</v>
          </cell>
        </row>
        <row r="1162">
          <cell r="C1162">
            <v>46170</v>
          </cell>
          <cell r="D1162">
            <v>317799</v>
          </cell>
          <cell r="E1162">
            <v>34126</v>
          </cell>
          <cell r="F1162">
            <v>22078.260000000002</v>
          </cell>
          <cell r="G1162">
            <v>4474</v>
          </cell>
          <cell r="H1162">
            <v>1995</v>
          </cell>
          <cell r="I1162">
            <v>176720</v>
          </cell>
          <cell r="J1162">
            <v>156141</v>
          </cell>
          <cell r="K1162">
            <v>57476.9</v>
          </cell>
          <cell r="L1162">
            <v>9178</v>
          </cell>
          <cell r="M1162">
            <v>404190</v>
          </cell>
          <cell r="N1162">
            <v>6750</v>
          </cell>
          <cell r="O1162">
            <v>5595</v>
          </cell>
          <cell r="P1162">
            <v>0</v>
          </cell>
          <cell r="Q1162">
            <v>0</v>
          </cell>
          <cell r="R1162">
            <v>149868.60025000002</v>
          </cell>
          <cell r="S1162">
            <v>13.179214321514834</v>
          </cell>
          <cell r="T1162">
            <v>0.46396199999999999</v>
          </cell>
          <cell r="U1162">
            <v>3.1509824520667027E-3</v>
          </cell>
          <cell r="V1162">
            <v>2.5000000000000001E-2</v>
          </cell>
          <cell r="W1162">
            <v>0.27660000000000001</v>
          </cell>
          <cell r="X1162">
            <v>7.5819999999999999</v>
          </cell>
          <cell r="Y1162">
            <v>9.7799999999999994</v>
          </cell>
          <cell r="Z1162">
            <v>0</v>
          </cell>
          <cell r="AA1162">
            <v>0</v>
          </cell>
          <cell r="AB1162">
            <v>0</v>
          </cell>
          <cell r="AC1162">
            <v>0.19255437537342804</v>
          </cell>
          <cell r="AD1162">
            <v>8.4780558804124065E-2</v>
          </cell>
          <cell r="AE1162">
            <v>0</v>
          </cell>
          <cell r="AF1162">
            <v>7.5790534819777591</v>
          </cell>
          <cell r="AG1162">
            <v>6.2025940556532548</v>
          </cell>
          <cell r="AH1162">
            <v>202605</v>
          </cell>
          <cell r="AJ1162" t="str">
            <v>Sakhalin-1:Production deferment is observed due to shut in of Gas Injection Compressor-1 at Odoptu for repair.  Repair is estimated to be completed at end of May.
LZC:Due to the Eid holiday, the daily reports will resume and be issued on Monday, 1 June.
SPOC: 3,724 bbl transfer to Tharjiath COST tank level.
A1,A3:Prod'n deferred due to China pipeline maintenance.</v>
          </cell>
        </row>
        <row r="1163">
          <cell r="C1163">
            <v>46171</v>
          </cell>
          <cell r="D1163">
            <v>324390</v>
          </cell>
          <cell r="E1163">
            <v>34415</v>
          </cell>
          <cell r="F1163">
            <v>22051</v>
          </cell>
          <cell r="G1163">
            <v>4477</v>
          </cell>
          <cell r="H1163">
            <v>1952</v>
          </cell>
          <cell r="I1163">
            <v>177409</v>
          </cell>
          <cell r="J1163">
            <v>152254</v>
          </cell>
          <cell r="K1163">
            <v>60157.52</v>
          </cell>
          <cell r="L1163">
            <v>11853</v>
          </cell>
          <cell r="M1163">
            <v>387937</v>
          </cell>
          <cell r="N1163">
            <v>6955</v>
          </cell>
          <cell r="O1163">
            <v>5689</v>
          </cell>
          <cell r="P1163">
            <v>0</v>
          </cell>
          <cell r="Q1163">
            <v>0</v>
          </cell>
          <cell r="R1163">
            <v>149931.54375000001</v>
          </cell>
          <cell r="S1163">
            <v>13.030551016998585</v>
          </cell>
          <cell r="T1163">
            <v>0.47063100000000002</v>
          </cell>
          <cell r="U1163">
            <v>3.1509824520667027E-3</v>
          </cell>
          <cell r="V1163">
            <v>0.02</v>
          </cell>
          <cell r="W1163">
            <v>0.27693000000000001</v>
          </cell>
          <cell r="X1163">
            <v>8.06</v>
          </cell>
          <cell r="Y1163">
            <v>9.75</v>
          </cell>
          <cell r="Z1163">
            <v>0</v>
          </cell>
          <cell r="AA1163">
            <v>0</v>
          </cell>
          <cell r="AB1163">
            <v>0</v>
          </cell>
          <cell r="AC1163">
            <v>0.19057219797987807</v>
          </cell>
          <cell r="AD1163">
            <v>8.5035410183294774E-2</v>
          </cell>
          <cell r="AE1163">
            <v>0</v>
          </cell>
          <cell r="AF1163">
            <v>7.6371312796087736</v>
          </cell>
          <cell r="AG1163">
            <v>6.2954334106318051</v>
          </cell>
          <cell r="AH1163">
            <v>202605</v>
          </cell>
          <cell r="AJ1163" t="str">
            <v>Sakhalin-1:Production deferment is observed due to shut in of Gas Injection Compressor-1 at Odoptu for repair.  Repair is estimated to be completed at end of May.
LZC:Due to the Eid holiday, the daily reports will resume and be issued on Monday, 1 June.
A1,A3:Prod'n deferred due to China pipeline maintenance.</v>
          </cell>
        </row>
        <row r="1164">
          <cell r="C1164">
            <v>46172</v>
          </cell>
          <cell r="D1164">
            <v>321519</v>
          </cell>
          <cell r="E1164">
            <v>34390</v>
          </cell>
          <cell r="F1164">
            <v>20047.64</v>
          </cell>
          <cell r="G1164">
            <v>4586</v>
          </cell>
          <cell r="H1164">
            <v>1933</v>
          </cell>
          <cell r="I1164">
            <v>178238</v>
          </cell>
          <cell r="J1164">
            <v>156273</v>
          </cell>
          <cell r="K1164">
            <v>57333.440000000002</v>
          </cell>
          <cell r="L1164">
            <v>14015</v>
          </cell>
          <cell r="M1164">
            <v>289382</v>
          </cell>
          <cell r="N1164">
            <v>7062</v>
          </cell>
          <cell r="O1164">
            <v>5917</v>
          </cell>
          <cell r="P1164">
            <v>0</v>
          </cell>
          <cell r="Q1164">
            <v>0</v>
          </cell>
          <cell r="R1164">
            <v>145661.03750000001</v>
          </cell>
          <cell r="S1164">
            <v>13.283137050576668</v>
          </cell>
          <cell r="T1164">
            <v>0.47324500000000003</v>
          </cell>
          <cell r="U1164">
            <v>3.4802504339552648E-3</v>
          </cell>
          <cell r="V1164">
            <v>2.3E-2</v>
          </cell>
          <cell r="W1164">
            <v>0.27088000000000001</v>
          </cell>
          <cell r="X1164">
            <v>7.6369999999999996</v>
          </cell>
          <cell r="Y1164">
            <v>9.92</v>
          </cell>
          <cell r="Z1164">
            <v>0</v>
          </cell>
          <cell r="AA1164">
            <v>0</v>
          </cell>
          <cell r="AB1164">
            <v>0</v>
          </cell>
          <cell r="AC1164">
            <v>0.19736823475776374</v>
          </cell>
          <cell r="AD1164">
            <v>8.8631646311592621E-2</v>
          </cell>
          <cell r="AE1164">
            <v>0</v>
          </cell>
          <cell r="AF1164">
            <v>10.437183382557405</v>
          </cell>
          <cell r="AG1164">
            <v>6.7367722481121177</v>
          </cell>
          <cell r="AH1164">
            <v>202605</v>
          </cell>
          <cell r="AJ1164" t="str">
            <v>Sakhalin-1:Production deferment is observed due to shut in of Gas Injection Compressor-1 at Odoptu for repair.  Repair is estimated to be completed at end of May.
LZC:Due to the Eid holiday, the daily reports will resume and be issued on Monday, 1 June.
A1,A3:Prod'n deferred due to China pipeline maintenance.</v>
          </cell>
        </row>
        <row r="1165">
          <cell r="C1165">
            <v>46173</v>
          </cell>
          <cell r="D1165">
            <v>319417</v>
          </cell>
          <cell r="E1165">
            <v>34138</v>
          </cell>
          <cell r="F1165">
            <v>22014.799999999999</v>
          </cell>
          <cell r="G1165">
            <v>4609</v>
          </cell>
          <cell r="H1165">
            <v>1951</v>
          </cell>
          <cell r="I1165">
            <v>181978</v>
          </cell>
          <cell r="J1165">
            <v>156551</v>
          </cell>
          <cell r="K1165">
            <v>55919.65</v>
          </cell>
          <cell r="L1165">
            <v>12842</v>
          </cell>
          <cell r="M1165">
            <v>279854</v>
          </cell>
          <cell r="N1165">
            <v>7072</v>
          </cell>
          <cell r="O1165">
            <v>5636</v>
          </cell>
          <cell r="P1165">
            <v>0</v>
          </cell>
          <cell r="Q1165">
            <v>0</v>
          </cell>
          <cell r="R1165">
            <v>146629.45225000003</v>
          </cell>
          <cell r="S1165">
            <v>13.002234197090731</v>
          </cell>
          <cell r="T1165">
            <v>0.47660200000000003</v>
          </cell>
          <cell r="U1165">
            <v>3.3642930564325903E-3</v>
          </cell>
          <cell r="V1165">
            <v>2.1999999999999999E-2</v>
          </cell>
          <cell r="W1165">
            <v>0.27012999999999998</v>
          </cell>
          <cell r="X1165">
            <v>7.5242321186361485</v>
          </cell>
          <cell r="Y1165">
            <v>9.68</v>
          </cell>
          <cell r="Z1165">
            <v>0</v>
          </cell>
          <cell r="AA1165">
            <v>0</v>
          </cell>
          <cell r="AB1165">
            <v>0</v>
          </cell>
          <cell r="AC1165">
            <v>0.19651873016052807</v>
          </cell>
          <cell r="AD1165">
            <v>0.10131758163031258</v>
          </cell>
          <cell r="AE1165">
            <v>0</v>
          </cell>
          <cell r="AF1165">
            <v>13.87079601412443</v>
          </cell>
          <cell r="AG1165">
            <v>7.2319537293630702</v>
          </cell>
          <cell r="AH1165">
            <v>202605</v>
          </cell>
          <cell r="AJ1165" t="str">
            <v xml:space="preserve">Sakhalin-1:Production deferment is observed due to shut in of Gas Injection Compressor-1 at Odoptu for repair.  Repair is estimated to be completed at end of May.
</v>
          </cell>
        </row>
        <row r="1166">
          <cell r="C1166">
            <v>46174</v>
          </cell>
          <cell r="D1166">
            <v>322917</v>
          </cell>
          <cell r="E1166">
            <v>28572</v>
          </cell>
          <cell r="F1166">
            <v>21993.21</v>
          </cell>
          <cell r="G1166">
            <v>4650</v>
          </cell>
          <cell r="H1166">
            <v>1918</v>
          </cell>
          <cell r="I1166">
            <v>177246</v>
          </cell>
          <cell r="J1166">
            <v>154798</v>
          </cell>
          <cell r="K1166">
            <v>56048.480000000003</v>
          </cell>
          <cell r="L1166">
            <v>12606</v>
          </cell>
          <cell r="M1166">
            <v>378204</v>
          </cell>
          <cell r="N1166">
            <v>6884</v>
          </cell>
          <cell r="O1166">
            <v>5486</v>
          </cell>
          <cell r="P1166">
            <v>0</v>
          </cell>
          <cell r="R1166">
            <v>147627.80674999996</v>
          </cell>
          <cell r="S1166">
            <v>12.845925351199357</v>
          </cell>
          <cell r="T1166">
            <v>0.44831700000000002</v>
          </cell>
          <cell r="U1166">
            <v>3.5434818928095097E-3</v>
          </cell>
          <cell r="V1166">
            <v>2.1000000000000001E-2</v>
          </cell>
          <cell r="W1166">
            <v>0.26658999999999999</v>
          </cell>
          <cell r="X1166">
            <v>7.4506933373354434</v>
          </cell>
          <cell r="Y1166">
            <v>9.73</v>
          </cell>
          <cell r="Z1166">
            <v>0</v>
          </cell>
          <cell r="AA1166">
            <v>0</v>
          </cell>
          <cell r="AB1166">
            <v>0</v>
          </cell>
          <cell r="AC1166">
            <v>0.19566922556329233</v>
          </cell>
          <cell r="AD1166">
            <v>9.2737585198231887E-2</v>
          </cell>
          <cell r="AE1166">
            <v>0</v>
          </cell>
          <cell r="AF1166">
            <v>14.547058307163873</v>
          </cell>
          <cell r="AG1166">
            <v>7.3254361350987853</v>
          </cell>
          <cell r="AH1166">
            <v>202606</v>
          </cell>
          <cell r="AJ1166" t="str">
            <v xml:space="preserve">Sakhalin-1:Production deferment is observed due to shut in of Gas Injection Compressor-1 at Odoptu for repair.  Repair is estimated to be completed at end of May.
SPOC: 181 bbl transfer to Tharjiath COST tank level.
</v>
          </cell>
        </row>
        <row r="1167">
          <cell r="C1167">
            <v>46175</v>
          </cell>
          <cell r="D1167">
            <v>333881</v>
          </cell>
          <cell r="E1167">
            <v>32440</v>
          </cell>
          <cell r="F1167">
            <v>22026.41</v>
          </cell>
          <cell r="G1167">
            <v>4672</v>
          </cell>
          <cell r="H1167">
            <v>1911</v>
          </cell>
          <cell r="I1167">
            <v>178079</v>
          </cell>
          <cell r="J1167">
            <v>153867</v>
          </cell>
          <cell r="K1167">
            <v>39430.1</v>
          </cell>
          <cell r="L1167">
            <v>11457</v>
          </cell>
          <cell r="M1167">
            <v>406480</v>
          </cell>
          <cell r="N1167">
            <v>7276</v>
          </cell>
          <cell r="O1167">
            <v>5296</v>
          </cell>
          <cell r="P1167">
            <v>0</v>
          </cell>
          <cell r="R1167">
            <v>145611.01249999998</v>
          </cell>
          <cell r="S1167">
            <v>12.814210512902557</v>
          </cell>
          <cell r="T1167">
            <v>0.446299</v>
          </cell>
          <cell r="U1167">
            <v>3.5994076121275273E-3</v>
          </cell>
          <cell r="V1167">
            <v>2.1999999999999999E-2</v>
          </cell>
          <cell r="W1167">
            <v>0.28036</v>
          </cell>
          <cell r="X1167">
            <v>7.1670154354985316</v>
          </cell>
          <cell r="Y1167">
            <v>9.84</v>
          </cell>
          <cell r="Z1167">
            <v>0</v>
          </cell>
          <cell r="AA1167">
            <v>0</v>
          </cell>
          <cell r="AB1167">
            <v>0</v>
          </cell>
          <cell r="AC1167">
            <v>0.19935041215131374</v>
          </cell>
          <cell r="AD1167">
            <v>8.3194816889284068E-2</v>
          </cell>
          <cell r="AE1167">
            <v>0</v>
          </cell>
          <cell r="AF1167">
            <v>14.525339306294544</v>
          </cell>
          <cell r="AG1167">
            <v>7.3029936287645363</v>
          </cell>
          <cell r="AH1167">
            <v>202606</v>
          </cell>
          <cell r="AJ1167" t="str">
            <v xml:space="preserve">Sakhalin-1:Production deferment is observed due to shut in of Gas Injection Compressor-1 at Odoptu for repair.  Repair is estimated to be completed at end of May.
SPOC: 1,258 bbl transfer to Tharjiath COST tank level.
</v>
          </cell>
        </row>
        <row r="1168">
          <cell r="C1168">
            <v>46176</v>
          </cell>
          <cell r="D1168">
            <v>314058</v>
          </cell>
          <cell r="E1168">
            <v>32201</v>
          </cell>
          <cell r="F1168">
            <v>21975.69</v>
          </cell>
          <cell r="G1168">
            <v>4708</v>
          </cell>
          <cell r="H1168">
            <v>1932</v>
          </cell>
          <cell r="I1168">
            <v>176611</v>
          </cell>
          <cell r="J1168">
            <v>159313</v>
          </cell>
          <cell r="K1168">
            <v>44858.84</v>
          </cell>
          <cell r="L1168">
            <v>14175.4</v>
          </cell>
          <cell r="M1168">
            <v>412591</v>
          </cell>
          <cell r="N1168">
            <v>7037</v>
          </cell>
          <cell r="O1168">
            <v>5535</v>
          </cell>
          <cell r="P1168">
            <v>0</v>
          </cell>
          <cell r="Q1168">
            <v>0</v>
          </cell>
          <cell r="R1168">
            <v>148419.26475</v>
          </cell>
          <cell r="S1168">
            <v>12.906523345802171</v>
          </cell>
          <cell r="T1168">
            <v>0.461947</v>
          </cell>
          <cell r="U1168">
            <v>3.5614347566310912E-3</v>
          </cell>
          <cell r="V1168">
            <v>2.1999999999999999E-2</v>
          </cell>
          <cell r="W1168">
            <v>0.27324999999999999</v>
          </cell>
          <cell r="X1168">
            <v>7.098177246302531</v>
          </cell>
          <cell r="Y1168">
            <v>9.6199999999999992</v>
          </cell>
          <cell r="Z1168">
            <v>0</v>
          </cell>
          <cell r="AA1168">
            <v>0</v>
          </cell>
          <cell r="AB1168">
            <v>0</v>
          </cell>
          <cell r="AC1168">
            <v>0.19850090755407804</v>
          </cell>
          <cell r="AD1168">
            <v>9.2737585198231887E-2</v>
          </cell>
          <cell r="AE1168">
            <v>0</v>
          </cell>
          <cell r="AF1168">
            <v>14.492916547500048</v>
          </cell>
          <cell r="AG1168">
            <v>7.2300528941104689</v>
          </cell>
          <cell r="AH1168">
            <v>202606</v>
          </cell>
          <cell r="AJ1168" t="str">
            <v>GPOC:Prod'n deferred due to Power shutdown in North field from 07.00 am for commissioning of 66 kv overhead transmission line, power resumed at ~ 19:28</v>
          </cell>
        </row>
        <row r="1169">
          <cell r="C1169">
            <v>46177</v>
          </cell>
          <cell r="D1169">
            <v>331045</v>
          </cell>
          <cell r="E1169">
            <v>30453</v>
          </cell>
          <cell r="F1169">
            <v>21977.919999999998</v>
          </cell>
          <cell r="G1169">
            <v>4621</v>
          </cell>
          <cell r="H1169">
            <v>1926</v>
          </cell>
          <cell r="I1169">
            <v>175993</v>
          </cell>
          <cell r="J1169">
            <v>156334</v>
          </cell>
          <cell r="K1169">
            <v>35553.269999999997</v>
          </cell>
          <cell r="L1169">
            <v>10888</v>
          </cell>
          <cell r="M1169">
            <v>409286</v>
          </cell>
          <cell r="N1169">
            <v>7012</v>
          </cell>
          <cell r="O1169">
            <v>5719</v>
          </cell>
          <cell r="P1169">
            <v>0</v>
          </cell>
          <cell r="Q1169">
            <v>0</v>
          </cell>
          <cell r="R1169">
            <v>144317.26775</v>
          </cell>
          <cell r="S1169">
            <v>12.77371746043432</v>
          </cell>
          <cell r="T1169">
            <v>0.45471099999999998</v>
          </cell>
          <cell r="U1169">
            <v>3.5265767513245191E-3</v>
          </cell>
          <cell r="V1169">
            <v>2.3E-2</v>
          </cell>
          <cell r="W1169">
            <v>0.26812000000000002</v>
          </cell>
          <cell r="X1169">
            <v>7.3621749583034823</v>
          </cell>
          <cell r="Y1169">
            <v>9.36</v>
          </cell>
          <cell r="Z1169">
            <v>0</v>
          </cell>
          <cell r="AA1169">
            <v>0</v>
          </cell>
          <cell r="AB1169">
            <v>0</v>
          </cell>
          <cell r="AC1169">
            <v>0.19793457115592089</v>
          </cell>
          <cell r="AD1169">
            <v>9.3530456155651892E-2</v>
          </cell>
          <cell r="AE1169">
            <v>0</v>
          </cell>
          <cell r="AF1169">
            <v>14.484478135167507</v>
          </cell>
          <cell r="AG1169">
            <v>7.2036044656462881</v>
          </cell>
          <cell r="AH1169">
            <v>202606</v>
          </cell>
          <cell r="AJ1169" t="str">
            <v>GPOC: Prod'n deferred due to Power shutdown. Out of 269 total wells, 168 wells are currently flowing.
SPOC: 1,337 bbl transfer to Tharjiath COST tank level.</v>
          </cell>
        </row>
        <row r="1170">
          <cell r="C1170">
            <v>46178</v>
          </cell>
          <cell r="D1170">
            <v>324372</v>
          </cell>
          <cell r="E1170">
            <v>33233</v>
          </cell>
          <cell r="F1170">
            <v>22005.67</v>
          </cell>
          <cell r="G1170">
            <v>4584</v>
          </cell>
          <cell r="H1170">
            <v>1922</v>
          </cell>
          <cell r="I1170">
            <v>172375</v>
          </cell>
          <cell r="J1170">
            <v>157501</v>
          </cell>
          <cell r="K1170">
            <v>41238.300000000003</v>
          </cell>
          <cell r="L1170">
            <v>7340</v>
          </cell>
          <cell r="M1170">
            <v>409646</v>
          </cell>
          <cell r="N1170">
            <v>7163</v>
          </cell>
          <cell r="O1170">
            <v>5760</v>
          </cell>
          <cell r="P1170">
            <v>0</v>
          </cell>
          <cell r="Q1170">
            <v>0</v>
          </cell>
          <cell r="R1170">
            <v>145062.13999999998</v>
          </cell>
          <cell r="S1170">
            <v>12.791273888777194</v>
          </cell>
          <cell r="T1170">
            <v>0.47607100000000002</v>
          </cell>
          <cell r="U1170">
            <v>3.0985963352371674E-3</v>
          </cell>
          <cell r="V1170">
            <v>2.1999999999999999E-2</v>
          </cell>
          <cell r="W1170">
            <v>0.26724000000000003</v>
          </cell>
          <cell r="X1170">
            <v>7.3737282208258881</v>
          </cell>
          <cell r="Y1170">
            <v>9.39</v>
          </cell>
          <cell r="Z1170">
            <v>0</v>
          </cell>
          <cell r="AA1170">
            <v>0</v>
          </cell>
          <cell r="AB1170">
            <v>0</v>
          </cell>
          <cell r="AC1170">
            <v>0.19850090755407804</v>
          </cell>
          <cell r="AD1170">
            <v>9.3388872056112612E-2</v>
          </cell>
          <cell r="AE1170">
            <v>0</v>
          </cell>
          <cell r="AF1170">
            <v>14.479069622565106</v>
          </cell>
          <cell r="AG1170">
            <v>7.2177020599013719</v>
          </cell>
          <cell r="AH1170">
            <v>202606</v>
          </cell>
          <cell r="AJ1170" t="str">
            <v>GPOC: Prod'n deferred due to Power shutdown. Out of 269 total wells, 168 wells are currently flowing.
SPOC: 5,150 bbl transfer to Tharjiath COST tank level.
Sakhalin-1:Production deferment is Shut in of Gas Injection Compressor-1 at Odoptu for repair.Shutdown of well OP-23 at Odoptu to conduct a 12-month Flow analysis test.</v>
          </cell>
        </row>
        <row r="1171">
          <cell r="C1171">
            <v>46179</v>
          </cell>
          <cell r="D1171">
            <v>335599</v>
          </cell>
          <cell r="E1171">
            <v>30075</v>
          </cell>
          <cell r="F1171">
            <v>22021.88</v>
          </cell>
          <cell r="G1171">
            <v>4679</v>
          </cell>
          <cell r="H1171">
            <v>1929</v>
          </cell>
          <cell r="I1171">
            <v>174834</v>
          </cell>
          <cell r="J1171">
            <v>154142</v>
          </cell>
          <cell r="K1171">
            <v>42836.99</v>
          </cell>
          <cell r="L1171">
            <v>14976</v>
          </cell>
          <cell r="M1171">
            <v>385471</v>
          </cell>
          <cell r="N1171">
            <v>7168</v>
          </cell>
          <cell r="O1171">
            <v>5543</v>
          </cell>
          <cell r="P1171">
            <v>0</v>
          </cell>
          <cell r="Q1171">
            <v>0</v>
          </cell>
          <cell r="R1171">
            <v>145410.78425000003</v>
          </cell>
          <cell r="S1171">
            <v>12.410978997414672</v>
          </cell>
          <cell r="T1171">
            <v>0.46762900000000002</v>
          </cell>
          <cell r="U1171">
            <v>3.5217345751202755E-3</v>
          </cell>
          <cell r="V1171">
            <v>2.1000000000000001E-2</v>
          </cell>
          <cell r="W1171">
            <v>0.26745999999999998</v>
          </cell>
          <cell r="X1171">
            <v>7.5280548893237089</v>
          </cell>
          <cell r="Y1171">
            <v>9.44</v>
          </cell>
          <cell r="Z1171">
            <v>0</v>
          </cell>
          <cell r="AA1171">
            <v>0</v>
          </cell>
          <cell r="AB1171">
            <v>0</v>
          </cell>
          <cell r="AC1171">
            <v>0.20189892594302089</v>
          </cell>
          <cell r="AD1171">
            <v>9.1321744202839047E-2</v>
          </cell>
          <cell r="AE1171">
            <v>0</v>
          </cell>
          <cell r="AF1171">
            <v>14.480173978541513</v>
          </cell>
          <cell r="AG1171">
            <v>7.2476190994260463</v>
          </cell>
          <cell r="AH1171">
            <v>202606</v>
          </cell>
          <cell r="AJ1171" t="str">
            <v>GPOC: Prod'n deferred due to Power shutdown. Out of 269 total wells, 168 wells are currently flowing.
Sakhalin-1:Production deferment is Shut in of Gas Injection Compressor-1 at Odoptu for repairShutdown of well OP-23 at Odoptu to conduct a 12-month Flow analysis test.</v>
          </cell>
        </row>
        <row r="1172">
          <cell r="C1172">
            <v>46180</v>
          </cell>
          <cell r="D1172">
            <v>326188</v>
          </cell>
          <cell r="E1172">
            <v>24635</v>
          </cell>
          <cell r="F1172">
            <v>7280.12</v>
          </cell>
          <cell r="G1172">
            <v>4665</v>
          </cell>
          <cell r="H1172">
            <v>1909</v>
          </cell>
          <cell r="I1172">
            <v>176094</v>
          </cell>
          <cell r="J1172">
            <v>150808</v>
          </cell>
          <cell r="K1172">
            <v>45716.27</v>
          </cell>
          <cell r="L1172">
            <v>9361</v>
          </cell>
          <cell r="M1172">
            <v>366823</v>
          </cell>
          <cell r="N1172">
            <v>7338</v>
          </cell>
          <cell r="O1172">
            <v>5513</v>
          </cell>
          <cell r="P1172">
            <v>0</v>
          </cell>
          <cell r="Q1172">
            <v>0</v>
          </cell>
          <cell r="R1172">
            <v>131331.62174999999</v>
          </cell>
          <cell r="S1172">
            <v>12.409279988220199</v>
          </cell>
          <cell r="T1172">
            <v>0.41500799999999999</v>
          </cell>
          <cell r="U1172">
            <v>1.4768071086544697E-3</v>
          </cell>
          <cell r="V1172">
            <v>2.5000000000000001E-2</v>
          </cell>
          <cell r="W1172">
            <v>0.26466000000000001</v>
          </cell>
          <cell r="X1172">
            <v>7.6873086844854974</v>
          </cell>
          <cell r="Y1172">
            <v>9.3800000000000008</v>
          </cell>
          <cell r="Z1172">
            <v>0</v>
          </cell>
          <cell r="AA1172">
            <v>0</v>
          </cell>
          <cell r="AB1172">
            <v>0</v>
          </cell>
          <cell r="AC1172">
            <v>0.19028902978079948</v>
          </cell>
          <cell r="AD1172">
            <v>8.3732836467533336E-2</v>
          </cell>
          <cell r="AE1172">
            <v>0</v>
          </cell>
          <cell r="AF1172">
            <v>14.445938943272914</v>
          </cell>
          <cell r="AG1172">
            <v>7.2386798847718374</v>
          </cell>
          <cell r="AH1172">
            <v>202606</v>
          </cell>
          <cell r="AJ1172" t="str">
            <v>GPOC: Prod'n deferred due to Power shutdown. Out of 269 total wells, 168 wells are currently flowing.
SPOC: 1,088 bbl transfer to Tharjiath COST tank level.
Sakhalin-1:Production deferment is observed due to shut in of Gas Injection Compressor-1 at Odoptu for repair.
LZC: Due to Rigmovement . Prod'n are Optimizes for Safety Reasons.
CPO-5: prod'n deferred due to community blockade.
CPO-5: prod'n deferred due to community blockade.</v>
          </cell>
        </row>
        <row r="1173">
          <cell r="C1173">
            <v>46181</v>
          </cell>
          <cell r="D1173">
            <v>309902</v>
          </cell>
          <cell r="E1173">
            <v>27101</v>
          </cell>
          <cell r="F1173">
            <v>16695.38</v>
          </cell>
          <cell r="G1173">
            <v>4695</v>
          </cell>
          <cell r="H1173">
            <v>1980</v>
          </cell>
          <cell r="I1173">
            <v>146631</v>
          </cell>
          <cell r="J1173">
            <v>156337</v>
          </cell>
          <cell r="K1173">
            <v>49484.15</v>
          </cell>
          <cell r="L1173">
            <v>13623</v>
          </cell>
          <cell r="M1173">
            <v>416483</v>
          </cell>
          <cell r="N1173">
            <v>4996</v>
          </cell>
          <cell r="O1173">
            <v>5514</v>
          </cell>
          <cell r="P1173">
            <v>0</v>
          </cell>
          <cell r="Q1173">
            <v>0</v>
          </cell>
          <cell r="R1173">
            <v>137442.05575</v>
          </cell>
          <cell r="S1173">
            <v>12.310171118542707</v>
          </cell>
          <cell r="T1173">
            <v>0.40967300000000001</v>
          </cell>
          <cell r="U1173">
            <v>2.4221924580981858E-3</v>
          </cell>
          <cell r="V1173">
            <v>2.1999999999999999E-2</v>
          </cell>
          <cell r="W1173">
            <v>0.26539999999999997</v>
          </cell>
          <cell r="X1173">
            <v>6.2035356381336948</v>
          </cell>
          <cell r="Y1173">
            <v>9.44</v>
          </cell>
          <cell r="Z1173">
            <v>0</v>
          </cell>
          <cell r="AA1173">
            <v>0</v>
          </cell>
          <cell r="AB1173">
            <v>0</v>
          </cell>
          <cell r="AC1173">
            <v>0.12629301678904251</v>
          </cell>
          <cell r="AD1173">
            <v>0.10069461159233974</v>
          </cell>
          <cell r="AE1173">
            <v>0</v>
          </cell>
          <cell r="AF1173">
            <v>14.47281160536547</v>
          </cell>
          <cell r="AG1173">
            <v>6.9567393922399745</v>
          </cell>
          <cell r="AH1173">
            <v>202606</v>
          </cell>
          <cell r="AJ1173" t="str">
            <v>GPOC:Prod'n deferred due to power tripped.
CPO-5: prod'n deferred due to community blockade
Sakhalin-1:Production deferment is observed due to shut in of Gas Injection Compressor-1 at Odoptu for repair.
PCB:"Prod'n deferred due to a general shutdown caused by a breaker trip in the high-voltage circuit, affecting process equipment and wells.</v>
          </cell>
        </row>
        <row r="1174">
          <cell r="C1174">
            <v>46182</v>
          </cell>
          <cell r="D1174">
            <v>297205</v>
          </cell>
          <cell r="E1174">
            <v>32648</v>
          </cell>
          <cell r="F1174">
            <v>22180.76</v>
          </cell>
          <cell r="G1174">
            <v>4701</v>
          </cell>
          <cell r="H1174">
            <v>1964</v>
          </cell>
          <cell r="I1174">
            <v>125372</v>
          </cell>
          <cell r="J1174">
            <v>153177</v>
          </cell>
          <cell r="K1174">
            <v>51575.72</v>
          </cell>
          <cell r="L1174">
            <v>12329</v>
          </cell>
          <cell r="M1174">
            <v>431124</v>
          </cell>
          <cell r="N1174">
            <v>7191</v>
          </cell>
          <cell r="O1174">
            <v>5534</v>
          </cell>
          <cell r="P1174">
            <v>0</v>
          </cell>
          <cell r="Q1174">
            <v>0</v>
          </cell>
          <cell r="R1174">
            <v>138367.5295</v>
          </cell>
          <cell r="S1174">
            <v>12.669511563173408</v>
          </cell>
          <cell r="T1174">
            <v>0.42742000000000002</v>
          </cell>
          <cell r="U1174">
            <v>3.5888737551218043E-3</v>
          </cell>
          <cell r="V1174">
            <v>2.5000000000000001E-2</v>
          </cell>
          <cell r="W1174">
            <v>0.27912999999999999</v>
          </cell>
          <cell r="X1174">
            <v>6.5629893500440319</v>
          </cell>
          <cell r="Y1174">
            <v>9.8699999999999992</v>
          </cell>
          <cell r="Z1174">
            <v>0</v>
          </cell>
          <cell r="AA1174">
            <v>0</v>
          </cell>
          <cell r="AB1174">
            <v>0</v>
          </cell>
          <cell r="AC1174">
            <v>0.18859002058632807</v>
          </cell>
          <cell r="AD1174">
            <v>9.6985108184410446E-2</v>
          </cell>
          <cell r="AE1174">
            <v>0</v>
          </cell>
          <cell r="AF1174">
            <v>14.489943281409724</v>
          </cell>
          <cell r="AG1174">
            <v>7.1792437866095415</v>
          </cell>
          <cell r="AH1174">
            <v>202606</v>
          </cell>
          <cell r="AJ1174" t="str">
            <v>GPOC:Prod'n deferred due to power tripped.
Sakhalin-1:Prod'n deferred due to blackout at Chayvo Onshore Processing Facility following shutdown of the power generation module on 08-Jun-2026. A total of 62 wells were shut in ramp-up commenced on 09-Jun-2026 with 55 wells reopened.
ACG: Prod'n deferred due to Low of Central Azeri PDQ.</v>
          </cell>
        </row>
        <row r="1175">
          <cell r="C1175">
            <v>46183</v>
          </cell>
          <cell r="D1175">
            <v>314327</v>
          </cell>
          <cell r="E1175">
            <v>33899</v>
          </cell>
          <cell r="F1175">
            <v>22186.11</v>
          </cell>
          <cell r="G1175">
            <v>4652</v>
          </cell>
          <cell r="H1175">
            <v>2093</v>
          </cell>
          <cell r="I1175">
            <v>170860</v>
          </cell>
          <cell r="J1175">
            <v>153016</v>
          </cell>
          <cell r="K1175">
            <v>55272.45</v>
          </cell>
          <cell r="L1175">
            <v>13642</v>
          </cell>
          <cell r="M1175">
            <v>455572</v>
          </cell>
          <cell r="N1175">
            <v>7303</v>
          </cell>
          <cell r="O1175">
            <v>5506</v>
          </cell>
          <cell r="P1175">
            <v>0</v>
          </cell>
          <cell r="Q1175">
            <v>0</v>
          </cell>
          <cell r="R1175">
            <v>150590.08674999999</v>
          </cell>
          <cell r="S1175">
            <v>12.273076084463408</v>
          </cell>
          <cell r="T1175">
            <v>0.47510000000000002</v>
          </cell>
          <cell r="U1175">
            <v>3.7126182581191402E-3</v>
          </cell>
          <cell r="V1175">
            <v>2.4E-2</v>
          </cell>
          <cell r="W1175">
            <v>0.27514</v>
          </cell>
          <cell r="X1175">
            <v>6.6167346742291446</v>
          </cell>
          <cell r="Y1175">
            <v>9.85</v>
          </cell>
          <cell r="Z1175">
            <v>0</v>
          </cell>
          <cell r="AA1175">
            <v>0</v>
          </cell>
          <cell r="AB1175">
            <v>0</v>
          </cell>
          <cell r="AC1175">
            <v>0.1996335803503923</v>
          </cell>
          <cell r="AD1175">
            <v>8.7668874434725486E-2</v>
          </cell>
          <cell r="AE1175">
            <v>0</v>
          </cell>
          <cell r="AF1175">
            <v>14.469640121535789</v>
          </cell>
          <cell r="AG1175">
            <v>7.1756174745899015</v>
          </cell>
          <cell r="AH1175">
            <v>202606</v>
          </cell>
          <cell r="AJ1175" t="str">
            <v>GPOC:Prod'n deferred due to power tripped.
ACG: Prod'n deferred due to Low of Central Azeri PDQ.
CPO-5: DPR are delayed due to AVM issues during the reports generation.</v>
          </cell>
        </row>
        <row r="1176">
          <cell r="C1176">
            <v>46184</v>
          </cell>
          <cell r="D1176">
            <v>314293</v>
          </cell>
          <cell r="E1176">
            <v>34843</v>
          </cell>
          <cell r="F1176">
            <v>22178.880000000001</v>
          </cell>
          <cell r="G1176">
            <v>4610</v>
          </cell>
          <cell r="H1176">
            <v>1987</v>
          </cell>
          <cell r="I1176">
            <v>181788</v>
          </cell>
          <cell r="J1176">
            <v>152310</v>
          </cell>
          <cell r="K1176">
            <v>55988.47</v>
          </cell>
          <cell r="L1176">
            <v>14436</v>
          </cell>
          <cell r="M1176">
            <v>464488</v>
          </cell>
          <cell r="N1176">
            <v>7253</v>
          </cell>
          <cell r="O1176">
            <v>5528</v>
          </cell>
          <cell r="P1176">
            <v>0</v>
          </cell>
          <cell r="Q1176">
            <v>0</v>
          </cell>
          <cell r="R1176">
            <v>153444.44874999998</v>
          </cell>
          <cell r="S1176">
            <v>12.335373088260692</v>
          </cell>
          <cell r="T1176">
            <v>0.480381</v>
          </cell>
          <cell r="U1176">
            <v>3.695344997975347E-3</v>
          </cell>
          <cell r="V1176">
            <v>2.4E-2</v>
          </cell>
          <cell r="W1176">
            <v>0.26693</v>
          </cell>
          <cell r="X1176">
            <v>7.5289999999999999</v>
          </cell>
          <cell r="Y1176">
            <v>9.8800000000000008</v>
          </cell>
          <cell r="Z1176">
            <v>0</v>
          </cell>
          <cell r="AA1176">
            <v>0</v>
          </cell>
          <cell r="AB1176">
            <v>0</v>
          </cell>
          <cell r="AC1176">
            <v>0.19566922556329233</v>
          </cell>
          <cell r="AD1176">
            <v>8.8376794932421898E-2</v>
          </cell>
          <cell r="AE1176">
            <v>0</v>
          </cell>
          <cell r="AF1176">
            <v>14.478078533868331</v>
          </cell>
          <cell r="AG1176">
            <v>7.3621902163741737</v>
          </cell>
          <cell r="AH1176">
            <v>202606</v>
          </cell>
          <cell r="AJ1176" t="str">
            <v xml:space="preserve">GPOC:Prod'n deferred due to power tripped.
CPO-5: DPR are delayed due to AVM issues during the reports generation.
</v>
          </cell>
        </row>
        <row r="1177">
          <cell r="C1177">
            <v>46185</v>
          </cell>
          <cell r="D1177">
            <v>319375</v>
          </cell>
          <cell r="E1177">
            <v>34660</v>
          </cell>
          <cell r="F1177">
            <v>22042.28</v>
          </cell>
          <cell r="G1177">
            <v>4646</v>
          </cell>
          <cell r="H1177">
            <v>1956</v>
          </cell>
          <cell r="I1177">
            <v>156646</v>
          </cell>
          <cell r="J1177">
            <v>154274</v>
          </cell>
          <cell r="K1177">
            <v>53775.03</v>
          </cell>
          <cell r="L1177">
            <v>12760</v>
          </cell>
          <cell r="M1177">
            <v>446712</v>
          </cell>
          <cell r="N1177">
            <v>7236</v>
          </cell>
          <cell r="O1177">
            <v>5535</v>
          </cell>
          <cell r="P1177">
            <v>0</v>
          </cell>
          <cell r="Q1177">
            <v>0</v>
          </cell>
          <cell r="R1177">
            <v>147249.50225000002</v>
          </cell>
          <cell r="S1177">
            <v>12.466479964434077</v>
          </cell>
          <cell r="T1177">
            <v>0.48164499999999999</v>
          </cell>
          <cell r="U1177">
            <v>3.7621726929578901E-3</v>
          </cell>
          <cell r="V1177">
            <v>2.5000000000000001E-2</v>
          </cell>
          <cell r="W1177">
            <v>0.25795000000000001</v>
          </cell>
          <cell r="X1177">
            <v>7.7610000000000001</v>
          </cell>
          <cell r="Y1177">
            <v>9.91</v>
          </cell>
          <cell r="Z1177">
            <v>0</v>
          </cell>
          <cell r="AA1177">
            <v>0</v>
          </cell>
          <cell r="AB1177">
            <v>0</v>
          </cell>
          <cell r="AC1177">
            <v>0.1928375435725066</v>
          </cell>
          <cell r="AD1177">
            <v>9.3926891634361895E-2</v>
          </cell>
          <cell r="AE1177">
            <v>0</v>
          </cell>
          <cell r="AF1177">
            <v>14.460890224184263</v>
          </cell>
          <cell r="AG1177">
            <v>7.4110729135177422</v>
          </cell>
          <cell r="AH1177">
            <v>202606</v>
          </cell>
          <cell r="AJ1177" t="str">
            <v>Sakhalin-1:Prod'n deferred due to planned maintenance activities. Crude Transfer Pump No. 3 at Berkut (15 wells shut-in 4,771 tpd) and Gas Injection Compressor No. 2 (8K hrs) at Odoptu (5 wells shut-in 1,358 tpd).</v>
          </cell>
        </row>
        <row r="1178">
          <cell r="C1178">
            <v>46186</v>
          </cell>
          <cell r="D1178">
            <v>324426</v>
          </cell>
          <cell r="E1178">
            <v>35088</v>
          </cell>
          <cell r="F1178">
            <v>22002.25</v>
          </cell>
          <cell r="G1178">
            <v>4680</v>
          </cell>
          <cell r="H1178">
            <v>1995</v>
          </cell>
          <cell r="I1178">
            <v>144489</v>
          </cell>
          <cell r="J1178">
            <v>155273</v>
          </cell>
          <cell r="K1178">
            <v>56301.95</v>
          </cell>
          <cell r="L1178">
            <v>10591</v>
          </cell>
          <cell r="M1178">
            <v>449307</v>
          </cell>
          <cell r="N1178">
            <v>7260</v>
          </cell>
          <cell r="O1178">
            <v>5546</v>
          </cell>
          <cell r="P1178">
            <v>0</v>
          </cell>
          <cell r="Q1178">
            <v>0</v>
          </cell>
          <cell r="R1178">
            <v>145588.42175000001</v>
          </cell>
          <cell r="S1178">
            <v>12.22720283621268</v>
          </cell>
          <cell r="T1178">
            <v>0.47885299999999997</v>
          </cell>
          <cell r="U1178">
            <v>3.7669865523422257E-3</v>
          </cell>
          <cell r="V1178">
            <v>2.5000000000000001E-2</v>
          </cell>
          <cell r="W1178">
            <v>0.2666</v>
          </cell>
          <cell r="X1178">
            <v>7.7140000000000004</v>
          </cell>
          <cell r="Y1178">
            <v>9.92</v>
          </cell>
          <cell r="Z1178">
            <v>0</v>
          </cell>
          <cell r="AA1178">
            <v>0</v>
          </cell>
          <cell r="AB1178">
            <v>0</v>
          </cell>
          <cell r="AC1178">
            <v>0.19425338456789948</v>
          </cell>
          <cell r="AD1178">
            <v>8.6507884818503342E-2</v>
          </cell>
          <cell r="AE1178">
            <v>0</v>
          </cell>
          <cell r="AF1178">
            <v>14.45219696047255</v>
          </cell>
          <cell r="AG1178">
            <v>7.4008805024694251</v>
          </cell>
          <cell r="AH1178">
            <v>202606</v>
          </cell>
          <cell r="AJ1178" t="str">
            <v>Sakhalin-1:Prod'n deferred due to planned maintenance activities. Crude Transfer Pump No. 3 at Berkut (15 wells shut-in 4,771 tpd) and Gas Injection Compressor No. 2 (8K hrs) at Odoptu (5 wells shut-in 1,358 tpd).
SPOC: 929 bbl transfer to Tharjiath COST tank level.</v>
          </cell>
        </row>
        <row r="1179">
          <cell r="C1179">
            <v>46187</v>
          </cell>
          <cell r="D1179">
            <v>330286</v>
          </cell>
          <cell r="E1179">
            <v>34893</v>
          </cell>
          <cell r="F1179">
            <v>22152.720000000001</v>
          </cell>
          <cell r="G1179">
            <v>4719</v>
          </cell>
          <cell r="H1179">
            <v>1971</v>
          </cell>
          <cell r="I1179">
            <v>147413</v>
          </cell>
          <cell r="J1179">
            <v>155402</v>
          </cell>
          <cell r="K1179">
            <v>57273.71</v>
          </cell>
          <cell r="L1179">
            <v>8974</v>
          </cell>
          <cell r="M1179">
            <v>450235</v>
          </cell>
          <cell r="N1179">
            <v>7147</v>
          </cell>
          <cell r="O1179">
            <v>5371</v>
          </cell>
          <cell r="P1179">
            <v>0</v>
          </cell>
          <cell r="Q1179">
            <v>0</v>
          </cell>
          <cell r="R1179">
            <v>146233.87450000001</v>
          </cell>
          <cell r="S1179">
            <v>12.56020863832908</v>
          </cell>
          <cell r="T1179">
            <v>0.47624100000000003</v>
          </cell>
          <cell r="U1179">
            <v>3.3714005782294622E-3</v>
          </cell>
          <cell r="V1179">
            <v>2.8000000000000001E-2</v>
          </cell>
          <cell r="W1179">
            <v>0.26186999999999999</v>
          </cell>
          <cell r="X1179">
            <v>7.643077811789424</v>
          </cell>
          <cell r="Y1179">
            <v>9.98</v>
          </cell>
          <cell r="Z1179">
            <v>0</v>
          </cell>
          <cell r="AA1179">
            <v>0</v>
          </cell>
          <cell r="AB1179">
            <v>0</v>
          </cell>
          <cell r="AC1179">
            <v>0.19651873016052807</v>
          </cell>
          <cell r="AD1179">
            <v>8.7357389415739048E-2</v>
          </cell>
          <cell r="AE1179">
            <v>0</v>
          </cell>
          <cell r="AF1179">
            <v>14.446986665609504</v>
          </cell>
          <cell r="AG1179">
            <v>7.4078044842665811</v>
          </cell>
          <cell r="AH1179">
            <v>202606</v>
          </cell>
          <cell r="AJ1179" t="str">
            <v>Sakhalin-1:Prod'n deferred due to planned maintenance activities. Crude Transfer Pump No. 3 at Berkut (15 wells shut-in 4,771 tpd) and Gas Injection Compressor No. 2 (8K hrs) at Odoptu (5 wells shut-in 1,358 tpd).
SPOC: 2,957 bbl transfer to Tharjiath COST tank level.</v>
          </cell>
        </row>
        <row r="1180">
          <cell r="C1180">
            <v>46188</v>
          </cell>
          <cell r="D1180">
            <v>326615</v>
          </cell>
          <cell r="E1180">
            <v>34761</v>
          </cell>
          <cell r="F1180">
            <v>22075.68</v>
          </cell>
          <cell r="G1180">
            <v>4749</v>
          </cell>
          <cell r="H1180">
            <v>1960</v>
          </cell>
          <cell r="I1180">
            <v>147198</v>
          </cell>
          <cell r="J1180">
            <v>154498</v>
          </cell>
          <cell r="K1180">
            <v>52213.53</v>
          </cell>
          <cell r="L1180">
            <v>12405</v>
          </cell>
          <cell r="M1180">
            <v>471554</v>
          </cell>
          <cell r="N1180">
            <v>7223</v>
          </cell>
          <cell r="O1180">
            <v>5290</v>
          </cell>
          <cell r="P1180">
            <v>0</v>
          </cell>
          <cell r="Q1180">
            <v>0</v>
          </cell>
          <cell r="R1180">
            <v>146154.2935</v>
          </cell>
          <cell r="S1180">
            <v>12.65960067620566</v>
          </cell>
          <cell r="T1180">
            <v>0.47827500000000001</v>
          </cell>
          <cell r="U1180">
            <v>3.3977352207437694E-3</v>
          </cell>
          <cell r="V1180">
            <v>2.5000000000000001E-2</v>
          </cell>
          <cell r="W1180">
            <v>0.26092000000000004</v>
          </cell>
          <cell r="X1180">
            <v>7.6651366144976452</v>
          </cell>
          <cell r="Y1180">
            <v>10.11</v>
          </cell>
          <cell r="Z1180">
            <v>0</v>
          </cell>
          <cell r="AA1180">
            <v>0</v>
          </cell>
          <cell r="AB1180">
            <v>0</v>
          </cell>
          <cell r="AC1180">
            <v>0.19397021636882089</v>
          </cell>
          <cell r="AD1180">
            <v>8.3138183249468339E-2</v>
          </cell>
          <cell r="AE1180">
            <v>0</v>
          </cell>
          <cell r="AF1180">
            <v>14.419887468957684</v>
          </cell>
          <cell r="AG1180">
            <v>7.4404477595017084</v>
          </cell>
          <cell r="AH1180">
            <v>202606</v>
          </cell>
          <cell r="AJ1180" t="str">
            <v>Sakhalin-1: Prod'n deferred due to maintenance of Crude Transfer Pump No. 3 at Berkut and Gas Injection Compressor No. 2 (8K hrs) at Odoptu.
GPOC: 9 Wells stopped on 15.06.26 as per instructions to flush the export line.</v>
          </cell>
        </row>
        <row r="1181">
          <cell r="C1181">
            <v>46189</v>
          </cell>
          <cell r="D1181">
            <v>350415</v>
          </cell>
          <cell r="E1181">
            <v>35327</v>
          </cell>
          <cell r="F1181">
            <v>22147.62</v>
          </cell>
          <cell r="G1181">
            <v>4824</v>
          </cell>
          <cell r="H1181">
            <v>1929</v>
          </cell>
          <cell r="I1181">
            <v>146434</v>
          </cell>
          <cell r="J1181">
            <v>154381</v>
          </cell>
          <cell r="K1181">
            <v>50334.49</v>
          </cell>
          <cell r="L1181">
            <v>10937</v>
          </cell>
          <cell r="M1181">
            <v>458527</v>
          </cell>
          <cell r="N1181">
            <v>7231</v>
          </cell>
          <cell r="O1181">
            <v>5422</v>
          </cell>
          <cell r="P1181">
            <v>0</v>
          </cell>
          <cell r="Q1181">
            <v>0</v>
          </cell>
          <cell r="R1181">
            <v>145585.5865</v>
          </cell>
          <cell r="S1181">
            <v>12.659317508006582</v>
          </cell>
          <cell r="T1181">
            <v>0.48463299999999998</v>
          </cell>
          <cell r="U1181">
            <v>3.6024658286775758E-3</v>
          </cell>
          <cell r="V1181">
            <v>2.5000000000000001E-2</v>
          </cell>
          <cell r="W1181">
            <v>0.25344</v>
          </cell>
          <cell r="X1181">
            <v>8.0144529048809705</v>
          </cell>
          <cell r="Y1181">
            <v>9.92</v>
          </cell>
          <cell r="Z1181">
            <v>0</v>
          </cell>
          <cell r="AA1181">
            <v>0</v>
          </cell>
          <cell r="AB1181">
            <v>0</v>
          </cell>
          <cell r="AC1181">
            <v>0.19397021636882089</v>
          </cell>
          <cell r="AD1181">
            <v>9.2369466539429748E-2</v>
          </cell>
          <cell r="AE1181">
            <v>0</v>
          </cell>
          <cell r="AF1181">
            <v>14.439312807414476</v>
          </cell>
          <cell r="AG1181">
            <v>7.462134215762191</v>
          </cell>
          <cell r="AH1181">
            <v>202606</v>
          </cell>
          <cell r="AJ1181" t="str">
            <v>Sakhalin-1: Prod'n deferred due to maintenance of Crude Transfer Pump No. 3 at Berkut and Gas Injection Compressor No. 2 (8K hrs) at Odoptu.
SPOC: 838 bbl transfer to Tharjiath COST tank level.
GPOC: Prod'n deferred due to power tripped in Toma South, EL Nar &amp; EL Toor. 9 Wells stopped on 15.06.26 as per instructions to flush the export line.</v>
          </cell>
        </row>
        <row r="1182">
          <cell r="C1182">
            <v>46190</v>
          </cell>
          <cell r="D1182">
            <v>321705</v>
          </cell>
          <cell r="E1182">
            <v>36208</v>
          </cell>
          <cell r="F1182">
            <v>22113.31</v>
          </cell>
          <cell r="G1182">
            <v>4851</v>
          </cell>
          <cell r="H1182">
            <v>2041</v>
          </cell>
          <cell r="I1182">
            <v>140315</v>
          </cell>
          <cell r="J1182">
            <v>155579</v>
          </cell>
          <cell r="K1182">
            <v>44371.360000000001</v>
          </cell>
          <cell r="L1182">
            <v>13247</v>
          </cell>
          <cell r="M1182">
            <v>326426</v>
          </cell>
          <cell r="N1182">
            <v>7198</v>
          </cell>
          <cell r="O1182">
            <v>5519</v>
          </cell>
          <cell r="P1182">
            <v>0</v>
          </cell>
          <cell r="Q1182">
            <v>0</v>
          </cell>
          <cell r="R1182">
            <v>137990.48699999999</v>
          </cell>
          <cell r="S1182">
            <v>12.613727427954929</v>
          </cell>
          <cell r="T1182">
            <v>0.48975299999999999</v>
          </cell>
          <cell r="U1182">
            <v>3.6024658286775758E-3</v>
          </cell>
          <cell r="V1182">
            <v>2.8000000000000001E-2</v>
          </cell>
          <cell r="W1182">
            <v>0.26500999999999997</v>
          </cell>
          <cell r="X1182">
            <v>8.0217869612371047</v>
          </cell>
          <cell r="Y1182">
            <v>10.029999999999999</v>
          </cell>
          <cell r="Z1182">
            <v>0</v>
          </cell>
          <cell r="AA1182">
            <v>0</v>
          </cell>
          <cell r="AB1182">
            <v>0</v>
          </cell>
          <cell r="AC1182">
            <v>0.19425338456789948</v>
          </cell>
          <cell r="AD1182">
            <v>8.6762736197674051E-2</v>
          </cell>
          <cell r="AE1182">
            <v>0</v>
          </cell>
          <cell r="AF1182">
            <v>14.457350621695781</v>
          </cell>
          <cell r="AG1182">
            <v>7.5061748019849244</v>
          </cell>
          <cell r="AH1182">
            <v>202606</v>
          </cell>
          <cell r="AJ1182" t="str">
            <v>Sakhalin-1: Prod'n deferred due to maintenance of Crude Transfer Pump No. 3 at Berkut and Gas Injection Compressor No. 2 (8K hrs) at Odoptu.
LZC:Prod'n deferred due to DAS ullage constraints.
GPOC: Prod'n deferred due to power tripped in Toma South, EL Nar &amp; EL Toor. 9 Wells stopped on 15.06.26 as per instructions to flush the export line.</v>
          </cell>
        </row>
        <row r="1183">
          <cell r="C1183">
            <v>46191</v>
          </cell>
          <cell r="D1183">
            <v>332161</v>
          </cell>
          <cell r="E1183">
            <v>35868</v>
          </cell>
          <cell r="F1183">
            <v>22000.99</v>
          </cell>
          <cell r="G1183">
            <v>4816</v>
          </cell>
          <cell r="H1183">
            <v>1933</v>
          </cell>
          <cell r="I1183">
            <v>154473</v>
          </cell>
          <cell r="J1183">
            <v>156303</v>
          </cell>
          <cell r="K1183">
            <v>44449.09</v>
          </cell>
          <cell r="L1183">
            <v>14673</v>
          </cell>
          <cell r="M1183">
            <v>441792</v>
          </cell>
          <cell r="N1183">
            <v>7278</v>
          </cell>
          <cell r="O1183">
            <v>5611</v>
          </cell>
          <cell r="P1183">
            <v>0</v>
          </cell>
          <cell r="Q1183">
            <v>0</v>
          </cell>
          <cell r="R1183">
            <v>146043.93599999999</v>
          </cell>
          <cell r="S1183">
            <v>12.546333396574228</v>
          </cell>
          <cell r="T1183">
            <v>0.49262400000000001</v>
          </cell>
          <cell r="U1183">
            <v>3.671275701053669E-3</v>
          </cell>
          <cell r="V1183">
            <v>2.5000000000000001E-2</v>
          </cell>
          <cell r="W1183">
            <v>0.25490999999999997</v>
          </cell>
          <cell r="X1183">
            <v>8.256788249652411</v>
          </cell>
          <cell r="Y1183">
            <v>9.8800000000000008</v>
          </cell>
          <cell r="Z1183">
            <v>0</v>
          </cell>
          <cell r="AA1183">
            <v>0</v>
          </cell>
          <cell r="AB1183">
            <v>0</v>
          </cell>
          <cell r="AC1183">
            <v>0.19708506655868518</v>
          </cell>
          <cell r="AD1183">
            <v>8.3308084168915497E-2</v>
          </cell>
          <cell r="AE1183">
            <v>0</v>
          </cell>
          <cell r="AF1183">
            <v>14.439822510172817</v>
          </cell>
          <cell r="AG1183">
            <v>7.4973287994986801</v>
          </cell>
          <cell r="AH1183">
            <v>202606</v>
          </cell>
          <cell r="AJ1183" t="str">
            <v>Sakhalin-1: Prod'n deferred due to planned maintenance of Gas Injection Compressor No. 2 (8K hrs) at Odoptu. Prod'n ramped up at Berkut after startup of Crude Transfer Pump No. 3.
GPOC: Prod'n deferred due to power interruptions and shut-in wells in Toma South, Unity, El Nar and Munga; El Toor production was impacted by export line flushing/high back pressure and security-related well shutdowns.</v>
          </cell>
        </row>
        <row r="1184">
          <cell r="C1184">
            <v>46192</v>
          </cell>
          <cell r="D1184">
            <v>342256</v>
          </cell>
          <cell r="E1184">
            <v>35975</v>
          </cell>
          <cell r="F1184">
            <v>22083.73</v>
          </cell>
          <cell r="G1184">
            <v>4797</v>
          </cell>
          <cell r="H1184">
            <v>1955</v>
          </cell>
          <cell r="I1184">
            <v>135205</v>
          </cell>
          <cell r="J1184">
            <v>150871</v>
          </cell>
          <cell r="K1184">
            <v>46323.27</v>
          </cell>
          <cell r="L1184">
            <v>12634</v>
          </cell>
          <cell r="M1184">
            <v>440132</v>
          </cell>
          <cell r="N1184">
            <v>7253</v>
          </cell>
          <cell r="O1184">
            <v>5555</v>
          </cell>
          <cell r="P1184">
            <v>0</v>
          </cell>
          <cell r="Q1184">
            <v>0</v>
          </cell>
          <cell r="R1184">
            <v>141057.68899999998</v>
          </cell>
          <cell r="S1184">
            <v>12.678289777344846</v>
          </cell>
          <cell r="T1184">
            <v>0.49325600000000003</v>
          </cell>
          <cell r="U1184">
            <v>3.7335727048509542E-3</v>
          </cell>
          <cell r="V1184">
            <v>2.5000000000000001E-2</v>
          </cell>
          <cell r="W1184">
            <v>0.25158000000000003</v>
          </cell>
          <cell r="X1184">
            <v>7.9864475699920989</v>
          </cell>
          <cell r="Y1184">
            <v>9.89</v>
          </cell>
          <cell r="Z1184">
            <v>0</v>
          </cell>
          <cell r="AA1184">
            <v>0</v>
          </cell>
          <cell r="AB1184">
            <v>0</v>
          </cell>
          <cell r="AC1184">
            <v>0.19028902978079948</v>
          </cell>
          <cell r="AD1184">
            <v>8.786709217408048E-2</v>
          </cell>
          <cell r="AE1184">
            <v>0</v>
          </cell>
          <cell r="AF1184">
            <v>14.417735390644689</v>
          </cell>
          <cell r="AG1184">
            <v>7.4438822565408733</v>
          </cell>
          <cell r="AH1184">
            <v>202606</v>
          </cell>
          <cell r="AJ1184" t="str">
            <v xml:space="preserve">Sakhalin-1: Prod'n deferred on 19 Jun 2026 due to planned maintenance of Gas Injection Compressor No. 2 (8K hrs) in Odoptu and temporary oil rate reduction to ensure stable start-up of new well DP-43D ST2 in Arkutun Dagi, which commenced production at 11,719 BOPD.
GPOC: Prod'n deferred due to power interruptions and shut-in wells in Toma South, Unity, El Nar and Munga; El Toor production was impacted by export line flushing/high back pressure and security-related well shutdowns.
Vankor : prod'n deferred due to installation of sleeves for the sections of oil-gathering pipeline.
  </v>
          </cell>
        </row>
        <row r="1185">
          <cell r="C1185">
            <v>46193</v>
          </cell>
          <cell r="D1185">
            <v>330059</v>
          </cell>
          <cell r="E1185">
            <v>35597</v>
          </cell>
          <cell r="F1185">
            <v>21940.25</v>
          </cell>
          <cell r="G1185">
            <v>4848</v>
          </cell>
          <cell r="H1185">
            <v>1877</v>
          </cell>
          <cell r="I1185">
            <v>169016</v>
          </cell>
          <cell r="J1185">
            <v>157793</v>
          </cell>
          <cell r="K1185">
            <v>45224.94</v>
          </cell>
          <cell r="L1185">
            <v>12749</v>
          </cell>
          <cell r="M1185">
            <v>446130</v>
          </cell>
          <cell r="N1185">
            <v>7087</v>
          </cell>
          <cell r="O1185">
            <v>5606</v>
          </cell>
          <cell r="P1185">
            <v>0</v>
          </cell>
          <cell r="Q1185">
            <v>0</v>
          </cell>
          <cell r="R1185">
            <v>149003.07200000001</v>
          </cell>
          <cell r="S1185">
            <v>12.62505415591807</v>
          </cell>
          <cell r="T1185">
            <v>0.50130799999999998</v>
          </cell>
          <cell r="U1185">
            <v>3.781144962296154E-3</v>
          </cell>
          <cell r="V1185">
            <v>2.5999999999999999E-2</v>
          </cell>
          <cell r="W1185">
            <v>0.23377000000000001</v>
          </cell>
          <cell r="X1185">
            <v>7.4004592988189053</v>
          </cell>
          <cell r="Y1185">
            <v>9.8000000000000007</v>
          </cell>
          <cell r="Z1185">
            <v>0</v>
          </cell>
          <cell r="AA1185">
            <v>0</v>
          </cell>
          <cell r="AB1185">
            <v>0</v>
          </cell>
          <cell r="AC1185">
            <v>0.19085536617895663</v>
          </cell>
          <cell r="AD1185">
            <v>9.0075804126893325E-2</v>
          </cell>
          <cell r="AE1185">
            <v>0</v>
          </cell>
          <cell r="AF1185">
            <v>14.431072612821289</v>
          </cell>
          <cell r="AG1185">
            <v>7.2898046099344462</v>
          </cell>
          <cell r="AH1185">
            <v>202606</v>
          </cell>
          <cell r="AJ1185" t="str">
            <v>Sakhalin-1: Prod'n deferred on 19 Jun 2026 due to planned maintenance of Gas Injection Compressor No. 2 (8K hrs) in Odoptu and temporary oil rate reduction to ensure stable start-up of new well DP-43D ST2 in Arkutun Dagi, which commenced production at 11,719 BOPD.
GPOC: Prod'n deferred due to power interruptions and shut-in wells in Toma South, Unity, El Nar and Munga; El Toor production was impacted by export line flushing/high back pressure and security-related well shutdowns.</v>
          </cell>
        </row>
        <row r="1186">
          <cell r="C1186">
            <v>46194</v>
          </cell>
          <cell r="D1186">
            <v>309428</v>
          </cell>
          <cell r="E1186">
            <v>35755</v>
          </cell>
          <cell r="F1186">
            <v>22019.93</v>
          </cell>
          <cell r="G1186">
            <v>4864</v>
          </cell>
          <cell r="H1186">
            <v>2059</v>
          </cell>
          <cell r="I1186">
            <v>174570</v>
          </cell>
          <cell r="J1186">
            <v>159539</v>
          </cell>
          <cell r="K1186">
            <v>48763.71</v>
          </cell>
          <cell r="L1186">
            <v>12681</v>
          </cell>
          <cell r="M1186">
            <v>439388</v>
          </cell>
          <cell r="N1186">
            <v>7079</v>
          </cell>
          <cell r="O1186">
            <v>5669</v>
          </cell>
          <cell r="P1186">
            <v>0</v>
          </cell>
          <cell r="Q1186">
            <v>0</v>
          </cell>
          <cell r="R1186">
            <v>150875.73875000002</v>
          </cell>
          <cell r="S1186">
            <v>12.736339258155954</v>
          </cell>
          <cell r="T1186">
            <v>0.51138700000000004</v>
          </cell>
          <cell r="U1186">
            <v>3.550362880047119E-3</v>
          </cell>
          <cell r="V1186">
            <v>2.7E-2</v>
          </cell>
          <cell r="W1186">
            <v>0.25196000000000002</v>
          </cell>
          <cell r="X1186">
            <v>6.5184186755090652</v>
          </cell>
          <cell r="Y1186">
            <v>9.9499999999999993</v>
          </cell>
          <cell r="Z1186">
            <v>0</v>
          </cell>
          <cell r="AA1186">
            <v>0</v>
          </cell>
          <cell r="AB1186">
            <v>0</v>
          </cell>
          <cell r="AC1186">
            <v>0.19085536617895663</v>
          </cell>
          <cell r="AD1186">
            <v>0.10514035231787329</v>
          </cell>
          <cell r="AE1186">
            <v>0</v>
          </cell>
          <cell r="AF1186">
            <v>14.438293401897793</v>
          </cell>
          <cell r="AG1186">
            <v>7.1843162579323341</v>
          </cell>
          <cell r="AH1186">
            <v>202606</v>
          </cell>
          <cell r="AJ1186" t="str">
            <v>GPOC:Production figures of GPOC have been received from the Expats. Remarks have not yet been received due to an internet issue.</v>
          </cell>
        </row>
        <row r="1187">
          <cell r="C1187">
            <v>46195</v>
          </cell>
          <cell r="D1187">
            <v>314881</v>
          </cell>
          <cell r="E1187">
            <v>35591</v>
          </cell>
          <cell r="F1187">
            <v>21897.57</v>
          </cell>
          <cell r="G1187">
            <v>4915</v>
          </cell>
          <cell r="H1187">
            <v>2005</v>
          </cell>
          <cell r="I1187">
            <v>175295</v>
          </cell>
          <cell r="J1187">
            <v>158214</v>
          </cell>
          <cell r="K1187">
            <v>53791.040000000001</v>
          </cell>
          <cell r="L1187">
            <v>14356</v>
          </cell>
          <cell r="M1187">
            <v>456047</v>
          </cell>
          <cell r="N1187">
            <v>6758</v>
          </cell>
          <cell r="O1187">
            <v>5521</v>
          </cell>
          <cell r="P1187">
            <v>0</v>
          </cell>
          <cell r="Q1187">
            <v>0</v>
          </cell>
          <cell r="R1187">
            <v>152910.08325</v>
          </cell>
          <cell r="S1187">
            <v>12.982695591354309</v>
          </cell>
          <cell r="T1187">
            <v>0.510745</v>
          </cell>
          <cell r="U1187">
            <v>3.5877410823254904E-3</v>
          </cell>
          <cell r="V1187">
            <v>2.7E-2</v>
          </cell>
          <cell r="W1187">
            <v>0.25046000000000002</v>
          </cell>
          <cell r="X1187">
            <v>7.5681798231331427</v>
          </cell>
          <cell r="Y1187">
            <v>9.82</v>
          </cell>
          <cell r="Z1187">
            <v>0</v>
          </cell>
          <cell r="AA1187">
            <v>0</v>
          </cell>
          <cell r="AB1187">
            <v>0</v>
          </cell>
          <cell r="AC1187">
            <v>0.18745734779001377</v>
          </cell>
          <cell r="AD1187">
            <v>0.10514035231787329</v>
          </cell>
          <cell r="AE1187">
            <v>0</v>
          </cell>
          <cell r="AF1187">
            <v>14.427901128991609</v>
          </cell>
          <cell r="AG1187">
            <v>7.3638606017863673</v>
          </cell>
          <cell r="AH1187">
            <v>202606</v>
          </cell>
          <cell r="AJ1187" t="str">
            <v xml:space="preserve">Sakhalin -1: Production deferment is observed due to planned maintenance of Gas Injection Compressor No. 2 (8K hrs) in Odoptu.
GPOC:Production figures of GPOC have been received from the Expats. Remarks have not yet been received due to an internet issue.
PCB : Prod'n deferred due to wells CGO-0071/75/77/88/92 found inactive on June 21, 2026 pm due to VFDs shutting down as a result of an electrical surge. </v>
          </cell>
        </row>
        <row r="1188">
          <cell r="C1188">
            <v>46196</v>
          </cell>
          <cell r="D1188">
            <v>291167</v>
          </cell>
          <cell r="E1188">
            <v>35497</v>
          </cell>
          <cell r="F1188">
            <v>21924.710000000003</v>
          </cell>
          <cell r="G1188">
            <v>4954</v>
          </cell>
          <cell r="H1188">
            <v>1946</v>
          </cell>
          <cell r="I1188">
            <v>174010</v>
          </cell>
          <cell r="J1188">
            <v>154723</v>
          </cell>
          <cell r="K1188">
            <v>57863.89</v>
          </cell>
          <cell r="L1188">
            <v>11567</v>
          </cell>
          <cell r="M1188">
            <v>450476</v>
          </cell>
          <cell r="N1188">
            <v>6967</v>
          </cell>
          <cell r="O1188">
            <v>5499</v>
          </cell>
          <cell r="P1188">
            <v>0</v>
          </cell>
          <cell r="Q1188">
            <v>0</v>
          </cell>
          <cell r="R1188">
            <v>151142.62300000002</v>
          </cell>
          <cell r="S1188">
            <v>12.917000569168081</v>
          </cell>
          <cell r="T1188">
            <v>0.51048499999999997</v>
          </cell>
          <cell r="U1188">
            <v>3.550362880047119E-3</v>
          </cell>
          <cell r="V1188">
            <v>2.5999999999999999E-2</v>
          </cell>
          <cell r="W1188">
            <v>0.27043</v>
          </cell>
          <cell r="X1188">
            <v>8.2490000000000006</v>
          </cell>
          <cell r="Y1188">
            <v>9.7200000000000006</v>
          </cell>
          <cell r="Z1188">
            <v>0</v>
          </cell>
          <cell r="AA1188">
            <v>0</v>
          </cell>
          <cell r="AB1188">
            <v>0</v>
          </cell>
          <cell r="AC1188">
            <v>0.19170487077619233</v>
          </cell>
          <cell r="AD1188">
            <v>8.8433428572237627E-2</v>
          </cell>
          <cell r="AE1188">
            <v>0</v>
          </cell>
          <cell r="AF1188">
            <v>14.41929281573962</v>
          </cell>
          <cell r="AG1188">
            <v>7.4838239025381785</v>
          </cell>
          <cell r="AH1188">
            <v>202606</v>
          </cell>
          <cell r="AJ1188" t="str">
            <v>Sakhalin -1: Production deferment is observed due to planned maintenance of Gas Injection Compressor No. 2 (8K hrs) in Odoptu.
GPOC:Production figures of GPOC have been received from the Expats. Remarks have not yet been received due to an internet issue.
PCB : Production affected due to decrease in flowing wells.
Vankor : Prod'n deferred due to Repair of defective section of oil-gathering pipeline. 
SPOC: Prod'n deferred due to increase in water cut.</v>
          </cell>
        </row>
        <row r="1189">
          <cell r="C1189">
            <v>46197</v>
          </cell>
          <cell r="D1189">
            <v>321406</v>
          </cell>
          <cell r="E1189">
            <v>35579</v>
          </cell>
          <cell r="F1189">
            <v>21087.82</v>
          </cell>
          <cell r="G1189">
            <v>4969</v>
          </cell>
          <cell r="H1189">
            <v>1946</v>
          </cell>
          <cell r="I1189">
            <v>184013</v>
          </cell>
          <cell r="J1189">
            <v>154818</v>
          </cell>
          <cell r="K1189">
            <v>58388.37</v>
          </cell>
          <cell r="L1189">
            <v>12146</v>
          </cell>
          <cell r="M1189">
            <v>453862</v>
          </cell>
          <cell r="N1189">
            <v>6925</v>
          </cell>
          <cell r="O1189">
            <v>5249</v>
          </cell>
          <cell r="P1189">
            <v>0</v>
          </cell>
          <cell r="Q1189">
            <v>0</v>
          </cell>
          <cell r="R1189">
            <v>153797.85450000002</v>
          </cell>
          <cell r="S1189">
            <v>12.678006609145767</v>
          </cell>
          <cell r="T1189">
            <v>0.51176600000000005</v>
          </cell>
          <cell r="U1189">
            <v>2.9319235332595206E-3</v>
          </cell>
          <cell r="V1189">
            <v>2.7E-2</v>
          </cell>
          <cell r="W1189">
            <v>0.25340000000000001</v>
          </cell>
          <cell r="X1189">
            <v>8.2230000000000008</v>
          </cell>
          <cell r="Y1189">
            <v>9.6999999999999993</v>
          </cell>
          <cell r="Z1189">
            <v>0</v>
          </cell>
          <cell r="AA1189">
            <v>0</v>
          </cell>
          <cell r="AB1189">
            <v>0</v>
          </cell>
          <cell r="AC1189">
            <v>0.19000586158172092</v>
          </cell>
          <cell r="AD1189">
            <v>9.9561938796025443E-2</v>
          </cell>
          <cell r="AE1189">
            <v>0</v>
          </cell>
          <cell r="AF1189">
            <v>14.393920945102181</v>
          </cell>
          <cell r="AG1189">
            <v>7.4502004942772828</v>
          </cell>
          <cell r="AH1189">
            <v>202606</v>
          </cell>
          <cell r="AJ1189" t="str">
            <v>PCB : Production affected due to decrease in flowing wells.
Vankor : Prod'n deferred due to Repair of defective section of oil-gathering pipeline. 
SPOC: Prod'n deferred due to increase in water cut.
CPO-5:Prod'n deferred due to well shut-in caused by a short circuit in the VSD, resulting in ESP shutdown at the INDICO-3 field.</v>
          </cell>
        </row>
        <row r="1190">
          <cell r="C1190">
            <v>46198</v>
          </cell>
          <cell r="D1190">
            <v>328716</v>
          </cell>
          <cell r="E1190">
            <v>35698</v>
          </cell>
          <cell r="F1190">
            <v>21148.06</v>
          </cell>
          <cell r="G1190">
            <v>5001</v>
          </cell>
          <cell r="H1190">
            <v>1970</v>
          </cell>
          <cell r="I1190">
            <v>183562</v>
          </cell>
          <cell r="J1190">
            <v>157539</v>
          </cell>
          <cell r="K1190">
            <v>57342.18</v>
          </cell>
          <cell r="L1190">
            <v>12082</v>
          </cell>
          <cell r="M1190">
            <v>440812</v>
          </cell>
          <cell r="N1190">
            <v>6686</v>
          </cell>
          <cell r="O1190">
            <v>5477</v>
          </cell>
          <cell r="P1190">
            <v>0</v>
          </cell>
          <cell r="Q1190">
            <v>0</v>
          </cell>
          <cell r="R1190">
            <v>154009.1525</v>
          </cell>
          <cell r="S1190">
            <v>12.381529504710503</v>
          </cell>
          <cell r="T1190">
            <v>0.50750399999999996</v>
          </cell>
          <cell r="U1190">
            <v>2.8646994027982679E-3</v>
          </cell>
          <cell r="V1190">
            <v>2.5999999999999999E-2</v>
          </cell>
          <cell r="W1190">
            <v>0.26118000000000002</v>
          </cell>
          <cell r="X1190">
            <v>8.2693042840516835</v>
          </cell>
          <cell r="Y1190">
            <v>9.75</v>
          </cell>
          <cell r="Z1190">
            <v>0</v>
          </cell>
          <cell r="AA1190">
            <v>0</v>
          </cell>
          <cell r="AB1190">
            <v>0</v>
          </cell>
          <cell r="AC1190">
            <v>0.1795286382158138</v>
          </cell>
          <cell r="AD1190">
            <v>7.7559769727620506E-2</v>
          </cell>
          <cell r="AE1190">
            <v>0</v>
          </cell>
          <cell r="AF1190">
            <v>14.427448059873083</v>
          </cell>
          <cell r="AG1190">
            <v>7.4656649030963305</v>
          </cell>
          <cell r="AH1190">
            <v>202606</v>
          </cell>
          <cell r="AJ1190" t="str">
            <v>PCB : Production affected due to decrease in flowing wells.
SPOC: Prod'n deferred due to increase in water cut.
GPOC:Prod'n deferred due to power tripped in Toma South, Unity,EL Nar &amp; EL Toor.
CPO-5:Prod'n deferred due to well shut-in caused by a short circuit in the VSD, resulting in ESP shutdown at the INDICO-3 field.
Sakhalin-1: Production from Odoptu wells ramped up to operating mode following completion of maintenance on Gas Injection Compressor No. 2.</v>
          </cell>
        </row>
        <row r="1191">
          <cell r="C1191">
            <v>46199</v>
          </cell>
          <cell r="D1191">
            <v>311590</v>
          </cell>
          <cell r="E1191">
            <v>35824</v>
          </cell>
          <cell r="F1191">
            <v>21716.85</v>
          </cell>
          <cell r="G1191">
            <v>4915</v>
          </cell>
          <cell r="H1191">
            <v>1920</v>
          </cell>
          <cell r="I1191">
            <v>188983</v>
          </cell>
          <cell r="J1191">
            <v>148327</v>
          </cell>
          <cell r="K1191">
            <v>56992.639999999999</v>
          </cell>
          <cell r="L1191">
            <v>13084</v>
          </cell>
          <cell r="M1191">
            <v>428854</v>
          </cell>
          <cell r="N1191">
            <v>6826</v>
          </cell>
          <cell r="O1191">
            <v>5488</v>
          </cell>
          <cell r="P1191">
            <v>0</v>
          </cell>
          <cell r="Q1191">
            <v>0</v>
          </cell>
          <cell r="R1191">
            <v>152232.29750000002</v>
          </cell>
          <cell r="S1191">
            <v>12.152446431655941</v>
          </cell>
          <cell r="T1191">
            <v>0.51224999999999998</v>
          </cell>
          <cell r="U1191">
            <v>3.4464401509852836E-3</v>
          </cell>
          <cell r="V1191">
            <v>2.5000000000000001E-2</v>
          </cell>
          <cell r="W1191">
            <v>0.25185000000000002</v>
          </cell>
          <cell r="X1191">
            <v>8.2991502122345651</v>
          </cell>
          <cell r="Y1191">
            <v>9.7899999999999991</v>
          </cell>
          <cell r="Z1191">
            <v>0</v>
          </cell>
          <cell r="AA1191">
            <v>0</v>
          </cell>
          <cell r="AB1191">
            <v>0</v>
          </cell>
          <cell r="AC1191">
            <v>0.18830685238724951</v>
          </cell>
          <cell r="AD1191">
            <v>8.6451251178687627E-2</v>
          </cell>
          <cell r="AE1191">
            <v>0</v>
          </cell>
          <cell r="AF1191">
            <v>14.369002143583266</v>
          </cell>
          <cell r="AG1191">
            <v>7.4613712192160779</v>
          </cell>
          <cell r="AH1191">
            <v>202606</v>
          </cell>
          <cell r="AJ1191" t="str">
            <v>PCB : Production affected due to decrease in flowing wells.
GPOC:Prod'n deferred due to power tripped in Toma South, Unity,EL Nar &amp; EL Toor.
Sakhalin-1: Production from Odoptu wells ramped up to operating mode following completion of maintenance on Gas Injection Compressor No. 2.</v>
          </cell>
        </row>
        <row r="1192">
          <cell r="C1192">
            <v>46200</v>
          </cell>
          <cell r="D1192">
            <v>325649</v>
          </cell>
          <cell r="E1192">
            <v>35497</v>
          </cell>
          <cell r="F1192">
            <v>21935.7</v>
          </cell>
          <cell r="G1192">
            <v>4963</v>
          </cell>
          <cell r="H1192">
            <v>1893</v>
          </cell>
          <cell r="I1192">
            <v>192879</v>
          </cell>
          <cell r="J1192">
            <v>156487</v>
          </cell>
          <cell r="K1192">
            <v>55632.72</v>
          </cell>
          <cell r="L1192">
            <v>12041</v>
          </cell>
          <cell r="M1192">
            <v>413770</v>
          </cell>
          <cell r="N1192">
            <v>6750</v>
          </cell>
          <cell r="O1192">
            <v>5492</v>
          </cell>
          <cell r="P1192">
            <v>0</v>
          </cell>
          <cell r="Q1192">
            <v>0</v>
          </cell>
          <cell r="R1192">
            <v>154404.50449999995</v>
          </cell>
          <cell r="S1192">
            <v>12.044276179607929</v>
          </cell>
          <cell r="T1192">
            <v>0.50865000000000005</v>
          </cell>
          <cell r="U1192">
            <v>3.6381450217614756E-3</v>
          </cell>
          <cell r="V1192">
            <v>2.9000000000000001E-2</v>
          </cell>
          <cell r="W1192">
            <v>0.246</v>
          </cell>
          <cell r="X1192">
            <v>8.4974529020492877</v>
          </cell>
          <cell r="Y1192">
            <v>9.8800000000000008</v>
          </cell>
          <cell r="Z1192">
            <v>0</v>
          </cell>
          <cell r="AA1192">
            <v>0</v>
          </cell>
          <cell r="AB1192">
            <v>0</v>
          </cell>
          <cell r="AC1192">
            <v>0.19765140295684233</v>
          </cell>
          <cell r="AD1192">
            <v>8.6253033439332619E-2</v>
          </cell>
          <cell r="AE1192">
            <v>0</v>
          </cell>
          <cell r="AF1192">
            <v>14.390975995831765</v>
          </cell>
          <cell r="AG1192">
            <v>7.5211299456557752</v>
          </cell>
          <cell r="AH1192">
            <v>202606</v>
          </cell>
          <cell r="AJ1192" t="str">
            <v>PCB : Production affected due to decrease in flowing wells.
SPOC: Prod'n deferred due to increase in water cut.
GPOC:Prod'n deferred due to power tripped in Toma South, Unity,EL Nar &amp; EL Toor.
Sakhalin-1: Production from Odoptu wells ramped up to operating mode following completion of maintenance on Gas Injection Compressor No. 2.</v>
          </cell>
        </row>
        <row r="1193">
          <cell r="C1193">
            <v>46201</v>
          </cell>
          <cell r="D1193">
            <v>319758</v>
          </cell>
          <cell r="E1193">
            <v>35189</v>
          </cell>
          <cell r="F1193">
            <v>21862.550000000003</v>
          </cell>
          <cell r="G1193">
            <v>5000</v>
          </cell>
          <cell r="H1193">
            <v>1863</v>
          </cell>
          <cell r="I1193">
            <v>200916</v>
          </cell>
          <cell r="J1193">
            <v>157164</v>
          </cell>
          <cell r="K1193">
            <v>54916.56</v>
          </cell>
          <cell r="L1193">
            <v>12150</v>
          </cell>
          <cell r="M1193">
            <v>414809</v>
          </cell>
          <cell r="N1193">
            <v>6713</v>
          </cell>
          <cell r="O1193">
            <v>5428</v>
          </cell>
          <cell r="P1193">
            <v>0</v>
          </cell>
          <cell r="Q1193">
            <v>0</v>
          </cell>
          <cell r="R1193">
            <v>155728.89400000003</v>
          </cell>
          <cell r="S1193">
            <v>12.103175165016269</v>
          </cell>
          <cell r="T1193">
            <v>0.50620299999999996</v>
          </cell>
          <cell r="U1193">
            <v>3.6381450217614756E-3</v>
          </cell>
          <cell r="V1193">
            <v>2.8000000000000001E-2</v>
          </cell>
          <cell r="W1193">
            <v>0.25735000000000002</v>
          </cell>
          <cell r="X1193">
            <v>8.3792584957538931</v>
          </cell>
          <cell r="Y1193">
            <v>9.91</v>
          </cell>
          <cell r="Z1193">
            <v>0</v>
          </cell>
          <cell r="AA1193">
            <v>0</v>
          </cell>
          <cell r="AB1193">
            <v>0</v>
          </cell>
          <cell r="AC1193">
            <v>0.19623556196144945</v>
          </cell>
          <cell r="AD1193">
            <v>8.9651051828275471E-2</v>
          </cell>
          <cell r="AE1193">
            <v>0</v>
          </cell>
          <cell r="AF1193">
            <v>14.3853409486701</v>
          </cell>
          <cell r="AG1193">
            <v>7.5174486765484918</v>
          </cell>
          <cell r="AH1193">
            <v>202606</v>
          </cell>
          <cell r="AJ1193" t="str">
            <v>PCB ; Production deferred due to high A&amp;S (&gt;29%) at the COP plant inlet and pending surface equipment connection for well CGO-0066. 
SPOC :Non flowing wells : TJ-5 (high water cut &amp; high torque) &amp; Mala-14 (power supply issue &amp; flowline leakage)
IEC: Production deferred due to Well 145 (0.2 ton)-Return of day loss, Well 148 (-4.7 ton)-Day loss. No feed.
Sakhalin-1: Production from Odoptu wells ramped up to operating mode following completion of maintenance on Gas Injection Compressor No. 2.</v>
          </cell>
        </row>
        <row r="1194">
          <cell r="C1194">
            <v>46202</v>
          </cell>
          <cell r="D1194">
            <v>325369</v>
          </cell>
          <cell r="E1194">
            <v>32314</v>
          </cell>
          <cell r="F1194">
            <v>21826.79</v>
          </cell>
          <cell r="G1194">
            <v>5069</v>
          </cell>
          <cell r="H1194">
            <v>1929</v>
          </cell>
          <cell r="I1194">
            <v>202156</v>
          </cell>
          <cell r="J1194">
            <v>156777</v>
          </cell>
          <cell r="K1194">
            <v>59090.55</v>
          </cell>
          <cell r="L1194">
            <v>11964</v>
          </cell>
          <cell r="M1194">
            <v>424253</v>
          </cell>
          <cell r="N1194">
            <v>6797</v>
          </cell>
          <cell r="O1194">
            <v>5528</v>
          </cell>
          <cell r="P1194">
            <v>0</v>
          </cell>
          <cell r="Q1194">
            <v>0</v>
          </cell>
          <cell r="R1194">
            <v>156765.23875000002</v>
          </cell>
          <cell r="S1194">
            <v>11.714668395880469</v>
          </cell>
          <cell r="T1194">
            <v>0.38055899999999998</v>
          </cell>
          <cell r="U1194">
            <v>3.597085632895083E-3</v>
          </cell>
          <cell r="V1194">
            <v>0.03</v>
          </cell>
          <cell r="W1194">
            <v>0.25966</v>
          </cell>
          <cell r="X1194">
            <v>8.3949999999999996</v>
          </cell>
          <cell r="Y1194">
            <v>9.94</v>
          </cell>
          <cell r="Z1194">
            <v>0</v>
          </cell>
          <cell r="AA1194">
            <v>0</v>
          </cell>
          <cell r="AB1194">
            <v>0</v>
          </cell>
          <cell r="AC1194">
            <v>0.19991674854947089</v>
          </cell>
          <cell r="AD1194">
            <v>8.8518379031961192E-2</v>
          </cell>
          <cell r="AE1194">
            <v>0</v>
          </cell>
          <cell r="AF1194">
            <v>14.37435402254585</v>
          </cell>
          <cell r="AG1194">
            <v>7.4845033583655241</v>
          </cell>
          <cell r="AH1194">
            <v>202606</v>
          </cell>
          <cell r="AJ1194" t="str">
            <v>PCB: Production deferred due to high A&amp;S (&gt;29%) at the COP plant inlet and pending surface equipment connection for well CGO-0066. 
SPOC: Non flowing wells : TJ-5 (high water cut &amp; high torque) &amp; Mala-13 (downhole &amp; High torque &amp; flowline leakage).
BC-10: Prod'n deferred due to ALM 1 Train C-offline, AW1 Abalone offline.
Vankor:Repair of a defective section of an oil gathering pipeline.</v>
          </cell>
        </row>
        <row r="1195">
          <cell r="C1195">
            <v>46203</v>
          </cell>
          <cell r="D1195">
            <v>328759</v>
          </cell>
          <cell r="E1195">
            <v>25107</v>
          </cell>
          <cell r="F1195">
            <v>21854.52</v>
          </cell>
          <cell r="G1195">
            <v>5042</v>
          </cell>
          <cell r="H1195">
            <v>1915</v>
          </cell>
          <cell r="I1195">
            <v>211712</v>
          </cell>
          <cell r="J1195">
            <v>155521</v>
          </cell>
          <cell r="K1195">
            <v>57752.97</v>
          </cell>
          <cell r="L1195">
            <v>12216</v>
          </cell>
          <cell r="M1195">
            <v>418615</v>
          </cell>
          <cell r="N1195">
            <v>5604</v>
          </cell>
          <cell r="O1195">
            <v>5466</v>
          </cell>
          <cell r="P1195">
            <v>0</v>
          </cell>
          <cell r="Q1195">
            <v>0</v>
          </cell>
          <cell r="R1195">
            <v>155839.90724999999</v>
          </cell>
          <cell r="S1195">
            <v>11.30265866622115</v>
          </cell>
          <cell r="T1195">
            <v>0.20016</v>
          </cell>
          <cell r="U1195">
            <v>3.4741906344949833E-3</v>
          </cell>
          <cell r="V1195">
            <v>2.7E-2</v>
          </cell>
          <cell r="W1195">
            <v>0.25545000000000001</v>
          </cell>
          <cell r="X1195">
            <v>8.4039999999999999</v>
          </cell>
          <cell r="Y1195">
            <v>9.85</v>
          </cell>
          <cell r="Z1195">
            <v>0</v>
          </cell>
          <cell r="AA1195">
            <v>0</v>
          </cell>
          <cell r="AB1195">
            <v>0</v>
          </cell>
          <cell r="AC1195">
            <v>0.18915635698448519</v>
          </cell>
          <cell r="AD1195">
            <v>8.6451251178687627E-2</v>
          </cell>
          <cell r="AE1195">
            <v>0</v>
          </cell>
          <cell r="AF1195">
            <v>14.433394592053734</v>
          </cell>
          <cell r="AG1195">
            <v>7.4044607463758716</v>
          </cell>
          <cell r="AH1195">
            <v>202606</v>
          </cell>
          <cell r="AJ1195" t="str">
            <v>SPOC: Non flowing wells : TJ-5 (high water cut &amp; high torque) &amp; Mala-13 (downhole &amp; High torque &amp; flowline leakage).
GPOC:Prod'n deferred due to power tripped in Toma South, Unity,EL Nar &amp; EL Toor.
BC-10: Prod'n deferred due to ALM 1 Train C-offline, AW1 Abalone offline.
PCB:Prod'n deferred due to HV fuse blowout. HV supply restored, well CGO-0054 (145) remained shut down due to VFD fault.
Vankor:Repair of a defective section of an oil gathering pipeline.
CPO-5: AVM server issue is under investigation by the OVL-SC team. The DPR will be issued once the issue is resolved.</v>
          </cell>
        </row>
        <row r="1196">
          <cell r="C1196">
            <v>46204</v>
          </cell>
          <cell r="D1196">
            <v>311065</v>
          </cell>
          <cell r="E1196">
            <v>25535</v>
          </cell>
          <cell r="F1196">
            <v>21808.93</v>
          </cell>
          <cell r="G1196">
            <v>5027</v>
          </cell>
          <cell r="H1196">
            <v>1906</v>
          </cell>
          <cell r="I1196">
            <v>200096</v>
          </cell>
          <cell r="J1196">
            <v>152578</v>
          </cell>
          <cell r="K1196">
            <v>53861.26</v>
          </cell>
          <cell r="L1196">
            <v>12635</v>
          </cell>
          <cell r="M1196">
            <v>412461</v>
          </cell>
          <cell r="N1196">
            <v>7102</v>
          </cell>
          <cell r="O1196">
            <v>5504</v>
          </cell>
          <cell r="P1196">
            <v>0</v>
          </cell>
          <cell r="Q1196">
            <v>0</v>
          </cell>
          <cell r="R1196">
            <v>151363.10100000002</v>
          </cell>
          <cell r="S1196">
            <v>11.189957722987879</v>
          </cell>
          <cell r="T1196">
            <v>0.22075800000000001</v>
          </cell>
          <cell r="U1196">
            <v>3.6851509428085182E-3</v>
          </cell>
          <cell r="V1196">
            <v>2.5999999999999999E-2</v>
          </cell>
          <cell r="W1196">
            <v>0.25470999999999999</v>
          </cell>
          <cell r="X1196">
            <v>8.4532786629930303</v>
          </cell>
          <cell r="Y1196">
            <v>8.8000000000000007</v>
          </cell>
          <cell r="Z1196">
            <v>0</v>
          </cell>
          <cell r="AA1196">
            <v>0</v>
          </cell>
          <cell r="AB1196">
            <v>0</v>
          </cell>
          <cell r="AC1196">
            <v>0.20671278532735657</v>
          </cell>
          <cell r="AD1196">
            <v>8.6451251178687627E-2</v>
          </cell>
          <cell r="AE1196">
            <v>0</v>
          </cell>
          <cell r="AF1196">
            <v>14.239141207485833</v>
          </cell>
          <cell r="AG1196">
            <v>7.1112495681260786</v>
          </cell>
          <cell r="AH1196">
            <v>202607</v>
          </cell>
          <cell r="AJ1196" t="str">
            <v>SPOC: Non flowing wells : TJ-6 wells (high water cut, high torque, DH problem &amp; fuse blown) &amp; Mala-13 wells (downhole &amp; High torque &amp; flowline leakage).
PCB:Production deferred due to A&amp;S &gt;28% at the COP plant inlet, RA-04 intervention on Well CGO-0037 (suspected tubing/PCP failure),Well CGO-0066 is undergoing control fluid displacement.
BC-10: Prod'n deferred due to AW1 Abalone offline.
GPOC:Prod'n deferred due to power tripped in Toma South, EL Toor.</v>
          </cell>
        </row>
        <row r="1197">
          <cell r="C1197">
            <v>46205</v>
          </cell>
          <cell r="D1197">
            <v>334265</v>
          </cell>
          <cell r="E1197">
            <v>26987</v>
          </cell>
          <cell r="F1197">
            <v>16886</v>
          </cell>
          <cell r="G1197">
            <v>4995</v>
          </cell>
          <cell r="H1197">
            <v>1880</v>
          </cell>
          <cell r="I1197">
            <v>200933</v>
          </cell>
          <cell r="J1197">
            <v>158610</v>
          </cell>
          <cell r="K1197">
            <v>52126.15</v>
          </cell>
          <cell r="L1197">
            <v>12431</v>
          </cell>
          <cell r="M1197">
            <v>414497</v>
          </cell>
          <cell r="N1197">
            <v>7121</v>
          </cell>
          <cell r="O1197">
            <v>5564</v>
          </cell>
          <cell r="P1197">
            <v>0</v>
          </cell>
          <cell r="Q1197">
            <v>0</v>
          </cell>
          <cell r="R1197">
            <v>150305.94750000001</v>
          </cell>
          <cell r="S1197">
            <v>11.391573480731818</v>
          </cell>
          <cell r="T1197">
            <v>0.21245800000000001</v>
          </cell>
          <cell r="U1197">
            <v>2.6561177073569928E-3</v>
          </cell>
          <cell r="V1197">
            <v>2.5999999999999999E-2</v>
          </cell>
          <cell r="W1197">
            <v>0.24637000000000001</v>
          </cell>
          <cell r="X1197">
            <v>8.4492859913860237</v>
          </cell>
          <cell r="Y1197">
            <v>2.39</v>
          </cell>
          <cell r="Z1197">
            <v>0</v>
          </cell>
          <cell r="AA1197">
            <v>0</v>
          </cell>
          <cell r="AB1197">
            <v>0</v>
          </cell>
          <cell r="AC1197">
            <v>0.20359793513749233</v>
          </cell>
          <cell r="AD1197">
            <v>8.7980359453711909E-2</v>
          </cell>
          <cell r="AE1197">
            <v>0</v>
          </cell>
          <cell r="AF1197">
            <v>14.375373428062533</v>
          </cell>
          <cell r="AG1197">
            <v>5.4625957820058506</v>
          </cell>
          <cell r="AH1197">
            <v>202607</v>
          </cell>
          <cell r="AJ1197" t="str">
            <v>SPOC: Non flowing wells : TJ-6 wells (high water cut, high torque, DH problem &amp; fuse blown) &amp; Mala-13 wells (downhole &amp; High torque &amp; flowline leakage).
PCB:Prod'n deferred due to A&amp;S &gt;28% at the COP plant inlet, RA-04 intervention on Well CGO-0037 (suspected tubing/PCP failure)
IEC: Prod'n deferred due to well stock deviations, flow rate decrease (Wells 133, 204 &amp; 506), and operational changes/shutdown of Well 146. Pipeline adjustments partially compensated the loss.
BC-10: Prod'n deferred due to AW1 Abalone offline.
CPO-5: Prod'n deferred due to community blockage.</v>
          </cell>
        </row>
        <row r="1198">
          <cell r="C1198">
            <v>46206</v>
          </cell>
          <cell r="D1198">
            <v>333754</v>
          </cell>
          <cell r="E1198">
            <v>29629</v>
          </cell>
          <cell r="F1198">
            <v>21731.83</v>
          </cell>
          <cell r="G1198">
            <v>4947</v>
          </cell>
          <cell r="H1198">
            <v>1787</v>
          </cell>
          <cell r="I1198">
            <v>198973</v>
          </cell>
          <cell r="J1198">
            <v>158543</v>
          </cell>
          <cell r="K1198">
            <v>44807.4</v>
          </cell>
          <cell r="L1198">
            <v>12071</v>
          </cell>
          <cell r="M1198">
            <v>413761</v>
          </cell>
          <cell r="N1198">
            <v>7195</v>
          </cell>
          <cell r="O1198">
            <v>5687</v>
          </cell>
          <cell r="P1198">
            <v>0</v>
          </cell>
          <cell r="Q1198">
            <v>0</v>
          </cell>
          <cell r="R1198">
            <v>151981.36425000001</v>
          </cell>
          <cell r="S1198">
            <v>10.55707679804727</v>
          </cell>
          <cell r="T1198">
            <v>0.35732399999999997</v>
          </cell>
          <cell r="U1198">
            <v>3.5240282375328118E-3</v>
          </cell>
          <cell r="V1198">
            <v>2.4E-2</v>
          </cell>
          <cell r="W1198">
            <v>0.20219999999999999</v>
          </cell>
          <cell r="X1198">
            <v>8.443764211503991</v>
          </cell>
          <cell r="Y1198">
            <v>2.41</v>
          </cell>
          <cell r="Z1198">
            <v>0</v>
          </cell>
          <cell r="AA1198">
            <v>0</v>
          </cell>
          <cell r="AB1198">
            <v>0</v>
          </cell>
          <cell r="AC1198">
            <v>0.20444743973472801</v>
          </cell>
          <cell r="AD1198">
            <v>0.11782628763659324</v>
          </cell>
          <cell r="AE1198">
            <v>0</v>
          </cell>
          <cell r="AF1198">
            <v>14.388427482040056</v>
          </cell>
          <cell r="AG1198">
            <v>5.4504772240159483</v>
          </cell>
          <cell r="AH1198">
            <v>202607</v>
          </cell>
          <cell r="AJ1198" t="str">
            <v xml:space="preserve">SPOC: Non flowing wells : TJ-6 wells (high water cut, high torque, DH problem &amp; fuse blown) &amp; Mala-13 wells (downhole &amp; High torque &amp; flowline leakage).
IEC: Prod'n deferred due to planned well shutdowns (Wells 133, 146, 503 &amp; 506), reduced production from Well 204 (flow rate decline/high water cut), and Well 2-R (high ESP motor temperature).
Vankor: Prod'n deferred due to Gas: Gas Injection due to preventive maintenance at gas treatment and transportation facility.
</v>
          </cell>
        </row>
        <row r="1199">
          <cell r="C1199">
            <v>46207</v>
          </cell>
          <cell r="D1199">
            <v>331178</v>
          </cell>
          <cell r="E1199">
            <v>19182</v>
          </cell>
          <cell r="F1199">
            <v>21692.91</v>
          </cell>
          <cell r="G1199">
            <v>4865</v>
          </cell>
          <cell r="H1199">
            <v>1866</v>
          </cell>
          <cell r="I1199">
            <v>192619</v>
          </cell>
          <cell r="J1199">
            <v>147448</v>
          </cell>
          <cell r="K1199">
            <v>47791.31</v>
          </cell>
          <cell r="L1199">
            <v>13535</v>
          </cell>
          <cell r="M1199">
            <v>439523</v>
          </cell>
          <cell r="N1199">
            <v>6736</v>
          </cell>
          <cell r="O1199">
            <v>5605</v>
          </cell>
          <cell r="P1199">
            <v>0</v>
          </cell>
          <cell r="Q1199">
            <v>0</v>
          </cell>
          <cell r="R1199">
            <v>146986.93974999999</v>
          </cell>
          <cell r="S1199">
            <v>11.038745904679919</v>
          </cell>
          <cell r="T1199">
            <v>0.28036699999999998</v>
          </cell>
          <cell r="U1199">
            <v>3.4059470985170481E-3</v>
          </cell>
          <cell r="V1199">
            <v>2.5000000000000001E-2</v>
          </cell>
          <cell r="W1199">
            <v>0.24662000000000001</v>
          </cell>
          <cell r="X1199">
            <v>8.5708784160703608</v>
          </cell>
          <cell r="Y1199">
            <v>2.36</v>
          </cell>
          <cell r="Z1199">
            <v>0</v>
          </cell>
          <cell r="AA1199">
            <v>0</v>
          </cell>
          <cell r="AB1199">
            <v>0</v>
          </cell>
          <cell r="AC1199">
            <v>0.1996335803503923</v>
          </cell>
          <cell r="AD1199">
            <v>9.5795801748280451E-2</v>
          </cell>
          <cell r="AE1199">
            <v>0</v>
          </cell>
          <cell r="AF1199">
            <v>14.385001146831206</v>
          </cell>
          <cell r="AG1199">
            <v>5.4912063004251204</v>
          </cell>
          <cell r="AH1199">
            <v>202607</v>
          </cell>
          <cell r="AJ1199" t="str">
            <v>PCB: Production deferred due to A&amp;S &gt;28% at the COP plant inlet, RA-04 intervention on Well CGO-0037 (suspected tubing/PCP failure).
IEC: Prod'n deferred due to well stock deviations, flow rate decrease (Wells 133, 204 &amp; 506), and operational changes/shutdown of Well 146. Pipeline adjustments partially compensated the loss.
BC-10: ALM 1 Train C - offline, AW1 Abalone offline/ ALM 2 Train B - offline/ALM 3 Train A - offline - process shut down.
GPOC: Production deferred due to (DHM problem),TS-38 down (DHE problem),MGS-08 shutdown. MG-18 stopped for flowline flushing and restarted thereafter.
Vankor: Prod'n deferred due to Gas: Gas Injection due to preventive maintenance at gas treatment and transportation facility.</v>
          </cell>
        </row>
        <row r="1200">
          <cell r="C1200">
            <v>46208</v>
          </cell>
          <cell r="D1200">
            <v>329744</v>
          </cell>
          <cell r="E1200">
            <v>4629</v>
          </cell>
          <cell r="F1200">
            <v>21625.02</v>
          </cell>
          <cell r="G1200">
            <v>4886</v>
          </cell>
          <cell r="H1200">
            <v>1938</v>
          </cell>
          <cell r="I1200">
            <v>186507</v>
          </cell>
          <cell r="J1200">
            <v>150859</v>
          </cell>
          <cell r="K1200">
            <v>48650.63</v>
          </cell>
          <cell r="L1200">
            <v>12946</v>
          </cell>
          <cell r="M1200">
            <v>450279</v>
          </cell>
          <cell r="N1200">
            <v>6980</v>
          </cell>
          <cell r="O1200">
            <v>5728</v>
          </cell>
          <cell r="P1200">
            <v>0</v>
          </cell>
          <cell r="Q1200">
            <v>0</v>
          </cell>
          <cell r="R1200">
            <v>143294.136</v>
          </cell>
          <cell r="S1200">
            <v>10.958609304340685</v>
          </cell>
          <cell r="T1200">
            <v>-8.5540000000000008E-3</v>
          </cell>
          <cell r="U1200">
            <v>3.4387946096101621E-3</v>
          </cell>
          <cell r="V1200">
            <v>2.5000000000000001E-2</v>
          </cell>
          <cell r="W1200">
            <v>0.25263000000000002</v>
          </cell>
          <cell r="X1200">
            <v>8.3667990949944357</v>
          </cell>
          <cell r="Y1200">
            <v>2.42</v>
          </cell>
          <cell r="Z1200">
            <v>0</v>
          </cell>
          <cell r="AA1200">
            <v>0</v>
          </cell>
          <cell r="AB1200">
            <v>0</v>
          </cell>
          <cell r="AC1200">
            <v>0.1987840757531566</v>
          </cell>
          <cell r="AD1200">
            <v>0.11012411262165613</v>
          </cell>
          <cell r="AE1200">
            <v>0</v>
          </cell>
          <cell r="AF1200">
            <v>14.387379759703466</v>
          </cell>
          <cell r="AG1200">
            <v>5.3976900136819514</v>
          </cell>
          <cell r="AH1200">
            <v>202607</v>
          </cell>
          <cell r="AJ1200" t="str">
            <v xml:space="preserve">PCB:Production deferred due to high A&amp;S (&gt;28%) at the COP plant inlet, CGO-0050 underperforming, CGO-0052 offline (damaged PCP), and CGO-0037 undergoing post-PCP fluid displacement.
Vankor:  Prod'n deferred due to preventive maintenance at gas treatment and transportation facility.
Sakhalin-1:Prod'n deferred due to unplanned maintenance of Module 4 (Gas Injection Compressor B) at Chayvo.
BC-10: ALM 1 Train C - offline, AW1 Abalone offline/ ALM 2 Train B - offline/ALM 3 Train A - offline - process shut down.
GPOC: Prod'n deferred due to power trips in Toma South, El Nar, and El Toor; TS-35 (DHM issue), TS-38 (DHE issue), MGS-08 shutdown, and MGS-01 flowline flushing (restarted thereafter).
</v>
          </cell>
        </row>
        <row r="1201">
          <cell r="C1201">
            <v>46209</v>
          </cell>
          <cell r="D1201">
            <v>328152</v>
          </cell>
          <cell r="E1201">
            <v>1629</v>
          </cell>
          <cell r="F1201">
            <v>21645.599999999999</v>
          </cell>
          <cell r="G1201">
            <v>4857</v>
          </cell>
          <cell r="H1201">
            <v>1894</v>
          </cell>
          <cell r="I1201">
            <v>190886</v>
          </cell>
          <cell r="J1201">
            <v>155692</v>
          </cell>
          <cell r="K1201">
            <v>52942.52</v>
          </cell>
          <cell r="L1201">
            <v>14364</v>
          </cell>
          <cell r="M1201">
            <v>446770</v>
          </cell>
          <cell r="N1201">
            <v>7097</v>
          </cell>
          <cell r="O1201">
            <v>5624</v>
          </cell>
          <cell r="P1201">
            <v>0</v>
          </cell>
          <cell r="Q1201">
            <v>0</v>
          </cell>
          <cell r="R1201">
            <v>145771.83100000003</v>
          </cell>
          <cell r="S1201">
            <v>11.023171653730598</v>
          </cell>
          <cell r="T1201">
            <v>8.2319999999999997E-3</v>
          </cell>
          <cell r="U1201">
            <v>3.6251192846038617E-3</v>
          </cell>
          <cell r="V1201">
            <v>2.5000000000000001E-2</v>
          </cell>
          <cell r="W1201">
            <v>0.24893999999999999</v>
          </cell>
          <cell r="X1201">
            <v>7.9743279710715367</v>
          </cell>
          <cell r="Y1201">
            <v>3.05</v>
          </cell>
          <cell r="Z1201">
            <v>0</v>
          </cell>
          <cell r="AA1201">
            <v>0</v>
          </cell>
          <cell r="AB1201">
            <v>0</v>
          </cell>
          <cell r="AC1201">
            <v>0.20303159873933516</v>
          </cell>
          <cell r="AD1201">
            <v>0.12286668158019182</v>
          </cell>
          <cell r="AE1201">
            <v>0</v>
          </cell>
          <cell r="AF1201">
            <v>14.375543328981982</v>
          </cell>
          <cell r="AG1201">
            <v>5.4892785195062679</v>
          </cell>
          <cell r="AH1201">
            <v>202607</v>
          </cell>
          <cell r="AJ1201" t="str">
            <v xml:space="preserve">Sakhalin-1:Prod'n deferred due to unplanned maintenance of Module 4 (Gas Injection Compressor B) at Chayvo.
BC-10: ALM 1 Train C - offline, AW1 Abalone offline/ ALM 2 Train B - offline/ALM 3 Train A - offline - process shut down.
Vankor:  Prod'n deferred due to preventive maintenance at gas treatment and transportation facility.
IEC: Prod'n deferred due to water cut increase (Wells 503, 506, 146 &amp; 204), production decline (Well 204), Well 301 shut-in, Well 590 stabilization, Well 205 shut-in for pressure build-up, well stock deviations, and pipeline operational changes.
</v>
          </cell>
        </row>
        <row r="1202">
          <cell r="C1202">
            <v>46210</v>
          </cell>
          <cell r="D1202">
            <v>329464</v>
          </cell>
          <cell r="E1202">
            <v>44</v>
          </cell>
          <cell r="F1202">
            <v>21446.65</v>
          </cell>
          <cell r="G1202">
            <v>4820</v>
          </cell>
          <cell r="H1202">
            <v>1856</v>
          </cell>
          <cell r="I1202">
            <v>184950</v>
          </cell>
          <cell r="J1202">
            <v>155384</v>
          </cell>
          <cell r="K1202">
            <v>55342.48</v>
          </cell>
          <cell r="L1202">
            <v>12153</v>
          </cell>
          <cell r="M1202">
            <v>445030</v>
          </cell>
          <cell r="N1202">
            <v>6958</v>
          </cell>
          <cell r="O1202">
            <v>5553</v>
          </cell>
          <cell r="P1202">
            <v>0</v>
          </cell>
          <cell r="Q1202">
            <v>0</v>
          </cell>
          <cell r="R1202">
            <v>143872.50825000004</v>
          </cell>
          <cell r="S1202">
            <v>11.038179568281768</v>
          </cell>
          <cell r="T1202">
            <v>-1.5759999999999999E-3</v>
          </cell>
          <cell r="U1202">
            <v>3.5364876382922689E-3</v>
          </cell>
          <cell r="V1202">
            <v>2.5000000000000001E-2</v>
          </cell>
          <cell r="W1202">
            <v>0.23537</v>
          </cell>
          <cell r="X1202">
            <v>7.3699054501383277</v>
          </cell>
          <cell r="Y1202">
            <v>10.039999999999999</v>
          </cell>
          <cell r="Z1202">
            <v>0</v>
          </cell>
          <cell r="AA1202">
            <v>0</v>
          </cell>
          <cell r="AB1202">
            <v>0</v>
          </cell>
          <cell r="AC1202">
            <v>0.2095444673181423</v>
          </cell>
          <cell r="AD1202">
            <v>8.9651051828275471E-2</v>
          </cell>
          <cell r="AE1202">
            <v>0</v>
          </cell>
          <cell r="AF1202">
            <v>14.367841153967044</v>
          </cell>
          <cell r="AG1202">
            <v>7.1561356307106099</v>
          </cell>
          <cell r="AH1202">
            <v>202607</v>
          </cell>
          <cell r="AJ1202" t="str">
            <v xml:space="preserve">Sakhalin-1:Production deferment is observed due to unplanned maintenance of Module 4 (Gas Injection Compressor B) at Chayvo.
BC-10: Production deferred due to unplanned shutdown. Hot-oil circulation in progress gradual ramp-up over the next 3 days. All three trains are offline.
IEC: Prod'n deferred due to emergency power cutoffs in multiple Snezhnoye wells, production decline/water cut increase at Well 133, shut-in of Well 146, pipeline imbalance, and well stock deviations across Snezhnoye, Dvoinoye, and Maiskoye.
GPOC: Prod'n deferred due to power trip at Toma South, ongoing DHM/DHE-related well shutdowns, ET-10 shutdown, and MGS-08 remaining offline. ET-01 and MG-01 were restored during the day.
SPOC: Non flowing wells : TJ-5 (high water cut, high torque &amp; DH problem) &amp; Mala-13 (downhole &amp; High torque &amp; flowline leakage).
</v>
          </cell>
        </row>
        <row r="1203">
          <cell r="C1203">
            <v>46211</v>
          </cell>
          <cell r="D1203">
            <v>292869</v>
          </cell>
          <cell r="E1203">
            <v>1063</v>
          </cell>
          <cell r="F1203">
            <v>21585.77</v>
          </cell>
          <cell r="G1203">
            <v>4822</v>
          </cell>
          <cell r="H1203">
            <v>1994</v>
          </cell>
          <cell r="I1203">
            <v>178104</v>
          </cell>
          <cell r="J1203">
            <v>162258</v>
          </cell>
          <cell r="K1203">
            <v>48330.31</v>
          </cell>
          <cell r="L1203">
            <v>11334</v>
          </cell>
          <cell r="M1203">
            <v>436196</v>
          </cell>
          <cell r="N1203">
            <v>6822</v>
          </cell>
          <cell r="O1203">
            <v>5698</v>
          </cell>
          <cell r="P1203">
            <v>0</v>
          </cell>
          <cell r="Q1203">
            <v>0</v>
          </cell>
          <cell r="R1203">
            <v>141470.71225000004</v>
          </cell>
          <cell r="S1203">
            <v>10.919248924668768</v>
          </cell>
          <cell r="T1203">
            <v>1.8469999999999999E-3</v>
          </cell>
          <cell r="U1203">
            <v>3.7148836037117685E-3</v>
          </cell>
          <cell r="V1203">
            <v>2.5000000000000001E-2</v>
          </cell>
          <cell r="W1203">
            <v>0.26688000000000001</v>
          </cell>
          <cell r="X1203">
            <v>6.8249199341917102</v>
          </cell>
          <cell r="Y1203">
            <v>10.039999999999999</v>
          </cell>
          <cell r="Z1203">
            <v>0</v>
          </cell>
          <cell r="AA1203">
            <v>0</v>
          </cell>
          <cell r="AB1203">
            <v>0</v>
          </cell>
          <cell r="AC1203">
            <v>0.19425338456789948</v>
          </cell>
          <cell r="AD1203">
            <v>0.14472726654905746</v>
          </cell>
          <cell r="AE1203">
            <v>0</v>
          </cell>
          <cell r="AF1203">
            <v>14.36129996856833</v>
          </cell>
          <cell r="AG1203">
            <v>7.0953304814636127</v>
          </cell>
          <cell r="AH1203">
            <v>202607</v>
          </cell>
          <cell r="AJ1203" t="str">
            <v>Vankor: Gas production increased due to reduced gas injection.
PCB: Prod'n deferred due to electrical flickering (07/07/2026, 17:39 hrs) affecting process equipment and 32 wells, and CGO-0050 (broken tubing) &amp; CGO-0052 (damaged PCP) awaiting materials.
SPOC: Non flowing wells : TJ-5 (high water cut, high torque &amp; DH problem) &amp; Mala-13 (downhole &amp; High torque &amp; flowline leakage).
BC-10: ALM 3 Train A online with MOBO 7 started at 15:16 hrs.  Production ramp-up in progress. ALM 1 Train C and ALM 2 Train B remain offline.
CPO-5: AVM server issue is under investigation by the OVL-SC team. The DPR will be issued once the issue is resolved.
GPOC: Prod'n deferred due to power trip in Toma South, DHM/DHE-related well outages, and ongoing well shutdowns across Unity, El Nar, El Toor, and Munga.
Sakhalin-1:Production deferment is observed due to unplanned maintenance of Module 4 (Gas Injection Compressor B) at Chayvo.</v>
          </cell>
        </row>
        <row r="1204">
          <cell r="C1204">
            <v>46212</v>
          </cell>
          <cell r="D1204">
            <v>348241</v>
          </cell>
          <cell r="E1204">
            <v>22553</v>
          </cell>
          <cell r="F1204">
            <v>21683.47</v>
          </cell>
          <cell r="G1204">
            <v>4931</v>
          </cell>
          <cell r="H1204">
            <v>1930</v>
          </cell>
          <cell r="I1204">
            <v>178834</v>
          </cell>
          <cell r="J1204">
            <v>159127</v>
          </cell>
          <cell r="K1204">
            <v>54707.67</v>
          </cell>
          <cell r="L1204">
            <v>14600</v>
          </cell>
          <cell r="M1204">
            <v>187197</v>
          </cell>
          <cell r="N1204">
            <v>6640</v>
          </cell>
          <cell r="O1204">
            <v>5617</v>
          </cell>
          <cell r="P1204">
            <v>0</v>
          </cell>
          <cell r="Q1204">
            <v>0</v>
          </cell>
          <cell r="R1204">
            <v>140653.35574999999</v>
          </cell>
          <cell r="S1204">
            <v>11.053187482832932</v>
          </cell>
          <cell r="T1204">
            <v>0.115438</v>
          </cell>
          <cell r="U1204">
            <v>3.5631054490056547E-3</v>
          </cell>
          <cell r="V1204">
            <v>2.5999999999999999E-2</v>
          </cell>
          <cell r="W1204">
            <v>0.25606000000000001</v>
          </cell>
          <cell r="X1204">
            <v>6.3983270422798437</v>
          </cell>
          <cell r="Y1204">
            <v>10.11</v>
          </cell>
          <cell r="Z1204">
            <v>0</v>
          </cell>
          <cell r="AA1204">
            <v>0</v>
          </cell>
          <cell r="AB1204">
            <v>0</v>
          </cell>
          <cell r="AC1204">
            <v>0.19453655276697804</v>
          </cell>
          <cell r="AD1204">
            <v>0.13433499364287391</v>
          </cell>
          <cell r="AE1204">
            <v>0</v>
          </cell>
          <cell r="AF1204">
            <v>14.375118576683365</v>
          </cell>
          <cell r="AG1204">
            <v>7.0507025786265212</v>
          </cell>
          <cell r="AH1204">
            <v>202607</v>
          </cell>
          <cell r="AJ1204" t="str">
            <v xml:space="preserve">PCB: Production deferred due to Well CGO-0050 tubing failure and Well CGO-0052 shut in due to PCP failure (awaiting materials).
BC-10:  ALM 1 Train C (MOBO 2) and ALM 3 Train A (MOBO 7 &amp; 9) are online. ALM 2 Train B and AW1 Abalone remain offline. Water Injection is online.
Sakhalin-1:Production deferment is observed due to unplanned maintenance of Module 4 (Gas Injection Compressor B) at Chayvo.
LZC: Production deferred due to DAS ullage constraints. 
CPO-5: AVM server issue is under investigation by the OVL-SC team. The DPR will be issued once the issue is resolved.
</v>
          </cell>
        </row>
        <row r="1205">
          <cell r="C1205">
            <v>46213</v>
          </cell>
          <cell r="D1205">
            <v>343397</v>
          </cell>
          <cell r="E1205">
            <v>18258</v>
          </cell>
          <cell r="F1205">
            <v>21642.7</v>
          </cell>
          <cell r="G1205">
            <v>4900</v>
          </cell>
          <cell r="H1205">
            <v>1956</v>
          </cell>
          <cell r="I1205">
            <v>180818</v>
          </cell>
          <cell r="J1205">
            <v>160506</v>
          </cell>
          <cell r="K1205">
            <v>54003.67</v>
          </cell>
          <cell r="L1205">
            <v>15161</v>
          </cell>
          <cell r="M1205">
            <v>147017</v>
          </cell>
          <cell r="N1205">
            <v>6991</v>
          </cell>
          <cell r="O1205">
            <v>5740</v>
          </cell>
          <cell r="P1205">
            <v>0</v>
          </cell>
          <cell r="Q1205">
            <v>0</v>
          </cell>
          <cell r="R1205">
            <v>138529.27100000001</v>
          </cell>
          <cell r="S1205">
            <v>9.5549445415082115</v>
          </cell>
          <cell r="T1205">
            <v>0.15009600000000001</v>
          </cell>
          <cell r="U1205">
            <v>3.6605153094886834E-3</v>
          </cell>
          <cell r="V1205">
            <v>2.5000000000000001E-2</v>
          </cell>
          <cell r="W1205">
            <v>0.25036000000000003</v>
          </cell>
          <cell r="X1205">
            <v>5.9340000000000002</v>
          </cell>
          <cell r="Y1205">
            <v>10.019</v>
          </cell>
          <cell r="Z1205">
            <v>0</v>
          </cell>
          <cell r="AA1205">
            <v>0</v>
          </cell>
          <cell r="AB1205">
            <v>0</v>
          </cell>
          <cell r="AC1205">
            <v>0.19765140295684233</v>
          </cell>
          <cell r="AD1205">
            <v>0.13034232203586607</v>
          </cell>
          <cell r="AE1205">
            <v>0</v>
          </cell>
          <cell r="AF1205">
            <v>14.307073258444783</v>
          </cell>
          <cell r="AG1205">
            <v>6.8806890849143283</v>
          </cell>
          <cell r="AH1205">
            <v>202607</v>
          </cell>
          <cell r="AJ1205" t="str">
            <v xml:space="preserve">BC-10:  ALM 1 Train C (MOBO 2) and ALM 3 Train A (MOBO 7 &amp; 9) are online. ALM 2 Train B and AW1 Abalone remain offline. Water Injection is online.
Sakhalin-1:Production deferment is observed due to unplanned maintenance of Module 4 (Gas Injection Compressor B) at Chayvo.
</v>
          </cell>
        </row>
        <row r="1206">
          <cell r="C1206">
            <v>46214</v>
          </cell>
          <cell r="D1206">
            <v>328364</v>
          </cell>
          <cell r="E1206">
            <v>25843</v>
          </cell>
          <cell r="F1206">
            <v>21640.07</v>
          </cell>
          <cell r="G1206">
            <v>4931</v>
          </cell>
          <cell r="H1206">
            <v>1918</v>
          </cell>
          <cell r="I1206">
            <v>181276</v>
          </cell>
          <cell r="J1206">
            <v>159557</v>
          </cell>
          <cell r="K1206">
            <v>56384.78</v>
          </cell>
          <cell r="L1206">
            <v>12267</v>
          </cell>
          <cell r="M1206">
            <v>394354</v>
          </cell>
          <cell r="N1206">
            <v>7043</v>
          </cell>
          <cell r="O1206">
            <v>5687</v>
          </cell>
          <cell r="P1206">
            <v>0</v>
          </cell>
          <cell r="Q1206">
            <v>0</v>
          </cell>
          <cell r="R1206">
            <v>149733.12475000002</v>
          </cell>
          <cell r="S1206">
            <v>8.6287013623222055</v>
          </cell>
          <cell r="T1206">
            <v>0.183281</v>
          </cell>
          <cell r="U1206">
            <v>3.6154915658351905E-3</v>
          </cell>
          <cell r="V1206">
            <v>2.5999999999999999E-2</v>
          </cell>
          <cell r="W1206">
            <v>0.26033000000000001</v>
          </cell>
          <cell r="X1206">
            <v>5.73</v>
          </cell>
          <cell r="Y1206">
            <v>10.14</v>
          </cell>
          <cell r="Z1206">
            <v>0</v>
          </cell>
          <cell r="AA1206">
            <v>0</v>
          </cell>
          <cell r="AB1206">
            <v>0</v>
          </cell>
          <cell r="AC1206">
            <v>0.19538605736421377</v>
          </cell>
          <cell r="AD1206">
            <v>8.7555607155094056E-2</v>
          </cell>
          <cell r="AE1206">
            <v>0</v>
          </cell>
          <cell r="AF1206">
            <v>14.270997629882173</v>
          </cell>
          <cell r="AG1206">
            <v>6.8401896910999955</v>
          </cell>
          <cell r="AH1206">
            <v>202607</v>
          </cell>
          <cell r="AJ1206" t="str">
            <v xml:space="preserve">BC-10:  ALM 1 Train C (MOBO 2) and ALM 3 Train A (MOBO 7 &amp; 9) are online. ALM 2 Train B and AW1 Abalone remain offline. Water Injection is online.
Sakhalin-1:Production deferment is observed due to unplanned maintenance of Module 4 (Gas Injection Compressor B) at Chayvo.
SPOC: Non flowing wells : TJ-5 (high water cut, high torque &amp; DH problem) &amp; Mala-13 (downhole &amp; High torque &amp; flowline leakage).
</v>
          </cell>
        </row>
        <row r="1207">
          <cell r="C1207">
            <v>46215</v>
          </cell>
          <cell r="D1207">
            <v>322071</v>
          </cell>
          <cell r="E1207">
            <v>26698</v>
          </cell>
          <cell r="F1207">
            <v>21704.080000000002</v>
          </cell>
          <cell r="G1207">
            <v>4952</v>
          </cell>
          <cell r="H1207">
            <v>1950</v>
          </cell>
          <cell r="I1207">
            <v>189467</v>
          </cell>
          <cell r="J1207">
            <v>159551</v>
          </cell>
          <cell r="K1207">
            <v>58523.18</v>
          </cell>
          <cell r="L1207">
            <v>1690</v>
          </cell>
          <cell r="M1207">
            <v>440121</v>
          </cell>
          <cell r="N1207">
            <v>6934</v>
          </cell>
          <cell r="O1207">
            <v>5784</v>
          </cell>
          <cell r="P1207">
            <v>0</v>
          </cell>
          <cell r="Q1207">
            <v>0</v>
          </cell>
          <cell r="R1207">
            <v>151344.24025</v>
          </cell>
          <cell r="S1207">
            <v>8.1444837418978526</v>
          </cell>
          <cell r="T1207">
            <v>0.25949899999999998</v>
          </cell>
          <cell r="U1207">
            <v>3.6588163002942119E-3</v>
          </cell>
          <cell r="V1207">
            <v>0.26</v>
          </cell>
          <cell r="W1207">
            <v>0.25463000000000002</v>
          </cell>
          <cell r="X1207">
            <v>5.8479999999999999</v>
          </cell>
          <cell r="Y1207">
            <v>9.8140000000000001</v>
          </cell>
          <cell r="Z1207">
            <v>0</v>
          </cell>
          <cell r="AA1207">
            <v>0</v>
          </cell>
          <cell r="AB1207">
            <v>0</v>
          </cell>
          <cell r="AC1207">
            <v>0.19453655276697804</v>
          </cell>
          <cell r="AD1207">
            <v>0.11564589250368824</v>
          </cell>
          <cell r="AE1207">
            <v>0</v>
          </cell>
          <cell r="AF1207">
            <v>14.200460431491701</v>
          </cell>
          <cell r="AG1207">
            <v>6.8958965306099449</v>
          </cell>
          <cell r="AH1207">
            <v>202607</v>
          </cell>
          <cell r="AJ1207" t="str">
            <v xml:space="preserve">BC-10:  ALM 1 Train C (MOBO 2) and ALM 3 Train A (MOBO 7 &amp; 9) are online. ALM 2 Train B and AW1 Abalone remain offline. Water Injection is online.
Sakhalin-1:Completion of maintenance of Module 4 (Gas Injection Compressor B) at Chayvo.
SPOC:  All the wells are effected due to CPP power failure.
</v>
          </cell>
        </row>
        <row r="1208">
          <cell r="C1208">
            <v>46216</v>
          </cell>
          <cell r="D1208">
            <v>306928</v>
          </cell>
          <cell r="E1208">
            <v>26314</v>
          </cell>
          <cell r="F1208">
            <v>21651.147000000001</v>
          </cell>
          <cell r="G1208">
            <v>5003</v>
          </cell>
          <cell r="H1208">
            <v>1903</v>
          </cell>
          <cell r="I1208">
            <v>191806</v>
          </cell>
          <cell r="J1208">
            <v>158122</v>
          </cell>
          <cell r="K1208">
            <v>60604.14</v>
          </cell>
          <cell r="L1208">
            <v>13215</v>
          </cell>
          <cell r="M1208">
            <v>435851</v>
          </cell>
          <cell r="N1208">
            <v>7019</v>
          </cell>
          <cell r="O1208">
            <v>5655</v>
          </cell>
          <cell r="P1208">
            <v>0</v>
          </cell>
          <cell r="Q1208">
            <v>0</v>
          </cell>
          <cell r="R1208">
            <v>153922.93065000002</v>
          </cell>
          <cell r="S1208">
            <v>8.7077052898651264</v>
          </cell>
          <cell r="T1208">
            <v>0.30481900000000001</v>
          </cell>
          <cell r="U1208">
            <v>3.731590527457404E-3</v>
          </cell>
          <cell r="V1208">
            <v>2.5000000000000001E-2</v>
          </cell>
          <cell r="W1208">
            <v>0.25501000000000001</v>
          </cell>
          <cell r="X1208">
            <v>5.8961565580339066</v>
          </cell>
          <cell r="Y1208">
            <v>10.263</v>
          </cell>
          <cell r="Z1208">
            <v>0</v>
          </cell>
          <cell r="AA1208">
            <v>0</v>
          </cell>
          <cell r="AB1208">
            <v>0</v>
          </cell>
          <cell r="AC1208">
            <v>0.18943952518356377</v>
          </cell>
          <cell r="AD1208">
            <v>0.11624054572175327</v>
          </cell>
          <cell r="AE1208">
            <v>0</v>
          </cell>
          <cell r="AF1208">
            <v>14.252959815600867</v>
          </cell>
          <cell r="AG1208">
            <v>6.9424605560463775</v>
          </cell>
          <cell r="AH1208">
            <v>202607</v>
          </cell>
          <cell r="AJ1208" t="str">
            <v xml:space="preserve">BC-10:  BC-10:Prod'n is being ramped up as ALM-2 is online.
</v>
          </cell>
        </row>
        <row r="1209">
          <cell r="C1209">
            <v>46217</v>
          </cell>
          <cell r="D1209">
            <v>314849</v>
          </cell>
          <cell r="E1209">
            <v>28893</v>
          </cell>
          <cell r="F1209">
            <v>21731.91</v>
          </cell>
          <cell r="G1209">
            <v>5041</v>
          </cell>
          <cell r="H1209">
            <v>1868</v>
          </cell>
          <cell r="I1209">
            <v>191269</v>
          </cell>
          <cell r="J1209">
            <v>155109</v>
          </cell>
          <cell r="K1209">
            <v>62611.34</v>
          </cell>
          <cell r="L1209">
            <v>12318</v>
          </cell>
          <cell r="M1209">
            <v>423310</v>
          </cell>
          <cell r="N1209">
            <v>7002</v>
          </cell>
          <cell r="O1209">
            <v>5598</v>
          </cell>
          <cell r="P1209">
            <v>0</v>
          </cell>
          <cell r="Q1209">
            <v>0</v>
          </cell>
          <cell r="R1209">
            <v>153759.79274999999</v>
          </cell>
          <cell r="S1209">
            <v>8.1529787878702091</v>
          </cell>
          <cell r="T1209">
            <v>0.48519099999999998</v>
          </cell>
          <cell r="U1209">
            <v>3.5435668432692333E-3</v>
          </cell>
          <cell r="V1209">
            <v>2.5000000000000001E-2</v>
          </cell>
          <cell r="W1209">
            <v>0.25051000000000001</v>
          </cell>
          <cell r="X1209">
            <v>6.2895055033739489</v>
          </cell>
          <cell r="Y1209">
            <v>10.159000000000001</v>
          </cell>
          <cell r="Z1209">
            <v>0</v>
          </cell>
          <cell r="AA1209">
            <v>0</v>
          </cell>
          <cell r="AB1209">
            <v>0</v>
          </cell>
          <cell r="AC1209">
            <v>0.19481972096605663</v>
          </cell>
          <cell r="AD1209">
            <v>0.11343718055087541</v>
          </cell>
          <cell r="AE1209">
            <v>0</v>
          </cell>
          <cell r="AF1209">
            <v>14.227106559024994</v>
          </cell>
          <cell r="AG1209">
            <v>7.0171404567808597</v>
          </cell>
          <cell r="AH1209">
            <v>202607</v>
          </cell>
          <cell r="AJ1209" t="str">
            <v xml:space="preserve">BC-10:  BC-10:Prod'n is being ramped up as ALM-2 is online.
SPOC: Non flowing wells : TJ-5 (high water cut, high torque &amp; DH problem) &amp; Mala-13 (downhole &amp; High torque &amp; flowline leakage).
</v>
          </cell>
        </row>
        <row r="1210">
          <cell r="C1210">
            <v>46218</v>
          </cell>
          <cell r="D1210">
            <v>327570</v>
          </cell>
          <cell r="E1210">
            <v>32918</v>
          </cell>
          <cell r="F1210">
            <v>13719.38</v>
          </cell>
          <cell r="G1210">
            <v>5049</v>
          </cell>
          <cell r="H1210">
            <v>1877</v>
          </cell>
          <cell r="I1210">
            <v>189216</v>
          </cell>
          <cell r="J1210">
            <v>155779</v>
          </cell>
          <cell r="K1210">
            <v>62296.15</v>
          </cell>
          <cell r="L1210">
            <v>12205</v>
          </cell>
          <cell r="M1210">
            <v>417410</v>
          </cell>
          <cell r="N1210">
            <v>6913</v>
          </cell>
          <cell r="O1210">
            <v>5848</v>
          </cell>
          <cell r="P1210">
            <v>0</v>
          </cell>
          <cell r="Q1210">
            <v>0</v>
          </cell>
          <cell r="R1210">
            <v>149134.61225000003</v>
          </cell>
          <cell r="S1210">
            <v>7.3374543745239196</v>
          </cell>
          <cell r="T1210">
            <v>0.52349500000000004</v>
          </cell>
          <cell r="U1210">
            <v>2.3089534952866653E-3</v>
          </cell>
          <cell r="V1210">
            <v>2.5000000000000001E-2</v>
          </cell>
          <cell r="W1210">
            <v>0.24775</v>
          </cell>
          <cell r="X1210">
            <v>7.0318309372584213</v>
          </cell>
          <cell r="Y1210">
            <v>10.17</v>
          </cell>
          <cell r="Z1210">
            <v>0</v>
          </cell>
          <cell r="AA1210">
            <v>0</v>
          </cell>
          <cell r="AB1210">
            <v>0</v>
          </cell>
          <cell r="AC1210">
            <v>0.19368704816974233</v>
          </cell>
          <cell r="AD1210">
            <v>0.11343718055087541</v>
          </cell>
          <cell r="AE1210">
            <v>0</v>
          </cell>
          <cell r="AF1210">
            <v>14.318088501388939</v>
          </cell>
          <cell r="AG1210">
            <v>7.1675358706616503</v>
          </cell>
          <cell r="AH1210">
            <v>202607</v>
          </cell>
          <cell r="AJ1210" t="str">
            <v>BC-10:  BC-10:Prod'n is being ramped up as ALM-2 is online.
CPO-5: Prod'n deferred due to community blockage.</v>
          </cell>
        </row>
        <row r="1211">
          <cell r="C1211">
            <v>46219</v>
          </cell>
          <cell r="D1211">
            <v>314185</v>
          </cell>
          <cell r="E1211">
            <v>33767</v>
          </cell>
          <cell r="F1211">
            <v>20396.39</v>
          </cell>
          <cell r="G1211">
            <v>4953</v>
          </cell>
          <cell r="H1211">
            <v>1869</v>
          </cell>
          <cell r="I1211">
            <v>188560</v>
          </cell>
          <cell r="J1211">
            <v>152475</v>
          </cell>
          <cell r="K1211">
            <v>61053.4</v>
          </cell>
          <cell r="L1211">
            <v>11362</v>
          </cell>
          <cell r="M1211">
            <v>234876</v>
          </cell>
          <cell r="N1211">
            <v>7184</v>
          </cell>
          <cell r="O1211">
            <v>5724</v>
          </cell>
          <cell r="P1211">
            <v>0</v>
          </cell>
          <cell r="Q1211">
            <v>0</v>
          </cell>
          <cell r="R1211">
            <v>144764.78675</v>
          </cell>
          <cell r="S1211">
            <v>6.8124605334322572</v>
          </cell>
          <cell r="T1211">
            <v>0.51226799999999995</v>
          </cell>
          <cell r="U1211">
            <v>2.3089534952866653E-3</v>
          </cell>
          <cell r="V1211">
            <v>2.5999999999999999E-2</v>
          </cell>
          <cell r="W1211">
            <v>0.24775</v>
          </cell>
          <cell r="X1211">
            <v>7.4546576921225434</v>
          </cell>
          <cell r="Y1211">
            <v>10.119999999999999</v>
          </cell>
          <cell r="Z1211">
            <v>0</v>
          </cell>
          <cell r="AA1211">
            <v>0</v>
          </cell>
          <cell r="AB1211">
            <v>0</v>
          </cell>
          <cell r="AC1211">
            <v>0.19397021636882089</v>
          </cell>
          <cell r="AD1211">
            <v>0.11728826805834398</v>
          </cell>
          <cell r="AE1211">
            <v>0</v>
          </cell>
          <cell r="AF1211">
            <v>13.642732346586548</v>
          </cell>
          <cell r="AG1211">
            <v>7.1079748989710243</v>
          </cell>
          <cell r="AH1211">
            <v>202607</v>
          </cell>
          <cell r="AJ1211" t="str">
            <v xml:space="preserve">IEC: Production deferred due to water cut increase.
SPOC: Production deferred due to water cut increase.
A1,A3: production defered due to EGC-C tripped at 10:10hr.
LZC: Production defered due to Barge moment and less available ULLAGE.
</v>
          </cell>
        </row>
        <row r="1212">
          <cell r="C1212">
            <v>46220</v>
          </cell>
          <cell r="D1212">
            <v>322832</v>
          </cell>
          <cell r="E1212">
            <v>33912</v>
          </cell>
          <cell r="F1212">
            <v>14655.46</v>
          </cell>
          <cell r="G1212">
            <v>5020</v>
          </cell>
          <cell r="H1212">
            <v>1832</v>
          </cell>
          <cell r="I1212">
            <v>187566</v>
          </cell>
          <cell r="J1212">
            <v>158410</v>
          </cell>
          <cell r="K1212">
            <v>59281.81</v>
          </cell>
          <cell r="L1212">
            <v>13307</v>
          </cell>
          <cell r="M1212">
            <v>240193</v>
          </cell>
          <cell r="N1212">
            <v>6919</v>
          </cell>
          <cell r="O1212">
            <v>5734</v>
          </cell>
          <cell r="P1212">
            <v>0</v>
          </cell>
          <cell r="Q1212">
            <v>0</v>
          </cell>
          <cell r="R1212">
            <v>142592.87424999999</v>
          </cell>
          <cell r="S1212">
            <v>6.5930051791463589</v>
          </cell>
          <cell r="T1212">
            <v>0.49749300000000002</v>
          </cell>
          <cell r="U1212">
            <v>2.5632385380592215E-3</v>
          </cell>
          <cell r="V1212">
            <v>2.7E-2</v>
          </cell>
          <cell r="W1212">
            <v>0.23966999999999999</v>
          </cell>
          <cell r="X1212">
            <v>7.5229999999999997</v>
          </cell>
          <cell r="Y1212">
            <v>10.23</v>
          </cell>
          <cell r="Z1212">
            <v>0</v>
          </cell>
          <cell r="AA1212">
            <v>0</v>
          </cell>
          <cell r="AB1212">
            <v>0</v>
          </cell>
          <cell r="AC1212">
            <v>0.19227120717434948</v>
          </cell>
          <cell r="AD1212">
            <v>0.11493797200599183</v>
          </cell>
          <cell r="AE1212">
            <v>0</v>
          </cell>
          <cell r="AF1212">
            <v>14.219800819488768</v>
          </cell>
          <cell r="AG1212">
            <v>7.2292296723946965</v>
          </cell>
          <cell r="AH1212">
            <v>202607</v>
          </cell>
          <cell r="AJ1212" t="str">
            <v xml:space="preserve">IEC: Production deferred due to water cut increase.
LZC: Production defered due to Barge moment and less available ULLAGE.
CPO-5: Prod'n deferred due to community blockade.
</v>
          </cell>
        </row>
        <row r="1213">
          <cell r="C1213">
            <v>46221</v>
          </cell>
          <cell r="D1213">
            <v>331860</v>
          </cell>
          <cell r="E1213">
            <v>33642</v>
          </cell>
          <cell r="F1213">
            <v>21698.76</v>
          </cell>
          <cell r="G1213">
            <v>5008</v>
          </cell>
          <cell r="H1213">
            <v>1869</v>
          </cell>
          <cell r="I1213">
            <v>187613</v>
          </cell>
          <cell r="J1213">
            <v>157102</v>
          </cell>
          <cell r="K1213">
            <v>56842.69</v>
          </cell>
          <cell r="L1213">
            <v>13068</v>
          </cell>
          <cell r="M1213">
            <v>200712</v>
          </cell>
          <cell r="N1213">
            <v>7019</v>
          </cell>
          <cell r="O1213">
            <v>5772</v>
          </cell>
          <cell r="P1213">
            <v>0</v>
          </cell>
          <cell r="Q1213">
            <v>0</v>
          </cell>
          <cell r="R1213">
            <v>145194.19449999998</v>
          </cell>
          <cell r="S1213">
            <v>6.5332566891407833</v>
          </cell>
          <cell r="T1213">
            <v>0.488541</v>
          </cell>
          <cell r="U1213">
            <v>3.5390361520839762E-3</v>
          </cell>
          <cell r="V1213">
            <v>2.7E-2</v>
          </cell>
          <cell r="W1213">
            <v>0.23926</v>
          </cell>
          <cell r="X1213">
            <v>7.68</v>
          </cell>
          <cell r="Y1213">
            <v>10.17</v>
          </cell>
          <cell r="Z1213">
            <v>0</v>
          </cell>
          <cell r="AA1213">
            <v>0</v>
          </cell>
          <cell r="AB1213">
            <v>0</v>
          </cell>
          <cell r="AC1213">
            <v>0.19057219797987807</v>
          </cell>
          <cell r="AD1213">
            <v>0.11842094085465826</v>
          </cell>
          <cell r="AE1213">
            <v>0</v>
          </cell>
          <cell r="AF1213">
            <v>14.224303193854116</v>
          </cell>
          <cell r="AG1213">
            <v>7.2424266892322171</v>
          </cell>
          <cell r="AH1213">
            <v>202607</v>
          </cell>
          <cell r="AJ1213" t="str">
            <v xml:space="preserve">IEC: Production deferred due to water cut increase.
LZC: Production defered due to Barge moment and less available ULLAGE.
CPO-5:Well under stabilization after the blockade.
</v>
          </cell>
        </row>
        <row r="1214">
          <cell r="C1214">
            <v>46222</v>
          </cell>
          <cell r="D1214">
            <v>318084</v>
          </cell>
          <cell r="E1214">
            <v>33855</v>
          </cell>
          <cell r="F1214">
            <v>21732.92</v>
          </cell>
          <cell r="G1214">
            <v>5027</v>
          </cell>
          <cell r="H1214">
            <v>1826</v>
          </cell>
          <cell r="I1214">
            <v>188283</v>
          </cell>
          <cell r="J1214">
            <v>159069</v>
          </cell>
          <cell r="K1214">
            <v>55363.62</v>
          </cell>
          <cell r="L1214">
            <v>12401</v>
          </cell>
          <cell r="M1214">
            <v>115300</v>
          </cell>
          <cell r="N1214">
            <v>6997</v>
          </cell>
          <cell r="O1214">
            <v>5829</v>
          </cell>
          <cell r="P1214">
            <v>0</v>
          </cell>
          <cell r="Q1214">
            <v>0</v>
          </cell>
          <cell r="R1214">
            <v>141557.80725000001</v>
          </cell>
          <cell r="S1214">
            <v>6.4624646393711407</v>
          </cell>
          <cell r="T1214">
            <v>0.49789899999999998</v>
          </cell>
          <cell r="U1214">
            <v>3.6239866118075474E-3</v>
          </cell>
          <cell r="V1214">
            <v>2.5999999999999999E-2</v>
          </cell>
          <cell r="W1214">
            <v>0.20521</v>
          </cell>
          <cell r="X1214">
            <v>7.6210000000000004</v>
          </cell>
          <cell r="Y1214">
            <v>10.18</v>
          </cell>
          <cell r="Z1214">
            <v>0</v>
          </cell>
          <cell r="AA1214">
            <v>0</v>
          </cell>
          <cell r="AB1214">
            <v>0</v>
          </cell>
          <cell r="AC1214">
            <v>0.19170487077619233</v>
          </cell>
          <cell r="AD1214">
            <v>0.10890648936561828</v>
          </cell>
          <cell r="AE1214">
            <v>0</v>
          </cell>
          <cell r="AF1214">
            <v>14.174522224456105</v>
          </cell>
          <cell r="AG1214">
            <v>7.1869887303907731</v>
          </cell>
          <cell r="AH1214">
            <v>202607</v>
          </cell>
          <cell r="AJ1214" t="str">
            <v xml:space="preserve">IEC: Production deferred due to water cut increase.
LZC: Production defered due to Barge moment and less available ULLAGE.
CPO-5:Well under stabilization after the blockade.
</v>
          </cell>
        </row>
        <row r="1215">
          <cell r="C1215">
            <v>46223</v>
          </cell>
          <cell r="D1215">
            <v>319588</v>
          </cell>
          <cell r="E1215">
            <v>33667</v>
          </cell>
          <cell r="F1215">
            <v>21393.77</v>
          </cell>
          <cell r="G1215">
            <v>5007</v>
          </cell>
          <cell r="H1215">
            <v>1856</v>
          </cell>
          <cell r="I1215">
            <v>184616</v>
          </cell>
          <cell r="J1215">
            <v>155796</v>
          </cell>
          <cell r="K1215">
            <v>58899.58</v>
          </cell>
          <cell r="L1215">
            <v>8145</v>
          </cell>
          <cell r="M1215">
            <v>78161</v>
          </cell>
          <cell r="N1215">
            <v>6485</v>
          </cell>
          <cell r="O1215">
            <v>5775</v>
          </cell>
          <cell r="P1215">
            <v>0</v>
          </cell>
          <cell r="Q1215">
            <v>0</v>
          </cell>
          <cell r="R1215">
            <v>138043.00425</v>
          </cell>
          <cell r="S1215">
            <v>6.6870170212404423</v>
          </cell>
          <cell r="T1215">
            <v>0.46460699999999999</v>
          </cell>
          <cell r="U1215">
            <v>3.7321568638555617E-3</v>
          </cell>
          <cell r="V1215">
            <v>2.8000000000000001E-2</v>
          </cell>
          <cell r="W1215">
            <v>0.23105000000000001</v>
          </cell>
          <cell r="X1215">
            <v>8.0383806177031083</v>
          </cell>
          <cell r="Y1215">
            <v>10.07</v>
          </cell>
          <cell r="Z1215">
            <v>0</v>
          </cell>
          <cell r="AA1215">
            <v>0</v>
          </cell>
          <cell r="AB1215">
            <v>0</v>
          </cell>
          <cell r="AC1215">
            <v>0.18943952518356377</v>
          </cell>
          <cell r="AD1215">
            <v>0.11315401235179684</v>
          </cell>
          <cell r="AE1215">
            <v>0</v>
          </cell>
          <cell r="AF1215">
            <v>13.485828847477112</v>
          </cell>
          <cell r="AG1215">
            <v>7.1506561181939245</v>
          </cell>
          <cell r="AH1215">
            <v>202607</v>
          </cell>
          <cell r="AJ1215" t="str">
            <v xml:space="preserve">IEC: Production deferred due to water cut increase.
LZC: Production defered due to Barge moment and less available ULLAGE.
CPO-5: The well was temporarily closed to facilitate load transfer and the energization of the MGT to the new electrical facilities.
A1-A3:Gas production was reduced due to S/D of compressor 3 hour (EGC-C vibration sensor maintenance). Normal gas export resumed upon completion of the maintenance activity.
PCB:Prod'n deferred due to pumping shutdown following a leak in the 24-inch Morero pipeline, Well CGO-0050 (tubing failure), and Well CGO-0052 shut in due to PCP failure (awaiting materials).
</v>
          </cell>
        </row>
        <row r="1216">
          <cell r="C1216">
            <v>46224</v>
          </cell>
          <cell r="D1216">
            <v>332827</v>
          </cell>
          <cell r="E1216">
            <v>32906</v>
          </cell>
          <cell r="F1216">
            <v>21725.51</v>
          </cell>
          <cell r="G1216">
            <v>4809</v>
          </cell>
          <cell r="H1216">
            <v>1859</v>
          </cell>
          <cell r="I1216">
            <v>188496</v>
          </cell>
          <cell r="J1216">
            <v>157185</v>
          </cell>
          <cell r="K1216">
            <v>59932.45</v>
          </cell>
          <cell r="L1216">
            <v>13577</v>
          </cell>
          <cell r="M1216">
            <v>88699</v>
          </cell>
          <cell r="N1216">
            <v>7020</v>
          </cell>
          <cell r="O1216">
            <v>5754</v>
          </cell>
          <cell r="P1216">
            <v>0</v>
          </cell>
          <cell r="Q1216">
            <v>0</v>
          </cell>
          <cell r="R1216">
            <v>141538.7905</v>
          </cell>
          <cell r="S1216">
            <v>6.7025912721897623</v>
          </cell>
          <cell r="T1216">
            <v>0.415937</v>
          </cell>
          <cell r="U1216">
            <v>3.74829745120304E-3</v>
          </cell>
          <cell r="V1216">
            <v>2.5000000000000001E-2</v>
          </cell>
          <cell r="W1216">
            <v>0.22294</v>
          </cell>
          <cell r="X1216">
            <v>7.8481199047422177</v>
          </cell>
          <cell r="Y1216">
            <v>10.130000000000001</v>
          </cell>
          <cell r="Z1216">
            <v>0</v>
          </cell>
          <cell r="AA1216">
            <v>0</v>
          </cell>
          <cell r="AB1216">
            <v>0</v>
          </cell>
          <cell r="AC1216">
            <v>0.19057219797987807</v>
          </cell>
          <cell r="AD1216">
            <v>0.16579498056050312</v>
          </cell>
          <cell r="AE1216">
            <v>0</v>
          </cell>
          <cell r="AF1216">
            <v>14.215581613322497</v>
          </cell>
          <cell r="AG1216">
            <v>7.2511475739268079</v>
          </cell>
          <cell r="AH1216">
            <v>202607</v>
          </cell>
          <cell r="AJ1216" t="str">
            <v>IEC: Production deferred due to water cut increase.
LZC: Production defered due to Barge moment and less available ULLAGE.
CPO-5: Well under stabilization.</v>
          </cell>
        </row>
        <row r="1217">
          <cell r="C1217">
            <v>46225</v>
          </cell>
          <cell r="D1217">
            <v>313141</v>
          </cell>
          <cell r="E1217">
            <v>32390</v>
          </cell>
          <cell r="F1217">
            <v>21713.84</v>
          </cell>
          <cell r="G1217">
            <v>4849</v>
          </cell>
          <cell r="H1217">
            <v>1876</v>
          </cell>
          <cell r="I1217">
            <v>182179</v>
          </cell>
          <cell r="J1217">
            <v>156337</v>
          </cell>
          <cell r="K1217">
            <v>58668.43</v>
          </cell>
          <cell r="L1217">
            <v>10800</v>
          </cell>
          <cell r="M1217">
            <v>204177</v>
          </cell>
          <cell r="N1217">
            <v>7076</v>
          </cell>
          <cell r="O1217">
            <v>5798</v>
          </cell>
          <cell r="P1217">
            <v>0</v>
          </cell>
          <cell r="Q1217">
            <v>0</v>
          </cell>
          <cell r="R1217">
            <v>143025.52974999996</v>
          </cell>
          <cell r="S1217">
            <v>6.6666289109067849</v>
          </cell>
          <cell r="T1217">
            <v>0.47985699999999998</v>
          </cell>
          <cell r="U1217">
            <v>3.7126182581191402E-3</v>
          </cell>
          <cell r="V1217">
            <v>2.7E-2</v>
          </cell>
          <cell r="W1217">
            <v>0.21528</v>
          </cell>
          <cell r="X1217">
            <v>7.8963151322253902</v>
          </cell>
          <cell r="Y1217">
            <v>10.1</v>
          </cell>
          <cell r="Z1217">
            <v>0</v>
          </cell>
          <cell r="AA1217">
            <v>0</v>
          </cell>
          <cell r="AB1217">
            <v>0</v>
          </cell>
          <cell r="AC1217">
            <v>0.1735821060351638</v>
          </cell>
          <cell r="AD1217">
            <v>0.1665312178781074</v>
          </cell>
          <cell r="AE1217">
            <v>0</v>
          </cell>
          <cell r="AF1217">
            <v>14.196156274865707</v>
          </cell>
          <cell r="AG1217">
            <v>7.2576563976313828</v>
          </cell>
          <cell r="AH1217">
            <v>202607</v>
          </cell>
          <cell r="AJ1217" t="str">
            <v>SPOC: Production deferred due to power failure.
LZC: Production deferred due to Barge moment and less available ULLAGE.
IEC: Production deferred due to flow rate decline in Well 512 and well stock deviations.</v>
          </cell>
        </row>
        <row r="1218">
          <cell r="C1218">
            <v>46226</v>
          </cell>
          <cell r="D1218">
            <v>311511</v>
          </cell>
          <cell r="E1218">
            <v>33686</v>
          </cell>
          <cell r="F1218">
            <v>21754.76</v>
          </cell>
          <cell r="G1218">
            <v>4801</v>
          </cell>
          <cell r="H1218">
            <v>1858</v>
          </cell>
          <cell r="I1218">
            <v>190736</v>
          </cell>
          <cell r="J1218">
            <v>157066</v>
          </cell>
          <cell r="K1218">
            <v>60256.5</v>
          </cell>
          <cell r="L1218">
            <v>12490</v>
          </cell>
          <cell r="M1218">
            <v>257128</v>
          </cell>
          <cell r="N1218">
            <v>6841</v>
          </cell>
          <cell r="O1218">
            <v>5790</v>
          </cell>
          <cell r="P1218">
            <v>0</v>
          </cell>
          <cell r="Q1218">
            <v>0</v>
          </cell>
          <cell r="R1218">
            <v>148109.07625000001</v>
          </cell>
          <cell r="S1218">
            <v>6.7750823311538815</v>
          </cell>
          <cell r="T1218">
            <v>0.50502199999999997</v>
          </cell>
          <cell r="U1218">
            <v>3.3674362234423624E-3</v>
          </cell>
          <cell r="V1218">
            <v>2.5999999999999999E-2</v>
          </cell>
          <cell r="W1218">
            <v>0.22365000000000002</v>
          </cell>
          <cell r="X1218">
            <v>7.5750000000000002</v>
          </cell>
          <cell r="Y1218">
            <v>10.039999999999999</v>
          </cell>
          <cell r="Z1218">
            <v>0</v>
          </cell>
          <cell r="AA1218">
            <v>0</v>
          </cell>
          <cell r="AB1218">
            <v>0</v>
          </cell>
          <cell r="AC1218">
            <v>0.18745734779001377</v>
          </cell>
          <cell r="AD1218">
            <v>8.7187488496291918E-2</v>
          </cell>
          <cell r="AE1218">
            <v>0</v>
          </cell>
          <cell r="AF1218">
            <v>14.262899019388525</v>
          </cell>
          <cell r="AG1218">
            <v>7.1767652351377196</v>
          </cell>
          <cell r="AH1218">
            <v>202607</v>
          </cell>
          <cell r="AJ1218" t="str">
            <v>SPOC: Production deferred due to power failure.
LZC: Production deferred due to Barge moment and less available ULLAGE.
IEC: Production deferred due to flow rate decline in Well 512 and well stock deviations.
PCB: Production deferred due to tubing failure in Well CGO-0050 and the continued shut-in of Well CGO-0052 following PCP failure, pending material availability.</v>
          </cell>
        </row>
        <row r="1219">
          <cell r="C1219">
            <v>46227</v>
          </cell>
          <cell r="D1219">
            <v>330600</v>
          </cell>
          <cell r="E1219">
            <v>34868</v>
          </cell>
          <cell r="F1219">
            <v>21713.599999999999</v>
          </cell>
          <cell r="G1219">
            <v>4652</v>
          </cell>
          <cell r="H1219">
            <v>1921</v>
          </cell>
          <cell r="I1219">
            <v>188840</v>
          </cell>
          <cell r="J1219">
            <v>155325</v>
          </cell>
          <cell r="K1219">
            <v>57973.78</v>
          </cell>
          <cell r="L1219">
            <v>11368</v>
          </cell>
          <cell r="M1219">
            <v>346549</v>
          </cell>
          <cell r="N1219">
            <v>6852</v>
          </cell>
          <cell r="O1219">
            <v>5799</v>
          </cell>
          <cell r="P1219">
            <v>0</v>
          </cell>
          <cell r="Q1219">
            <v>0</v>
          </cell>
          <cell r="R1219">
            <v>150854.685</v>
          </cell>
          <cell r="S1219">
            <v>6.8529535859004884</v>
          </cell>
          <cell r="T1219">
            <v>0.49413600000000002</v>
          </cell>
          <cell r="U1219">
            <v>3.6132262202425614E-3</v>
          </cell>
          <cell r="V1219">
            <v>2.7E-2</v>
          </cell>
          <cell r="W1219">
            <v>0.24700999999999998</v>
          </cell>
          <cell r="X1219">
            <v>7.266</v>
          </cell>
          <cell r="Y1219">
            <v>10.220000000000001</v>
          </cell>
          <cell r="Z1219">
            <v>0</v>
          </cell>
          <cell r="AA1219">
            <v>0</v>
          </cell>
          <cell r="AB1219">
            <v>0</v>
          </cell>
          <cell r="AC1219">
            <v>0.19113853437803519</v>
          </cell>
          <cell r="AD1219">
            <v>8.8971448150486895E-2</v>
          </cell>
          <cell r="AE1219">
            <v>0</v>
          </cell>
          <cell r="AF1219">
            <v>14.172851532081539</v>
          </cell>
          <cell r="AG1219">
            <v>7.1707741908832299</v>
          </cell>
          <cell r="AH1219">
            <v>202607</v>
          </cell>
          <cell r="AJ1219" t="str">
            <v>SPOC: Production deferred due to water cut.
LZC: Production deferred due to Barge moment and less available ULLAGE.
PCB: Production deferred due to water increase coming from the wells &gt;30%.
IEC: Production deferred due to pipeline imbalance, production rate decline, water cut increase, and well stock deviations. Partially offset by well stabilization and production recovery.</v>
          </cell>
        </row>
        <row r="1220">
          <cell r="C1220">
            <v>46228</v>
          </cell>
          <cell r="D1220">
            <v>312442</v>
          </cell>
          <cell r="E1220">
            <v>34899</v>
          </cell>
          <cell r="F1220">
            <v>21657.040000000001</v>
          </cell>
          <cell r="G1220">
            <v>4728</v>
          </cell>
          <cell r="H1220">
            <v>1889</v>
          </cell>
          <cell r="I1220">
            <v>175767</v>
          </cell>
          <cell r="J1220">
            <v>154090</v>
          </cell>
          <cell r="K1220">
            <v>57516.9</v>
          </cell>
          <cell r="L1220">
            <v>12312</v>
          </cell>
          <cell r="M1220">
            <v>365972</v>
          </cell>
          <cell r="N1220">
            <v>6916</v>
          </cell>
          <cell r="O1220">
            <v>5804</v>
          </cell>
          <cell r="P1220">
            <v>0</v>
          </cell>
          <cell r="Q1220">
            <v>0</v>
          </cell>
          <cell r="R1220">
            <v>148262.12150000001</v>
          </cell>
          <cell r="S1220">
            <v>6.7889575729087319</v>
          </cell>
          <cell r="T1220">
            <v>0.51140099999999999</v>
          </cell>
          <cell r="U1220">
            <v>3.6741073830444545E-3</v>
          </cell>
          <cell r="V1220">
            <v>2.5000000000000001E-2</v>
          </cell>
          <cell r="W1220">
            <v>0.24450999999999998</v>
          </cell>
          <cell r="X1220">
            <v>7.4009999999999998</v>
          </cell>
          <cell r="Y1220">
            <v>10.1</v>
          </cell>
          <cell r="Z1220">
            <v>0</v>
          </cell>
          <cell r="AA1220">
            <v>0</v>
          </cell>
          <cell r="AB1220">
            <v>0</v>
          </cell>
          <cell r="AC1220">
            <v>0.18887318878540663</v>
          </cell>
          <cell r="AD1220">
            <v>9.0585506885234757E-2</v>
          </cell>
          <cell r="AE1220">
            <v>0</v>
          </cell>
          <cell r="AF1220">
            <v>14.227219826304626</v>
          </cell>
          <cell r="AG1220">
            <v>7.1755029029998552</v>
          </cell>
          <cell r="AH1220">
            <v>202607</v>
          </cell>
          <cell r="AJ1220" t="str">
            <v>SPOC: Production deferred due to water cut.
LZC: Production deferred due to Barge moment and less available ULLAGE.
PCB: Production deferred due to water increase coming from the wells &gt;30%.
IEC: Production deferred due to pipeline imbalance, production rate decline, water cut increase, and well stock deviations. Partially offset by well stabilization and production recovery.</v>
          </cell>
        </row>
        <row r="1221">
          <cell r="C1221">
            <v>46229</v>
          </cell>
          <cell r="D1221">
            <v>315727</v>
          </cell>
          <cell r="E1221">
            <v>35428</v>
          </cell>
          <cell r="F1221">
            <v>21675.98</v>
          </cell>
          <cell r="G1221">
            <v>4836</v>
          </cell>
          <cell r="H1221">
            <v>1923</v>
          </cell>
          <cell r="I1221">
            <v>184915</v>
          </cell>
          <cell r="J1221">
            <v>151836</v>
          </cell>
          <cell r="K1221">
            <v>56739.88</v>
          </cell>
          <cell r="L1221">
            <v>12467</v>
          </cell>
          <cell r="M1221">
            <v>336113</v>
          </cell>
          <cell r="N1221">
            <v>6908</v>
          </cell>
          <cell r="O1221">
            <v>5724</v>
          </cell>
          <cell r="P1221">
            <v>0</v>
          </cell>
          <cell r="Q1221">
            <v>0</v>
          </cell>
          <cell r="R1221">
            <v>148461.75450000001</v>
          </cell>
          <cell r="S1221">
            <v>7.0197396551577693</v>
          </cell>
          <cell r="T1221">
            <v>0.52302300000000002</v>
          </cell>
          <cell r="U1221">
            <v>3.5254440785282047E-3</v>
          </cell>
          <cell r="V1221">
            <v>2.5999999999999999E-2</v>
          </cell>
          <cell r="W1221">
            <v>0.24342</v>
          </cell>
          <cell r="X1221">
            <v>7.5940000000000003</v>
          </cell>
          <cell r="Y1221">
            <v>9.98</v>
          </cell>
          <cell r="Z1221">
            <v>0</v>
          </cell>
          <cell r="AA1221">
            <v>0</v>
          </cell>
          <cell r="AB1221">
            <v>0</v>
          </cell>
          <cell r="AC1221">
            <v>0.1987840757531566</v>
          </cell>
          <cell r="AD1221">
            <v>9.1661546041733322E-2</v>
          </cell>
          <cell r="AE1221">
            <v>0</v>
          </cell>
          <cell r="AF1221">
            <v>14.146573523207049</v>
          </cell>
          <cell r="AG1221">
            <v>7.1800119606081036</v>
          </cell>
          <cell r="AH1221">
            <v>202607</v>
          </cell>
          <cell r="AJ1221" t="str">
            <v>LZC: Production deferred due to Barge moment and less available ULLAGE.
PCB: Production deferred due to water increase coming from the wells &gt;30%.</v>
          </cell>
        </row>
        <row r="1222">
          <cell r="C1222">
            <v>46230</v>
          </cell>
          <cell r="D1222">
            <v>332365</v>
          </cell>
          <cell r="E1222">
            <v>35434</v>
          </cell>
          <cell r="F1222">
            <v>21692.75</v>
          </cell>
          <cell r="G1222">
            <v>4757</v>
          </cell>
          <cell r="H1222">
            <v>1846</v>
          </cell>
          <cell r="I1222">
            <v>184805</v>
          </cell>
          <cell r="J1222">
            <v>154953</v>
          </cell>
          <cell r="K1222">
            <v>50997.08</v>
          </cell>
          <cell r="L1222">
            <v>11527</v>
          </cell>
          <cell r="M1222">
            <v>310908</v>
          </cell>
          <cell r="N1222">
            <v>6953</v>
          </cell>
          <cell r="O1222">
            <v>5818</v>
          </cell>
          <cell r="P1222">
            <v>0</v>
          </cell>
          <cell r="Q1222">
            <v>0</v>
          </cell>
          <cell r="R1222">
            <v>147005.57</v>
          </cell>
          <cell r="S1222">
            <v>6.4904982910799127</v>
          </cell>
          <cell r="T1222">
            <v>0.52405500000000005</v>
          </cell>
          <cell r="U1222">
            <v>3.6910391423401584E-3</v>
          </cell>
          <cell r="V1222">
            <v>2.8000000000000001E-2</v>
          </cell>
          <cell r="W1222">
            <v>0.23063999999999998</v>
          </cell>
          <cell r="X1222">
            <v>7.5389999999999997</v>
          </cell>
          <cell r="Y1222">
            <v>10.029999999999999</v>
          </cell>
          <cell r="Z1222">
            <v>0</v>
          </cell>
          <cell r="AA1222">
            <v>0</v>
          </cell>
          <cell r="AB1222">
            <v>0</v>
          </cell>
          <cell r="AC1222">
            <v>0.20019991674854948</v>
          </cell>
          <cell r="AD1222">
            <v>8.1297589955457633E-2</v>
          </cell>
          <cell r="AE1222">
            <v>0</v>
          </cell>
          <cell r="AF1222">
            <v>14.154275698221985</v>
          </cell>
          <cell r="AG1222">
            <v>7.1523498205363492</v>
          </cell>
          <cell r="AH1222">
            <v>202607</v>
          </cell>
          <cell r="AJ1222" t="str">
            <v>LZC: Production deferred due to Barge moment and less available ULLAGE.
IEC: Production deferred due to water cut increase.
SPOC: Production deferred due to Mala feeder was tripped.
GPOC: 5644.80 barrels transferred from Unity COST to Export</v>
          </cell>
        </row>
        <row r="1223">
          <cell r="C1223">
            <v>46231</v>
          </cell>
          <cell r="D1223">
            <v>331748</v>
          </cell>
          <cell r="E1223">
            <v>35472</v>
          </cell>
          <cell r="F1223">
            <v>21683.88</v>
          </cell>
          <cell r="G1223">
            <v>4677</v>
          </cell>
          <cell r="H1223">
            <v>1853</v>
          </cell>
          <cell r="I1223">
            <v>181401</v>
          </cell>
          <cell r="J1223">
            <v>156296</v>
          </cell>
          <cell r="K1223">
            <v>54085.74</v>
          </cell>
          <cell r="L1223">
            <v>11628</v>
          </cell>
          <cell r="M1223">
            <v>322991</v>
          </cell>
          <cell r="N1223">
            <v>7016</v>
          </cell>
          <cell r="O1223">
            <v>5713</v>
          </cell>
          <cell r="P1223">
            <v>0</v>
          </cell>
          <cell r="Q1223">
            <v>0</v>
          </cell>
          <cell r="R1223">
            <v>147871.73500000004</v>
          </cell>
          <cell r="S1223">
            <v>6.8008506372700337</v>
          </cell>
          <cell r="T1223">
            <v>0.52233700000000005</v>
          </cell>
          <cell r="U1223">
            <v>3.9759646832622109E-3</v>
          </cell>
          <cell r="V1223">
            <v>2.5000000000000001E-2</v>
          </cell>
          <cell r="W1223">
            <v>0.22293000000000002</v>
          </cell>
          <cell r="X1223">
            <v>7.4873919359360261</v>
          </cell>
          <cell r="Y1223">
            <v>10.02</v>
          </cell>
          <cell r="Z1223">
            <v>0</v>
          </cell>
          <cell r="AA1223">
            <v>0</v>
          </cell>
          <cell r="AB1223">
            <v>0</v>
          </cell>
          <cell r="AC1223">
            <v>0.19708506655868518</v>
          </cell>
          <cell r="AD1223">
            <v>6.7818783679317679E-2</v>
          </cell>
          <cell r="AE1223">
            <v>0</v>
          </cell>
          <cell r="AF1223">
            <v>14.200290530572254</v>
          </cell>
          <cell r="AG1223">
            <v>7.1409205193178202</v>
          </cell>
          <cell r="AH1223">
            <v>202607</v>
          </cell>
          <cell r="AJ1223" t="str">
            <v>LZC: Production deferred due to Barge moment and less available ULLAGE.
IEC: Production deferred due to water cut increase.
SPOC: Production deferred due to TR-01 &amp; Mala STP1 was tripped.</v>
          </cell>
        </row>
        <row r="1224">
          <cell r="C1224">
            <v>46232</v>
          </cell>
          <cell r="D1224">
            <v>312129</v>
          </cell>
          <cell r="E1224">
            <v>35465</v>
          </cell>
          <cell r="F1224">
            <v>21663.47</v>
          </cell>
          <cell r="G1224">
            <v>4603</v>
          </cell>
          <cell r="H1224">
            <v>1853</v>
          </cell>
          <cell r="I1224">
            <v>183998</v>
          </cell>
          <cell r="J1224">
            <v>157869</v>
          </cell>
          <cell r="K1224">
            <v>56395.81</v>
          </cell>
          <cell r="L1224">
            <v>11632</v>
          </cell>
          <cell r="M1224">
            <v>386501</v>
          </cell>
          <cell r="N1224">
            <v>6997</v>
          </cell>
          <cell r="O1224">
            <v>5814</v>
          </cell>
          <cell r="P1224">
            <v>0</v>
          </cell>
          <cell r="Q1224">
            <v>0</v>
          </cell>
          <cell r="R1224">
            <v>151330.27475000001</v>
          </cell>
          <cell r="S1224">
            <v>6.8540862586968014</v>
          </cell>
          <cell r="T1224">
            <v>0.51825500000000002</v>
          </cell>
          <cell r="U1224">
            <v>3.5209133873429477E-3</v>
          </cell>
          <cell r="V1224">
            <v>2.7E-2</v>
          </cell>
          <cell r="W1224">
            <v>0.24662000000000001</v>
          </cell>
          <cell r="X1224">
            <v>7.4523923465299147</v>
          </cell>
          <cell r="Y1224">
            <v>10.1</v>
          </cell>
          <cell r="Z1224">
            <v>0</v>
          </cell>
          <cell r="AA1224">
            <v>0</v>
          </cell>
          <cell r="AB1224">
            <v>0</v>
          </cell>
          <cell r="AC1224">
            <v>0.19425338456789948</v>
          </cell>
          <cell r="AD1224">
            <v>7.3906899959506944E-2</v>
          </cell>
          <cell r="AE1224">
            <v>0</v>
          </cell>
          <cell r="AF1224">
            <v>14.125250957816434</v>
          </cell>
          <cell r="AG1224">
            <v>7.16923263748793</v>
          </cell>
          <cell r="AH1224">
            <v>202607</v>
          </cell>
          <cell r="AJ1224" t="str">
            <v>LZC: Production deferred due to Barge moment and less available ULLAGE.
IEC: Production deferred due to water cut increase.
SPOC: TJ-25 Manually started at 06:30hrs after tripped due to power fluctuated. </v>
          </cell>
        </row>
        <row r="1225">
          <cell r="C1225">
            <v>46233</v>
          </cell>
          <cell r="D1225">
            <v>329502</v>
          </cell>
          <cell r="E1225">
            <v>35509</v>
          </cell>
          <cell r="F1225">
            <v>21108.81</v>
          </cell>
          <cell r="G1225">
            <v>4677</v>
          </cell>
          <cell r="H1225">
            <v>1901</v>
          </cell>
          <cell r="I1225">
            <v>186596</v>
          </cell>
          <cell r="J1225">
            <v>157557</v>
          </cell>
          <cell r="K1225">
            <v>58100.24</v>
          </cell>
          <cell r="L1225">
            <v>13191</v>
          </cell>
          <cell r="M1225">
            <v>412245</v>
          </cell>
          <cell r="N1225">
            <v>6894</v>
          </cell>
          <cell r="O1225">
            <v>5796</v>
          </cell>
          <cell r="P1225">
            <v>0</v>
          </cell>
          <cell r="Q1225">
            <v>0</v>
          </cell>
          <cell r="R1225">
            <v>153798.97924999997</v>
          </cell>
          <cell r="S1225">
            <v>6.3661874516844241</v>
          </cell>
          <cell r="T1225">
            <v>0.52539999999999998</v>
          </cell>
          <cell r="U1225">
            <v>2.6954780870289139E-3</v>
          </cell>
          <cell r="V1225">
            <v>2.1999999999999999E-2</v>
          </cell>
          <cell r="W1225">
            <v>0.243809</v>
          </cell>
          <cell r="X1225">
            <v>7.4748475847168452</v>
          </cell>
          <cell r="Y1225">
            <v>10.06</v>
          </cell>
          <cell r="Z1225">
            <v>0</v>
          </cell>
          <cell r="AA1225">
            <v>0</v>
          </cell>
          <cell r="AB1225">
            <v>0</v>
          </cell>
          <cell r="AC1225">
            <v>0.19510288916513518</v>
          </cell>
          <cell r="AD1225">
            <v>7.4048484059046238E-2</v>
          </cell>
          <cell r="AE1225">
            <v>0</v>
          </cell>
          <cell r="AF1225">
            <v>14.12462798777846</v>
          </cell>
          <cell r="AG1225">
            <v>7.1457149692592603</v>
          </cell>
          <cell r="AH1225">
            <v>202607</v>
          </cell>
          <cell r="AJ1225" t="str">
            <v>PCB: Production deferred due to water increase coming from the wells &gt;30%.
CPO-5: The Indico-3 Shut down due to an internal electrical issue in the VDS.</v>
          </cell>
        </row>
        <row r="1226">
          <cell r="C1226">
            <v>46234</v>
          </cell>
          <cell r="D1226">
            <v>317358</v>
          </cell>
          <cell r="E1226">
            <v>35434</v>
          </cell>
          <cell r="F1226">
            <v>20818.13</v>
          </cell>
          <cell r="G1226">
            <v>4668</v>
          </cell>
          <cell r="H1226">
            <v>1860</v>
          </cell>
          <cell r="I1226">
            <v>184839</v>
          </cell>
          <cell r="J1226">
            <v>156768</v>
          </cell>
          <cell r="K1226">
            <v>58876.24</v>
          </cell>
          <cell r="L1226">
            <v>7473</v>
          </cell>
          <cell r="M1226">
            <v>432883</v>
          </cell>
          <cell r="N1226">
            <v>6970</v>
          </cell>
          <cell r="O1226">
            <v>5338</v>
          </cell>
          <cell r="P1226">
            <v>0</v>
          </cell>
          <cell r="Q1226">
            <v>0</v>
          </cell>
          <cell r="R1226">
            <v>152083.21375000002</v>
          </cell>
          <cell r="S1226">
            <v>6.0872667755920347</v>
          </cell>
          <cell r="T1226">
            <v>0.51881500000000003</v>
          </cell>
          <cell r="U1226">
            <v>2.7597572682197496E-3</v>
          </cell>
          <cell r="V1226">
            <v>2.8000000000000001E-2</v>
          </cell>
          <cell r="W1226">
            <v>0.24227799999999999</v>
          </cell>
          <cell r="X1226">
            <v>7.6779999999999999</v>
          </cell>
          <cell r="Y1226">
            <v>10</v>
          </cell>
          <cell r="Z1226">
            <v>0</v>
          </cell>
          <cell r="AA1226">
            <v>0</v>
          </cell>
          <cell r="AB1226">
            <v>0</v>
          </cell>
          <cell r="AC1226">
            <v>0.19368704816974233</v>
          </cell>
          <cell r="AD1226">
            <v>8.0136600339235503E-2</v>
          </cell>
          <cell r="AE1226">
            <v>0</v>
          </cell>
          <cell r="AF1226">
            <v>14.173616086219052</v>
          </cell>
          <cell r="AG1226">
            <v>7.1728855532776716</v>
          </cell>
          <cell r="AH1226">
            <v>202607</v>
          </cell>
          <cell r="AJ1226" t="str">
            <v>PCB: Production deferred due to water increase coming from the wells &gt;30%. 
CPO-5: The Indico-3 shut down due to an internal electrical issue in the VDS.
SPOC: ME-01 &amp; 02 tripped at 13:10hrs on 31.07.2026.
IEC: Production deferred due to water cut increase.</v>
          </cell>
        </row>
        <row r="1227">
          <cell r="C1227">
            <v>46235</v>
          </cell>
          <cell r="D1227">
            <v>331595</v>
          </cell>
          <cell r="E1227">
            <v>35057</v>
          </cell>
          <cell r="F1227">
            <v>21077.33</v>
          </cell>
          <cell r="G1227">
            <v>4860</v>
          </cell>
          <cell r="H1227">
            <v>1869</v>
          </cell>
          <cell r="I1227">
            <v>184304</v>
          </cell>
          <cell r="J1227">
            <v>160176</v>
          </cell>
          <cell r="K1227">
            <v>58338.51</v>
          </cell>
          <cell r="L1227">
            <v>14063</v>
          </cell>
          <cell r="M1227">
            <v>426982</v>
          </cell>
          <cell r="N1227">
            <v>6920</v>
          </cell>
          <cell r="O1227">
            <v>5621</v>
          </cell>
          <cell r="P1227">
            <v>0</v>
          </cell>
          <cell r="Q1227">
            <v>0</v>
          </cell>
          <cell r="R1227">
            <v>154790.44100000002</v>
          </cell>
          <cell r="S1227">
            <v>6.3081379708733181</v>
          </cell>
          <cell r="T1227">
            <v>0.50694099999999997</v>
          </cell>
          <cell r="U1227">
            <v>3.2099947047546772E-3</v>
          </cell>
          <cell r="V1227">
            <v>2.9000000000000001E-2</v>
          </cell>
          <cell r="W1227">
            <v>0.27016899999999999</v>
          </cell>
          <cell r="X1227">
            <v>8.1649999999999991</v>
          </cell>
          <cell r="Y1227">
            <v>9.9809999999999999</v>
          </cell>
          <cell r="Z1227">
            <v>0</v>
          </cell>
          <cell r="AA1227">
            <v>0</v>
          </cell>
          <cell r="AB1227">
            <v>0</v>
          </cell>
          <cell r="AC1227">
            <v>0.19425338456789948</v>
          </cell>
          <cell r="AD1227">
            <v>7.3000761722455509E-2</v>
          </cell>
          <cell r="AE1227">
            <v>0</v>
          </cell>
          <cell r="AF1227">
            <v>14.139211150031006</v>
          </cell>
          <cell r="AG1227">
            <v>7.2883501781447668</v>
          </cell>
          <cell r="AH1227">
            <v>202608</v>
          </cell>
          <cell r="AJ1227" t="str">
            <v>PCB: Production deferred due to water increase coming from the wells &gt;30%. 
IEC: Production deferred due to water cut increase.</v>
          </cell>
        </row>
        <row r="1228">
          <cell r="C1228">
            <v>46236</v>
          </cell>
          <cell r="D1228">
            <v>317361</v>
          </cell>
          <cell r="E1228">
            <v>33553</v>
          </cell>
          <cell r="F1228">
            <v>21489.4</v>
          </cell>
          <cell r="G1228">
            <v>4946</v>
          </cell>
          <cell r="H1228">
            <v>1892</v>
          </cell>
          <cell r="I1228">
            <v>181289</v>
          </cell>
          <cell r="J1228">
            <v>160682</v>
          </cell>
          <cell r="K1228">
            <v>58645.75</v>
          </cell>
          <cell r="L1228">
            <v>14895</v>
          </cell>
          <cell r="M1228">
            <v>425824</v>
          </cell>
          <cell r="N1228">
            <v>6895</v>
          </cell>
          <cell r="O1228">
            <v>5810</v>
          </cell>
          <cell r="P1228">
            <v>0</v>
          </cell>
          <cell r="Q1228">
            <v>0</v>
          </cell>
          <cell r="R1228">
            <v>154155.08550000002</v>
          </cell>
          <cell r="S1228">
            <v>6.3964864489858293</v>
          </cell>
          <cell r="T1228">
            <v>0.49757200000000001</v>
          </cell>
          <cell r="U1228">
            <v>3.6234202754093902E-3</v>
          </cell>
          <cell r="V1228">
            <v>2.5000000000000001E-2</v>
          </cell>
          <cell r="W1228">
            <v>0.26853399999999999</v>
          </cell>
          <cell r="X1228">
            <v>8.9499999999999993</v>
          </cell>
          <cell r="Y1228">
            <v>10.026999999999999</v>
          </cell>
          <cell r="Z1228">
            <v>0</v>
          </cell>
          <cell r="AA1228">
            <v>0</v>
          </cell>
          <cell r="AB1228">
            <v>0</v>
          </cell>
          <cell r="AC1228">
            <v>0.19000586158172092</v>
          </cell>
          <cell r="AD1228">
            <v>7.6228879191951232E-2</v>
          </cell>
          <cell r="AE1228">
            <v>0</v>
          </cell>
          <cell r="AF1228">
            <v>14.122787394484449</v>
          </cell>
          <cell r="AG1228">
            <v>7.451761722145962</v>
          </cell>
          <cell r="AH1228">
            <v>202608</v>
          </cell>
          <cell r="AJ1228" t="str">
            <v>PCB: Production deferred due to water increase coming from the wells &gt;28%. 
IEC: Production deferred due to water cut increase.</v>
          </cell>
        </row>
        <row r="1229">
          <cell r="C1229">
            <v>46237</v>
          </cell>
          <cell r="D1229">
            <v>314312</v>
          </cell>
          <cell r="E1229">
            <v>33918</v>
          </cell>
          <cell r="F1229">
            <v>21564.33</v>
          </cell>
          <cell r="G1229">
            <v>4950</v>
          </cell>
          <cell r="H1229">
            <v>1914</v>
          </cell>
          <cell r="I1229">
            <v>178104</v>
          </cell>
          <cell r="J1229">
            <v>153435</v>
          </cell>
          <cell r="K1229">
            <v>57693.21</v>
          </cell>
          <cell r="L1229">
            <v>5857</v>
          </cell>
          <cell r="M1229">
            <v>420481</v>
          </cell>
          <cell r="N1229">
            <v>6739</v>
          </cell>
          <cell r="O1229">
            <v>5830</v>
          </cell>
          <cell r="P1229">
            <v>0</v>
          </cell>
          <cell r="Q1229">
            <v>0</v>
          </cell>
          <cell r="R1229">
            <v>149078.25075000004</v>
          </cell>
          <cell r="S1229">
            <v>6.3551438919203633</v>
          </cell>
          <cell r="T1229">
            <v>0.49590299999999998</v>
          </cell>
          <cell r="U1229">
            <v>3.6995925209615259E-3</v>
          </cell>
          <cell r="V1229">
            <v>2.8000000000000001E-2</v>
          </cell>
          <cell r="W1229">
            <v>0.25913999999999998</v>
          </cell>
          <cell r="X1229">
            <v>7.9210000000000003</v>
          </cell>
          <cell r="Y1229">
            <v>9.8930000000000007</v>
          </cell>
          <cell r="Z1229">
            <v>0</v>
          </cell>
          <cell r="AA1229">
            <v>0</v>
          </cell>
          <cell r="AB1229">
            <v>0</v>
          </cell>
          <cell r="AC1229">
            <v>0.18859002058632807</v>
          </cell>
          <cell r="AD1229">
            <v>8.5431845662004763E-2</v>
          </cell>
          <cell r="AE1229">
            <v>0</v>
          </cell>
          <cell r="AF1229">
            <v>14.148215898761704</v>
          </cell>
          <cell r="AG1229">
            <v>7.2094161121574585</v>
          </cell>
          <cell r="AH1229">
            <v>202608</v>
          </cell>
          <cell r="AJ1229" t="str">
            <v>PCB: Production deferred due to water increase coming from the wells &gt;30%. 
Sakhalin-1: Production deferment is observed due to Well capacity at the Chayvo field because of weather-related gas compression restrictions.
SPOC: 6 Wells tripped on 03.08.2026  due to CPP Power dip.</v>
          </cell>
        </row>
        <row r="1230">
          <cell r="C1230">
            <v>46238</v>
          </cell>
          <cell r="D1230">
            <v>319775</v>
          </cell>
          <cell r="E1230">
            <v>34604</v>
          </cell>
          <cell r="F1230">
            <v>21225.919999999998</v>
          </cell>
          <cell r="G1230">
            <v>4964</v>
          </cell>
          <cell r="H1230">
            <v>1896</v>
          </cell>
          <cell r="I1230">
            <v>178581</v>
          </cell>
          <cell r="J1230">
            <v>157289</v>
          </cell>
          <cell r="K1230">
            <v>56126.27</v>
          </cell>
          <cell r="L1230">
            <v>14279</v>
          </cell>
          <cell r="M1230">
            <v>432816</v>
          </cell>
          <cell r="N1230">
            <v>6905</v>
          </cell>
          <cell r="O1230">
            <v>5811</v>
          </cell>
          <cell r="P1230">
            <v>0</v>
          </cell>
          <cell r="Q1230">
            <v>0</v>
          </cell>
          <cell r="R1230">
            <v>152416.94899999999</v>
          </cell>
          <cell r="S1230">
            <v>6.1181321092915963</v>
          </cell>
          <cell r="T1230">
            <v>0.49877500000000002</v>
          </cell>
          <cell r="U1230">
            <v>3.5540440666351407E-3</v>
          </cell>
          <cell r="V1230">
            <v>4.0000000000000001E-3</v>
          </cell>
          <cell r="W1230">
            <v>0.25402999999999998</v>
          </cell>
          <cell r="X1230">
            <v>6.9067272269055096</v>
          </cell>
          <cell r="Y1230">
            <v>9.9949999999999992</v>
          </cell>
          <cell r="Z1230">
            <v>0</v>
          </cell>
          <cell r="AA1230">
            <v>0</v>
          </cell>
          <cell r="AB1230">
            <v>0</v>
          </cell>
          <cell r="AC1230">
            <v>0.18660784319277807</v>
          </cell>
          <cell r="AD1230">
            <v>8.1948876813338359E-2</v>
          </cell>
          <cell r="AE1230">
            <v>0</v>
          </cell>
          <cell r="AF1230">
            <v>14.15172718443028</v>
          </cell>
          <cell r="AG1230">
            <v>7.0088000944075706</v>
          </cell>
          <cell r="AH1230">
            <v>202608</v>
          </cell>
          <cell r="AJ1230" t="str">
            <v>PCB: Production deferred due to water increase coming from the wells &gt;30%. 
IEC: Production deferred due to water cut increase.</v>
          </cell>
        </row>
        <row r="1231">
          <cell r="C1231">
            <v>46239</v>
          </cell>
          <cell r="D1231">
            <v>324380</v>
          </cell>
          <cell r="E1231">
            <v>34623</v>
          </cell>
          <cell r="F1231">
            <v>21567.59</v>
          </cell>
          <cell r="G1231">
            <v>4873</v>
          </cell>
          <cell r="H1231">
            <v>1869</v>
          </cell>
          <cell r="I1231">
            <v>180229</v>
          </cell>
          <cell r="J1231">
            <v>156791</v>
          </cell>
          <cell r="K1231">
            <v>55898.48</v>
          </cell>
          <cell r="L1231">
            <v>14622</v>
          </cell>
          <cell r="M1231">
            <v>446076</v>
          </cell>
          <cell r="N1231">
            <v>6921</v>
          </cell>
          <cell r="O1231">
            <v>5832</v>
          </cell>
          <cell r="P1231">
            <v>0</v>
          </cell>
          <cell r="Q1231">
            <v>0</v>
          </cell>
          <cell r="R1231">
            <v>153489.92549999998</v>
          </cell>
          <cell r="S1231">
            <v>6.1458825928012963</v>
          </cell>
          <cell r="T1231">
            <v>0.49809599999999998</v>
          </cell>
          <cell r="U1231">
            <v>3.4577668789484263E-3</v>
          </cell>
          <cell r="V1231">
            <v>7.0000000000000001E-3</v>
          </cell>
          <cell r="W1231">
            <v>0.24841099999999999</v>
          </cell>
          <cell r="X1231">
            <v>6.2426694832463534</v>
          </cell>
          <cell r="Y1231">
            <v>10.012</v>
          </cell>
          <cell r="Z1231">
            <v>0</v>
          </cell>
          <cell r="AA1231">
            <v>0</v>
          </cell>
          <cell r="AB1231">
            <v>0</v>
          </cell>
          <cell r="AC1231">
            <v>0.19312071177158521</v>
          </cell>
          <cell r="AD1231">
            <v>8.4978776543479059E-2</v>
          </cell>
          <cell r="AE1231">
            <v>0</v>
          </cell>
          <cell r="AF1231">
            <v>14.07045791129473</v>
          </cell>
          <cell r="AG1231">
            <v>6.8650305163210792</v>
          </cell>
          <cell r="AH1231">
            <v>202608</v>
          </cell>
          <cell r="AJ1231" t="str">
            <v>PCB: Production deferred due to water increase coming from the wells &gt;30%. 
IEC: Production deferred due to water cut increase.</v>
          </cell>
        </row>
        <row r="1232">
          <cell r="C1232">
            <v>46240</v>
          </cell>
          <cell r="D1232">
            <v>328393</v>
          </cell>
          <cell r="E1232">
            <v>34868</v>
          </cell>
          <cell r="F1232">
            <v>21524.45</v>
          </cell>
          <cell r="G1232">
            <v>4745</v>
          </cell>
          <cell r="H1232">
            <v>1887</v>
          </cell>
          <cell r="I1232">
            <v>183323</v>
          </cell>
          <cell r="J1232">
            <v>157646</v>
          </cell>
          <cell r="K1232">
            <v>52737.8</v>
          </cell>
          <cell r="L1232">
            <v>13773</v>
          </cell>
          <cell r="M1232">
            <v>454594</v>
          </cell>
          <cell r="N1232">
            <v>6983</v>
          </cell>
          <cell r="O1232">
            <v>5861</v>
          </cell>
          <cell r="P1232">
            <v>0</v>
          </cell>
          <cell r="Q1232">
            <v>0</v>
          </cell>
          <cell r="R1232">
            <v>153802.50649999999</v>
          </cell>
          <cell r="S1232">
            <v>6.0937796441708416</v>
          </cell>
          <cell r="T1232">
            <v>0.49715500000000001</v>
          </cell>
          <cell r="U1232">
            <v>3.5149668551622973E-3</v>
          </cell>
          <cell r="V1232">
            <v>2.8000000000000001E-2</v>
          </cell>
          <cell r="W1232">
            <v>0.25337999999999999</v>
          </cell>
          <cell r="X1232">
            <v>5.8828759694971211</v>
          </cell>
          <cell r="Y1232">
            <v>10.166</v>
          </cell>
          <cell r="Z1232">
            <v>0</v>
          </cell>
          <cell r="AA1232">
            <v>0</v>
          </cell>
          <cell r="AB1232">
            <v>0</v>
          </cell>
          <cell r="AC1232">
            <v>0.20019991674854948</v>
          </cell>
          <cell r="AD1232">
            <v>8.1184322675826204E-2</v>
          </cell>
          <cell r="AE1232">
            <v>0</v>
          </cell>
          <cell r="AF1232">
            <v>14.140457090106951</v>
          </cell>
          <cell r="AG1232">
            <v>6.8579635237222742</v>
          </cell>
          <cell r="AH1232">
            <v>202608</v>
          </cell>
          <cell r="AJ1232" t="str">
            <v>IEC: Production deferred due to water cut increase.</v>
          </cell>
        </row>
        <row r="1233">
          <cell r="C1233">
            <v>46241</v>
          </cell>
          <cell r="D1233">
            <v>288770</v>
          </cell>
          <cell r="E1233">
            <v>34465</v>
          </cell>
          <cell r="F1233">
            <v>21498.32</v>
          </cell>
          <cell r="G1233">
            <v>4788</v>
          </cell>
          <cell r="H1233">
            <v>1903</v>
          </cell>
          <cell r="I1233">
            <v>183109</v>
          </cell>
          <cell r="J1233">
            <v>156463</v>
          </cell>
          <cell r="K1233">
            <v>53731.83</v>
          </cell>
          <cell r="L1233">
            <v>12588</v>
          </cell>
          <cell r="M1233">
            <v>434465</v>
          </cell>
          <cell r="N1233">
            <v>7154</v>
          </cell>
          <cell r="O1233">
            <v>5865</v>
          </cell>
          <cell r="P1233">
            <v>0</v>
          </cell>
          <cell r="Q1233">
            <v>0</v>
          </cell>
          <cell r="R1233">
            <v>151381.429</v>
          </cell>
          <cell r="S1233">
            <v>7.5999512950697543</v>
          </cell>
          <cell r="T1233">
            <v>0.49890200000000001</v>
          </cell>
          <cell r="U1233">
            <v>3.4495550011751476E-3</v>
          </cell>
          <cell r="V1233">
            <v>2.5999999999999999E-2</v>
          </cell>
          <cell r="W1233">
            <v>0.24875899999999998</v>
          </cell>
          <cell r="X1233">
            <v>5.8077514462815767</v>
          </cell>
          <cell r="Y1233">
            <v>10.207000000000001</v>
          </cell>
          <cell r="Z1233">
            <v>0</v>
          </cell>
          <cell r="AA1233">
            <v>0</v>
          </cell>
          <cell r="AB1233">
            <v>0</v>
          </cell>
          <cell r="AC1233">
            <v>0.19708506655868518</v>
          </cell>
          <cell r="AD1233">
            <v>8.3506301908270478E-2</v>
          </cell>
          <cell r="AE1233">
            <v>0</v>
          </cell>
          <cell r="AF1233">
            <v>14.117463832341771</v>
          </cell>
          <cell r="AG1233">
            <v>6.8891821342199719</v>
          </cell>
          <cell r="AH1233">
            <v>202608</v>
          </cell>
          <cell r="AJ1233" t="str">
            <v>IEC: Production deferred due to water cut increase.
SPOC: TJ-24 BOL AT 9.50HRS after replacement DH BELT.</v>
          </cell>
        </row>
        <row r="1234">
          <cell r="C1234">
            <v>46242</v>
          </cell>
          <cell r="D1234">
            <v>306298</v>
          </cell>
          <cell r="E1234">
            <v>35164</v>
          </cell>
          <cell r="F1234">
            <v>21462.06</v>
          </cell>
          <cell r="G1234">
            <v>4905</v>
          </cell>
          <cell r="H1234">
            <v>1885</v>
          </cell>
          <cell r="I1234">
            <v>184655</v>
          </cell>
          <cell r="J1234">
            <v>156828</v>
          </cell>
          <cell r="K1234">
            <v>55598.58</v>
          </cell>
          <cell r="L1234">
            <v>12043</v>
          </cell>
          <cell r="M1234">
            <v>413782</v>
          </cell>
          <cell r="N1234">
            <v>6864</v>
          </cell>
          <cell r="O1234">
            <v>5835</v>
          </cell>
          <cell r="P1234">
            <v>0</v>
          </cell>
          <cell r="Q1234">
            <v>0</v>
          </cell>
          <cell r="R1234">
            <v>151966.05725000001</v>
          </cell>
          <cell r="S1234">
            <v>7.4665790733037527</v>
          </cell>
          <cell r="T1234">
            <v>0.50414899999999996</v>
          </cell>
          <cell r="U1234">
            <v>3.4308659000359619E-3</v>
          </cell>
          <cell r="V1234">
            <v>2.7E-2</v>
          </cell>
          <cell r="W1234">
            <v>0.24767</v>
          </cell>
          <cell r="X1234">
            <v>5.7503249355084423</v>
          </cell>
          <cell r="Y1234">
            <v>10.106</v>
          </cell>
          <cell r="Z1234">
            <v>0</v>
          </cell>
          <cell r="AA1234">
            <v>0</v>
          </cell>
          <cell r="AB1234">
            <v>0</v>
          </cell>
          <cell r="AC1234">
            <v>0.1987840757531566</v>
          </cell>
          <cell r="AD1234">
            <v>8.3109866429560489E-2</v>
          </cell>
          <cell r="AE1234">
            <v>0</v>
          </cell>
          <cell r="AF1234">
            <v>14.099765819899361</v>
          </cell>
          <cell r="AG1234">
            <v>6.8453830392833854</v>
          </cell>
          <cell r="AH1234">
            <v>202608</v>
          </cell>
          <cell r="AJ1234" t="str">
            <v>IEC: Production deferred due to water cut increase.
SPOC: TJ-24 BOL AT 9.50HRS after replacement DH BELT.</v>
          </cell>
        </row>
        <row r="1235">
          <cell r="C1235">
            <v>46243</v>
          </cell>
          <cell r="D1235">
            <v>305471</v>
          </cell>
          <cell r="E1235">
            <v>35396</v>
          </cell>
          <cell r="F1235">
            <v>21455.41</v>
          </cell>
          <cell r="G1235">
            <v>4878</v>
          </cell>
          <cell r="H1235">
            <v>1874</v>
          </cell>
          <cell r="I1235">
            <v>186270</v>
          </cell>
          <cell r="J1235">
            <v>159290</v>
          </cell>
          <cell r="K1235">
            <v>56976.84</v>
          </cell>
          <cell r="L1235">
            <v>13206</v>
          </cell>
          <cell r="M1235">
            <v>434597</v>
          </cell>
          <cell r="N1235">
            <v>6994</v>
          </cell>
          <cell r="O1235">
            <v>5852</v>
          </cell>
          <cell r="P1235">
            <v>0</v>
          </cell>
          <cell r="Q1235">
            <v>0</v>
          </cell>
          <cell r="R1235">
            <v>154417.31125</v>
          </cell>
          <cell r="S1235">
            <v>8.2945628874094943</v>
          </cell>
          <cell r="T1235">
            <v>0.50728799999999996</v>
          </cell>
          <cell r="U1235">
            <v>3.5500797118480404E-3</v>
          </cell>
          <cell r="V1235">
            <v>2.7E-2</v>
          </cell>
          <cell r="W1235">
            <v>0.24564900000000001</v>
          </cell>
          <cell r="X1235">
            <v>5.6934647611334652</v>
          </cell>
          <cell r="Y1235">
            <v>10.146000000000001</v>
          </cell>
          <cell r="Z1235">
            <v>0</v>
          </cell>
          <cell r="AA1235">
            <v>0</v>
          </cell>
          <cell r="AB1235">
            <v>0</v>
          </cell>
          <cell r="AC1235">
            <v>0.19142170257711377</v>
          </cell>
          <cell r="AD1235">
            <v>8.687600347730548E-2</v>
          </cell>
          <cell r="AE1235">
            <v>0</v>
          </cell>
          <cell r="AF1235">
            <v>14.083625232551881</v>
          </cell>
          <cell r="AG1235">
            <v>6.8654087548916456</v>
          </cell>
          <cell r="AH1235">
            <v>202608</v>
          </cell>
          <cell r="AJ1235" t="str">
            <v>IEC: Production deferred due to water cut increase.</v>
          </cell>
        </row>
        <row r="1236">
          <cell r="C1236">
            <v>46244</v>
          </cell>
          <cell r="D1236">
            <v>337358</v>
          </cell>
          <cell r="E1236">
            <v>35220</v>
          </cell>
          <cell r="F1236">
            <v>21469.439999999999</v>
          </cell>
          <cell r="G1236">
            <v>4862</v>
          </cell>
          <cell r="H1236">
            <v>1806</v>
          </cell>
          <cell r="I1236">
            <v>186270</v>
          </cell>
          <cell r="J1236">
            <v>158145</v>
          </cell>
          <cell r="K1236">
            <v>55998.79</v>
          </cell>
          <cell r="L1236">
            <v>14553</v>
          </cell>
          <cell r="M1236">
            <v>432379</v>
          </cell>
          <cell r="N1236">
            <v>6992</v>
          </cell>
          <cell r="O1236">
            <v>5818</v>
          </cell>
          <cell r="P1236">
            <v>0</v>
          </cell>
          <cell r="Q1236">
            <v>0</v>
          </cell>
          <cell r="R1236">
            <v>154916.51824999999</v>
          </cell>
          <cell r="S1236">
            <v>7.7078383789186882</v>
          </cell>
          <cell r="T1236">
            <v>0.50794600000000001</v>
          </cell>
          <cell r="U1236">
            <v>3.5500797118480404E-3</v>
          </cell>
          <cell r="V1236">
            <v>2.5999999999999999E-2</v>
          </cell>
          <cell r="W1236">
            <v>0.24172900000000003</v>
          </cell>
          <cell r="X1236">
            <v>5.6934647611334652</v>
          </cell>
          <cell r="Y1236">
            <v>10.086</v>
          </cell>
          <cell r="Z1236">
            <v>0</v>
          </cell>
          <cell r="AA1236">
            <v>0</v>
          </cell>
          <cell r="AB1236">
            <v>0</v>
          </cell>
          <cell r="AC1236">
            <v>0.19170487077619233</v>
          </cell>
          <cell r="AD1236">
            <v>9.2312832899614033E-2</v>
          </cell>
          <cell r="AE1236">
            <v>0</v>
          </cell>
          <cell r="AF1236">
            <v>14.087731171438522</v>
          </cell>
          <cell r="AG1236">
            <v>6.831308612899841</v>
          </cell>
          <cell r="AH1236">
            <v>202608</v>
          </cell>
          <cell r="AI1236" t="str">
            <v>Prev. day data for Sakhalin.</v>
          </cell>
          <cell r="AJ1236" t="str">
            <v>IEC: Production deferred due to water cut increase.</v>
          </cell>
        </row>
        <row r="1237">
          <cell r="C1237">
            <v>46245</v>
          </cell>
          <cell r="D1237">
            <v>337358</v>
          </cell>
          <cell r="E1237">
            <v>35220</v>
          </cell>
          <cell r="F1237">
            <v>21256.61</v>
          </cell>
          <cell r="G1237">
            <v>4862</v>
          </cell>
          <cell r="H1237">
            <v>1928</v>
          </cell>
          <cell r="I1237">
            <v>186270</v>
          </cell>
          <cell r="J1237">
            <v>157802</v>
          </cell>
          <cell r="K1237">
            <v>55998.79</v>
          </cell>
          <cell r="L1237">
            <v>13017</v>
          </cell>
          <cell r="M1237">
            <v>415207</v>
          </cell>
          <cell r="N1237">
            <v>6991</v>
          </cell>
          <cell r="O1237">
            <v>5818</v>
          </cell>
          <cell r="P1237">
            <v>0</v>
          </cell>
          <cell r="Q1237">
            <v>0</v>
          </cell>
          <cell r="R1237">
            <v>153742.80725000001</v>
          </cell>
          <cell r="S1237">
            <v>7.7078383789186882</v>
          </cell>
          <cell r="T1237">
            <v>0.50794600000000001</v>
          </cell>
          <cell r="U1237">
            <v>3.5500797118480404E-3</v>
          </cell>
          <cell r="V1237">
            <v>2.5999999999999999E-2</v>
          </cell>
          <cell r="W1237">
            <v>0.25496000000000002</v>
          </cell>
          <cell r="X1237">
            <v>5.6934647611334652</v>
          </cell>
          <cell r="Y1237">
            <v>10.048</v>
          </cell>
          <cell r="AA1237">
            <v>0</v>
          </cell>
          <cell r="AB1237">
            <v>0</v>
          </cell>
          <cell r="AC1237">
            <v>0.19538605736421377</v>
          </cell>
          <cell r="AD1237">
            <v>9.2312832899614033E-2</v>
          </cell>
          <cell r="AE1237">
            <v>0</v>
          </cell>
          <cell r="AF1237">
            <v>14.103786808326278</v>
          </cell>
          <cell r="AG1237">
            <v>6.8377940016954417</v>
          </cell>
          <cell r="AH1237">
            <v>202608</v>
          </cell>
          <cell r="AI1237" t="str">
            <v>Prev. day data for ACG, BC-10,MECL, Sakhalin, GPOC,SCB.</v>
          </cell>
          <cell r="AJ1237" t="str">
            <v>IEC: Production deferred due to water cut increase.</v>
          </cell>
        </row>
        <row r="1243">
          <cell r="G1243" t="str">
            <v xml:space="preserve"> </v>
          </cell>
        </row>
        <row r="1254">
          <cell r="Q1254">
            <v>0</v>
          </cell>
          <cell r="AJ1254" t="str">
            <v xml:space="preserve">_x000D_
</v>
          </cell>
        </row>
        <row r="1603">
          <cell r="Q1603">
            <v>0</v>
          </cell>
          <cell r="AJ1603" t="str">
            <v xml:space="preserve">_x000D_
</v>
          </cell>
        </row>
      </sheetData>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ow r="76">
          <cell r="K76" t="str">
            <v>)</v>
          </cell>
        </row>
        <row r="77">
          <cell r="C77" t="str">
            <v>--</v>
          </cell>
          <cell r="D77" t="str">
            <v xml:space="preserve"> </v>
          </cell>
          <cell r="E77" t="str">
            <v xml:space="preserve"> </v>
          </cell>
        </row>
        <row r="78">
          <cell r="C78" t="str">
            <v>BE Monthly target</v>
          </cell>
          <cell r="D78" t="str">
            <v>BOPD (BE target for Aug'26)</v>
          </cell>
          <cell r="E78" t="str">
            <v>MMSCMD (BE target for Aug'26)</v>
          </cell>
        </row>
        <row r="79">
          <cell r="C79" t="str">
            <v>BE Quarterly target</v>
          </cell>
          <cell r="D79" t="str">
            <v>BOPD (BE target for Q2 26-27)</v>
          </cell>
          <cell r="E79" t="str">
            <v>MMSCMD (BE target for Q2 26-27)</v>
          </cell>
        </row>
        <row r="80">
          <cell r="C80" t="str">
            <v>BE Annual target</v>
          </cell>
          <cell r="D80" t="str">
            <v>BOPD (BE target for 2026-27)</v>
          </cell>
          <cell r="E80" t="str">
            <v>MMSCMD(BE target for 2026-27)</v>
          </cell>
        </row>
        <row r="81">
          <cell r="C81" t="str">
            <v>MTD actual</v>
          </cell>
          <cell r="D81" t="str">
            <v>BOPD(Act. MTD for Aug'26)</v>
          </cell>
          <cell r="E81" t="str">
            <v>MMSCMD(Act. MTD for Aug'26)</v>
          </cell>
        </row>
        <row r="82">
          <cell r="C82" t="str">
            <v>QTD actual</v>
          </cell>
          <cell r="D82" t="str">
            <v>BOPD(Act. QTD for Q2 26-27)</v>
          </cell>
          <cell r="E82" t="str">
            <v>MMSCMD(Act. QTD for Q2 26-27)</v>
          </cell>
        </row>
        <row r="83">
          <cell r="C83" t="str">
            <v>YTD actual</v>
          </cell>
          <cell r="D83" t="str">
            <v>BOPD(Act. YTD for 2026-27)</v>
          </cell>
          <cell r="E83" t="str">
            <v>MMSCMD(Act. YTD for 2026-27)</v>
          </cell>
        </row>
        <row r="84">
          <cell r="C84" t="str">
            <v>Previous month avg</v>
          </cell>
          <cell r="D84" t="str">
            <v>BOPD(Act. avg prod'n for July'26)</v>
          </cell>
          <cell r="E84" t="str">
            <v>MMSCMD(Act. avg prod'n for July'26)</v>
          </cell>
        </row>
        <row r="85">
          <cell r="C85" t="str">
            <v>Previous quarter avg</v>
          </cell>
          <cell r="D85" t="str">
            <v>BOPD(Act. avg prod'n for Q1 26-27)</v>
          </cell>
          <cell r="E85" t="str">
            <v>MMSCMD(Act. avg prod'n for Q1 26-27)</v>
          </cell>
        </row>
        <row r="86">
          <cell r="C86" t="str">
            <v>Previous year avg</v>
          </cell>
          <cell r="D86" t="str">
            <v>BOPD(Act. avg prod'n for 2025-26)</v>
          </cell>
          <cell r="E86" t="str">
            <v>MMSCMD(Act. avg prod'n for 2025-26)</v>
          </cell>
        </row>
        <row r="87">
          <cell r="C87" t="str">
            <v>Same month previous year</v>
          </cell>
          <cell r="D87" t="str">
            <v>BOPD(Act. avg prod'n for Aug'25)</v>
          </cell>
          <cell r="E87" t="str">
            <v>MMSCMD(Act. avg prod'n for Aug'25)</v>
          </cell>
        </row>
        <row r="88">
          <cell r="C88" t="str">
            <v>Same quarter previous year</v>
          </cell>
          <cell r="D88" t="str">
            <v>BOPD(Act. avg prod'n for Q2 25-26)</v>
          </cell>
          <cell r="E88" t="str">
            <v>MMSCMD(Act. avg prod'n for Q2 25-26)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3" Type="http://schemas.openxmlformats.org/officeDocument/2006/relationships/ctrlProp" Target="../ctrlProps/ctrlProp1.xml"/><Relationship Id="rId7" Type="http://schemas.openxmlformats.org/officeDocument/2006/relationships/ctrlProp" Target="../ctrlProps/ctrlProp5.xml"/><Relationship Id="rId12" Type="http://schemas.openxmlformats.org/officeDocument/2006/relationships/ctrlProp" Target="../ctrlProps/ctrlProp10.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11" Type="http://schemas.openxmlformats.org/officeDocument/2006/relationships/ctrlProp" Target="../ctrlProps/ctrlProp9.xml"/><Relationship Id="rId5" Type="http://schemas.openxmlformats.org/officeDocument/2006/relationships/ctrlProp" Target="../ctrlProps/ctrlProp3.xml"/><Relationship Id="rId15" Type="http://schemas.openxmlformats.org/officeDocument/2006/relationships/ctrlProp" Target="../ctrlProps/ctrlProp13.xml"/><Relationship Id="rId10" Type="http://schemas.openxmlformats.org/officeDocument/2006/relationships/ctrlProp" Target="../ctrlProps/ctrlProp8.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FAFE7-8CD2-42B9-BB20-6A5E91341056}">
  <dimension ref="G3:P49"/>
  <sheetViews>
    <sheetView tabSelected="1" workbookViewId="0">
      <selection activeCell="D4" sqref="D4"/>
    </sheetView>
  </sheetViews>
  <sheetFormatPr defaultRowHeight="15" x14ac:dyDescent="0.25"/>
  <cols>
    <col min="8" max="8" width="9.7109375" bestFit="1" customWidth="1"/>
    <col min="10" max="10" width="18.28515625" customWidth="1"/>
    <col min="11" max="11" width="25.7109375" bestFit="1" customWidth="1"/>
    <col min="16" max="16" width="41.140625" customWidth="1"/>
  </cols>
  <sheetData>
    <row r="3" spans="7:16" ht="15.75" thickBot="1" x14ac:dyDescent="0.3"/>
    <row r="4" spans="7:16" ht="30" x14ac:dyDescent="0.25">
      <c r="G4" s="1" t="s">
        <v>0</v>
      </c>
      <c r="H4" s="2">
        <v>46245</v>
      </c>
      <c r="I4" s="3" t="str">
        <f>[1]Dropdowns!K76</f>
        <v>)</v>
      </c>
      <c r="J4" s="4" t="s">
        <v>1</v>
      </c>
      <c r="K4" s="5" t="s">
        <v>2</v>
      </c>
      <c r="L4" s="6"/>
      <c r="M4" s="7" t="s">
        <v>3</v>
      </c>
      <c r="N4" s="6"/>
      <c r="O4" s="8">
        <f>[1]interFY_transition!H25</f>
        <v>0</v>
      </c>
      <c r="P4" s="9"/>
    </row>
    <row r="5" spans="7:16" x14ac:dyDescent="0.25">
      <c r="G5" s="10"/>
      <c r="P5" s="11"/>
    </row>
    <row r="6" spans="7:16" x14ac:dyDescent="0.25">
      <c r="G6" s="12" t="s">
        <v>4</v>
      </c>
      <c r="H6" s="13"/>
      <c r="I6" s="13"/>
      <c r="J6" s="14" t="s">
        <v>5</v>
      </c>
      <c r="K6" s="14"/>
      <c r="L6" s="13" t="s">
        <v>4</v>
      </c>
      <c r="M6" s="13"/>
      <c r="N6" s="13"/>
      <c r="O6" s="14" t="s">
        <v>6</v>
      </c>
      <c r="P6" s="15"/>
    </row>
    <row r="7" spans="7:16" x14ac:dyDescent="0.25">
      <c r="G7" s="16" t="s">
        <v>7</v>
      </c>
      <c r="H7" s="17"/>
      <c r="I7" s="17"/>
      <c r="J7" s="17"/>
      <c r="K7" s="18"/>
      <c r="L7" s="19" t="s">
        <v>8</v>
      </c>
      <c r="M7" s="20"/>
      <c r="N7" s="20"/>
      <c r="O7" s="20"/>
      <c r="P7" s="21"/>
    </row>
    <row r="8" spans="7:16" x14ac:dyDescent="0.25">
      <c r="G8" s="22" t="s">
        <v>9</v>
      </c>
      <c r="H8" s="23">
        <v>186270</v>
      </c>
      <c r="I8" s="24" t="s">
        <v>10</v>
      </c>
      <c r="J8" s="25">
        <v>186270</v>
      </c>
      <c r="K8" s="26" t="s">
        <v>10</v>
      </c>
      <c r="L8" s="27" t="s">
        <v>11</v>
      </c>
      <c r="M8" s="23" t="e">
        <f>VLOOKUP($D$3,[1]DPR!$C$9:$AJ$5090,16,FALSE)</f>
        <v>#N/A</v>
      </c>
      <c r="N8" s="24" t="s">
        <v>10</v>
      </c>
      <c r="O8" s="25">
        <v>151597</v>
      </c>
      <c r="P8" s="28" t="e">
        <f>VLOOKUP($G$3,[1]Dropdowns!$C$77:$E$88,Q8,FALSE)</f>
        <v>#N/A</v>
      </c>
    </row>
    <row r="9" spans="7:16" x14ac:dyDescent="0.25">
      <c r="G9" s="22"/>
      <c r="H9" s="29">
        <v>5.6934647611334652</v>
      </c>
      <c r="I9" s="24" t="s">
        <v>12</v>
      </c>
      <c r="J9" s="30">
        <v>5.6934647611334652</v>
      </c>
      <c r="K9" s="26" t="s">
        <v>12</v>
      </c>
      <c r="L9" s="31" t="s">
        <v>13</v>
      </c>
      <c r="M9" s="32" t="e">
        <f>VLOOKUP($D$3,[1]DPR!$C$9:$AJ$5090,31,FALSE)</f>
        <v>#N/A</v>
      </c>
      <c r="N9" s="33" t="s">
        <v>12</v>
      </c>
      <c r="O9" s="34">
        <v>7.7</v>
      </c>
      <c r="P9" s="35" t="e">
        <f>VLOOKUP($G$3,[1]Dropdowns!$C$77:$E$88,Q9,FALSE)</f>
        <v>#N/A</v>
      </c>
    </row>
    <row r="10" spans="7:16" x14ac:dyDescent="0.25">
      <c r="G10" s="22" t="s">
        <v>14</v>
      </c>
      <c r="H10" s="23">
        <v>1928</v>
      </c>
      <c r="I10" s="24" t="s">
        <v>10</v>
      </c>
      <c r="J10" s="25">
        <v>1928</v>
      </c>
      <c r="K10" s="26" t="s">
        <v>10</v>
      </c>
      <c r="L10" s="36" t="s">
        <v>15</v>
      </c>
      <c r="M10" s="37"/>
      <c r="N10" s="37"/>
      <c r="O10" s="38"/>
      <c r="P10" s="39"/>
    </row>
    <row r="11" spans="7:16" x14ac:dyDescent="0.25">
      <c r="G11" s="22"/>
      <c r="H11" s="29">
        <v>0.25496000000000002</v>
      </c>
      <c r="I11" s="24" t="s">
        <v>12</v>
      </c>
      <c r="J11" s="30">
        <v>0.25496000000000002</v>
      </c>
      <c r="K11" s="26" t="s">
        <v>12</v>
      </c>
      <c r="L11" s="40" t="s">
        <v>40</v>
      </c>
      <c r="M11" s="41"/>
      <c r="N11" s="41"/>
      <c r="O11" s="41"/>
      <c r="P11" s="42"/>
    </row>
    <row r="12" spans="7:16" x14ac:dyDescent="0.25">
      <c r="G12" s="43" t="s">
        <v>16</v>
      </c>
      <c r="H12" s="23">
        <v>157802</v>
      </c>
      <c r="I12" s="24" t="s">
        <v>10</v>
      </c>
      <c r="J12" s="25">
        <v>157802</v>
      </c>
      <c r="K12" s="26" t="s">
        <v>10</v>
      </c>
      <c r="L12" s="40" t="s">
        <v>41</v>
      </c>
      <c r="M12" s="41"/>
      <c r="N12" s="41"/>
      <c r="O12" s="41"/>
      <c r="P12" s="42"/>
    </row>
    <row r="13" spans="7:16" x14ac:dyDescent="0.25">
      <c r="G13" s="22"/>
      <c r="H13" s="29">
        <v>10.048</v>
      </c>
      <c r="I13" s="24" t="s">
        <v>12</v>
      </c>
      <c r="J13" s="30">
        <v>10.048</v>
      </c>
      <c r="K13" s="26" t="s">
        <v>12</v>
      </c>
      <c r="L13" s="40"/>
      <c r="M13" s="41"/>
      <c r="N13" s="41"/>
      <c r="O13" s="41"/>
      <c r="P13" s="42"/>
    </row>
    <row r="14" spans="7:16" x14ac:dyDescent="0.25">
      <c r="G14" s="16" t="s">
        <v>17</v>
      </c>
      <c r="H14" s="44"/>
      <c r="I14" s="44"/>
      <c r="J14" s="44"/>
      <c r="K14" s="45"/>
      <c r="L14" s="40"/>
      <c r="M14" s="41"/>
      <c r="N14" s="41"/>
      <c r="O14" s="41"/>
      <c r="P14" s="42"/>
    </row>
    <row r="15" spans="7:16" x14ac:dyDescent="0.25">
      <c r="G15" s="46" t="s">
        <v>18</v>
      </c>
      <c r="H15" s="23">
        <v>4862</v>
      </c>
      <c r="I15" s="47" t="s">
        <v>10</v>
      </c>
      <c r="J15" s="25">
        <v>5461.1506849315083</v>
      </c>
      <c r="K15" s="26" t="s">
        <v>38</v>
      </c>
      <c r="L15" s="40"/>
      <c r="M15" s="41"/>
      <c r="N15" s="41"/>
      <c r="O15" s="41"/>
      <c r="P15" s="42"/>
    </row>
    <row r="16" spans="7:16" x14ac:dyDescent="0.25">
      <c r="G16" s="46" t="s">
        <v>19</v>
      </c>
      <c r="H16" s="23">
        <v>21256.61</v>
      </c>
      <c r="I16" s="47" t="s">
        <v>10</v>
      </c>
      <c r="J16" s="25">
        <v>22301.369863013701</v>
      </c>
      <c r="K16" s="26" t="s">
        <v>38</v>
      </c>
      <c r="L16" s="40"/>
      <c r="M16" s="41"/>
      <c r="N16" s="41"/>
      <c r="O16" s="41"/>
      <c r="P16" s="42"/>
    </row>
    <row r="17" spans="7:16" x14ac:dyDescent="0.25">
      <c r="G17" s="46" t="s">
        <v>20</v>
      </c>
      <c r="H17" s="23">
        <v>5818</v>
      </c>
      <c r="I17" s="47" t="s">
        <v>10</v>
      </c>
      <c r="J17" s="25">
        <v>5220</v>
      </c>
      <c r="K17" s="26" t="s">
        <v>38</v>
      </c>
      <c r="L17" s="40"/>
      <c r="M17" s="41"/>
      <c r="N17" s="41"/>
      <c r="O17" s="41"/>
      <c r="P17" s="42"/>
    </row>
    <row r="18" spans="7:16" x14ac:dyDescent="0.25">
      <c r="G18" s="46" t="s">
        <v>21</v>
      </c>
      <c r="H18" s="23">
        <v>6991</v>
      </c>
      <c r="I18" s="47" t="s">
        <v>10</v>
      </c>
      <c r="J18" s="25">
        <v>7770.8592777085942</v>
      </c>
      <c r="K18" s="26" t="s">
        <v>38</v>
      </c>
      <c r="L18" s="40"/>
      <c r="M18" s="41"/>
      <c r="N18" s="41"/>
      <c r="O18" s="41"/>
      <c r="P18" s="42"/>
    </row>
    <row r="19" spans="7:16" x14ac:dyDescent="0.25">
      <c r="G19" s="46" t="s">
        <v>22</v>
      </c>
      <c r="H19" s="23">
        <v>35220</v>
      </c>
      <c r="I19" s="47" t="s">
        <v>10</v>
      </c>
      <c r="J19" s="25">
        <v>23635.210553018769</v>
      </c>
      <c r="K19" s="26" t="s">
        <v>38</v>
      </c>
      <c r="L19" s="48"/>
      <c r="M19" s="49"/>
      <c r="N19" s="49"/>
      <c r="O19" s="49"/>
      <c r="P19" s="50"/>
    </row>
    <row r="20" spans="7:16" ht="15.75" x14ac:dyDescent="0.25">
      <c r="G20" s="16" t="s">
        <v>23</v>
      </c>
      <c r="H20" s="44"/>
      <c r="I20" s="44"/>
      <c r="J20" s="44"/>
      <c r="K20" s="45"/>
      <c r="L20" s="51" t="s">
        <v>24</v>
      </c>
      <c r="M20" s="52"/>
      <c r="N20" s="52"/>
      <c r="O20" s="52"/>
      <c r="P20" s="53"/>
    </row>
    <row r="21" spans="7:16" ht="18.75" x14ac:dyDescent="0.3">
      <c r="G21" s="46" t="s">
        <v>25</v>
      </c>
      <c r="H21" s="29">
        <v>14.103786808326278</v>
      </c>
      <c r="I21" s="47" t="s">
        <v>12</v>
      </c>
      <c r="J21" s="30">
        <v>14.089123883743774</v>
      </c>
      <c r="K21" s="26" t="s">
        <v>39</v>
      </c>
      <c r="L21" s="54"/>
      <c r="M21" s="55" t="s">
        <v>42</v>
      </c>
      <c r="N21" s="56"/>
      <c r="O21" s="57" t="s">
        <v>43</v>
      </c>
      <c r="P21" s="58"/>
    </row>
    <row r="22" spans="7:16" ht="18.75" x14ac:dyDescent="0.3">
      <c r="G22" s="46" t="s">
        <v>26</v>
      </c>
      <c r="H22" s="29">
        <v>0</v>
      </c>
      <c r="I22" s="47" t="s">
        <v>12</v>
      </c>
      <c r="J22" s="30">
        <v>0</v>
      </c>
      <c r="K22" s="26" t="s">
        <v>39</v>
      </c>
      <c r="L22" s="59"/>
      <c r="M22" s="60"/>
      <c r="N22" s="61"/>
      <c r="O22" s="62"/>
      <c r="P22" s="63"/>
    </row>
    <row r="23" spans="7:16" x14ac:dyDescent="0.25">
      <c r="G23" s="16" t="s">
        <v>27</v>
      </c>
      <c r="H23" s="44"/>
      <c r="I23" s="44"/>
      <c r="J23" s="44"/>
      <c r="K23" s="45"/>
      <c r="L23" s="64" t="s">
        <v>11</v>
      </c>
      <c r="M23" s="65">
        <v>153742.80725000001</v>
      </c>
      <c r="N23" s="66" t="s">
        <v>28</v>
      </c>
      <c r="O23" s="67"/>
      <c r="P23" s="68">
        <v>146046.2891805192</v>
      </c>
    </row>
    <row r="24" spans="7:16" x14ac:dyDescent="0.25">
      <c r="G24" s="22" t="s">
        <v>29</v>
      </c>
      <c r="H24" s="23">
        <v>337358</v>
      </c>
      <c r="I24" s="47" t="s">
        <v>10</v>
      </c>
      <c r="J24" s="25">
        <v>327345.27572883735</v>
      </c>
      <c r="K24" s="26" t="s">
        <v>38</v>
      </c>
      <c r="L24" s="69"/>
      <c r="M24" s="70">
        <v>20997.181107538319</v>
      </c>
      <c r="N24" s="66" t="s">
        <v>30</v>
      </c>
      <c r="O24" s="67"/>
      <c r="P24" s="68">
        <v>19865.302807165455</v>
      </c>
    </row>
    <row r="25" spans="7:16" ht="15.75" x14ac:dyDescent="0.25">
      <c r="G25" s="22"/>
      <c r="H25" s="29">
        <v>7.7078383789186882</v>
      </c>
      <c r="I25" s="47" t="s">
        <v>12</v>
      </c>
      <c r="J25" s="30">
        <v>10.851380849504324</v>
      </c>
      <c r="K25" s="26" t="s">
        <v>39</v>
      </c>
      <c r="L25" s="71" t="s">
        <v>13</v>
      </c>
      <c r="M25" s="72">
        <v>6.8377940016954417</v>
      </c>
      <c r="N25" s="66" t="s">
        <v>31</v>
      </c>
      <c r="O25" s="67"/>
      <c r="P25" s="73">
        <v>6.9103715777581645</v>
      </c>
    </row>
    <row r="26" spans="7:16" ht="15.75" x14ac:dyDescent="0.25">
      <c r="G26" s="46" t="s">
        <v>32</v>
      </c>
      <c r="H26" s="23">
        <v>55998.79</v>
      </c>
      <c r="I26" s="47" t="s">
        <v>10</v>
      </c>
      <c r="J26" s="25">
        <v>52400</v>
      </c>
      <c r="K26" s="26" t="s">
        <v>38</v>
      </c>
      <c r="L26" s="74" t="s">
        <v>33</v>
      </c>
      <c r="M26" s="70">
        <v>27837.460165032055</v>
      </c>
      <c r="N26" s="66" t="s">
        <v>34</v>
      </c>
      <c r="O26" s="67"/>
      <c r="P26" s="68">
        <v>26775.674384923619</v>
      </c>
    </row>
    <row r="27" spans="7:16" x14ac:dyDescent="0.25">
      <c r="G27" s="46" t="s">
        <v>35</v>
      </c>
      <c r="H27" s="23">
        <v>13017</v>
      </c>
      <c r="I27" s="47" t="s">
        <v>10</v>
      </c>
      <c r="J27" s="25">
        <v>13127.972176875577</v>
      </c>
      <c r="K27" s="26" t="s">
        <v>38</v>
      </c>
      <c r="L27" s="75"/>
      <c r="M27" s="76"/>
      <c r="N27" s="76"/>
      <c r="O27" s="76"/>
      <c r="P27" s="77"/>
    </row>
    <row r="28" spans="7:16" x14ac:dyDescent="0.25">
      <c r="G28" s="46" t="s">
        <v>36</v>
      </c>
      <c r="H28" s="23">
        <v>415207</v>
      </c>
      <c r="I28" s="47" t="s">
        <v>10</v>
      </c>
      <c r="J28" s="25">
        <v>431104.10958904115</v>
      </c>
      <c r="K28" s="26" t="s">
        <v>38</v>
      </c>
      <c r="L28" s="78"/>
      <c r="M28" s="79"/>
      <c r="N28" s="79"/>
      <c r="O28" s="79"/>
      <c r="P28" s="80"/>
    </row>
    <row r="29" spans="7:16" x14ac:dyDescent="0.25">
      <c r="G29" s="10"/>
      <c r="P29" s="11"/>
    </row>
    <row r="30" spans="7:16" x14ac:dyDescent="0.25">
      <c r="G30" s="10"/>
      <c r="K30" s="81" t="s">
        <v>37</v>
      </c>
      <c r="L30" s="81"/>
      <c r="M30" s="81"/>
      <c r="N30" s="81"/>
      <c r="P30" s="11"/>
    </row>
    <row r="31" spans="7:16" x14ac:dyDescent="0.25">
      <c r="G31" s="10"/>
      <c r="P31" s="11"/>
    </row>
    <row r="32" spans="7:16" x14ac:dyDescent="0.25">
      <c r="G32" s="10"/>
      <c r="P32" s="11"/>
    </row>
    <row r="33" spans="7:16" x14ac:dyDescent="0.25">
      <c r="G33" s="10"/>
      <c r="P33" s="11"/>
    </row>
    <row r="34" spans="7:16" x14ac:dyDescent="0.25">
      <c r="G34" s="10"/>
      <c r="P34" s="11"/>
    </row>
    <row r="35" spans="7:16" x14ac:dyDescent="0.25">
      <c r="G35" s="10"/>
      <c r="P35" s="11"/>
    </row>
    <row r="36" spans="7:16" x14ac:dyDescent="0.25">
      <c r="G36" s="10"/>
      <c r="P36" s="11"/>
    </row>
    <row r="37" spans="7:16" x14ac:dyDescent="0.25">
      <c r="G37" s="10"/>
      <c r="P37" s="11"/>
    </row>
    <row r="38" spans="7:16" x14ac:dyDescent="0.25">
      <c r="G38" s="10"/>
      <c r="P38" s="11"/>
    </row>
    <row r="39" spans="7:16" x14ac:dyDescent="0.25">
      <c r="G39" s="10"/>
      <c r="P39" s="11"/>
    </row>
    <row r="40" spans="7:16" x14ac:dyDescent="0.25">
      <c r="G40" s="10"/>
      <c r="P40" s="11"/>
    </row>
    <row r="41" spans="7:16" x14ac:dyDescent="0.25">
      <c r="G41" s="10"/>
      <c r="P41" s="11"/>
    </row>
    <row r="42" spans="7:16" ht="18.75" x14ac:dyDescent="0.3">
      <c r="G42" s="82" t="e">
        <f>#REF!</f>
        <v>#REF!</v>
      </c>
      <c r="H42" s="83"/>
      <c r="I42" s="83"/>
      <c r="J42" s="83"/>
      <c r="K42" s="83"/>
      <c r="L42" s="83"/>
      <c r="M42" s="83"/>
      <c r="N42" s="83"/>
      <c r="O42" s="83"/>
      <c r="P42" s="84"/>
    </row>
    <row r="43" spans="7:16" ht="18.75" x14ac:dyDescent="0.3">
      <c r="G43" s="85" t="e">
        <f>#REF!</f>
        <v>#REF!</v>
      </c>
      <c r="H43" s="86"/>
      <c r="I43" s="86"/>
      <c r="J43" s="86"/>
      <c r="K43" s="86"/>
      <c r="L43" s="87" t="e">
        <f>#REF!</f>
        <v>#REF!</v>
      </c>
      <c r="M43" s="88" t="e">
        <f>#REF!</f>
        <v>#REF!</v>
      </c>
      <c r="N43" s="88"/>
      <c r="O43" s="89" t="e">
        <f>#REF!</f>
        <v>#REF!</v>
      </c>
      <c r="P43" s="90"/>
    </row>
    <row r="44" spans="7:16" ht="18.75" x14ac:dyDescent="0.3">
      <c r="G44" s="85" t="e">
        <f>#REF!</f>
        <v>#REF!</v>
      </c>
      <c r="H44" s="86"/>
      <c r="I44" s="86"/>
      <c r="J44" s="86"/>
      <c r="K44" s="86"/>
      <c r="L44" s="87" t="e">
        <f>#REF!</f>
        <v>#REF!</v>
      </c>
      <c r="M44" s="88" t="e">
        <f>#REF!</f>
        <v>#REF!</v>
      </c>
      <c r="N44" s="88"/>
      <c r="O44" s="89" t="e">
        <f>#REF!</f>
        <v>#REF!</v>
      </c>
      <c r="P44" s="90"/>
    </row>
    <row r="45" spans="7:16" ht="18.75" x14ac:dyDescent="0.3">
      <c r="G45" s="91" t="e">
        <f>#REF!</f>
        <v>#REF!</v>
      </c>
      <c r="H45" s="92"/>
      <c r="I45" s="92"/>
      <c r="J45" s="92"/>
      <c r="K45" s="92"/>
      <c r="L45" s="93" t="e">
        <f>#REF!</f>
        <v>#REF!</v>
      </c>
      <c r="M45" s="94" t="e">
        <f>#REF!</f>
        <v>#REF!</v>
      </c>
      <c r="N45" s="94"/>
      <c r="O45" s="95" t="e">
        <f>#REF!</f>
        <v>#REF!</v>
      </c>
      <c r="P45" s="96"/>
    </row>
    <row r="46" spans="7:16" ht="18.75" x14ac:dyDescent="0.3">
      <c r="G46" s="91" t="e">
        <f>#REF!</f>
        <v>#REF!</v>
      </c>
      <c r="H46" s="92"/>
      <c r="I46" s="92"/>
      <c r="J46" s="92"/>
      <c r="K46" s="92"/>
      <c r="L46" s="94" t="e">
        <f>#REF!</f>
        <v>#REF!</v>
      </c>
      <c r="M46" s="94"/>
      <c r="N46" s="94"/>
      <c r="O46" s="94"/>
      <c r="P46" s="97"/>
    </row>
    <row r="47" spans="7:16" ht="18.75" x14ac:dyDescent="0.3">
      <c r="G47" s="98" t="e">
        <f>#REF!</f>
        <v>#REF!</v>
      </c>
      <c r="H47" s="99"/>
      <c r="I47" s="99"/>
      <c r="J47" s="99"/>
      <c r="K47" s="99"/>
      <c r="L47" s="100" t="e">
        <f>#REF!</f>
        <v>#REF!</v>
      </c>
      <c r="M47" s="101" t="e">
        <f>#REF!</f>
        <v>#REF!</v>
      </c>
      <c r="N47" s="101"/>
      <c r="O47" s="102" t="e">
        <f>#REF!</f>
        <v>#REF!</v>
      </c>
      <c r="P47" s="103"/>
    </row>
    <row r="48" spans="7:16" ht="18.75" x14ac:dyDescent="0.3">
      <c r="G48" s="98" t="e">
        <f>#REF!</f>
        <v>#REF!</v>
      </c>
      <c r="H48" s="99"/>
      <c r="I48" s="99"/>
      <c r="J48" s="99"/>
      <c r="K48" s="99"/>
      <c r="L48" s="100" t="e">
        <f>#REF!</f>
        <v>#REF!</v>
      </c>
      <c r="M48" s="101" t="e">
        <f>#REF!</f>
        <v>#REF!</v>
      </c>
      <c r="N48" s="101"/>
      <c r="O48" s="102" t="e">
        <f>#REF!</f>
        <v>#REF!</v>
      </c>
      <c r="P48" s="103"/>
    </row>
    <row r="49" spans="7:16" ht="15.75" thickBot="1" x14ac:dyDescent="0.3">
      <c r="G49" s="104">
        <f>[1]Graphs_full!O2</f>
        <v>0</v>
      </c>
      <c r="H49" s="105"/>
      <c r="I49" s="105"/>
      <c r="J49" s="105"/>
      <c r="K49" s="105"/>
      <c r="L49" s="105"/>
      <c r="M49" s="105"/>
      <c r="N49" s="105"/>
      <c r="O49" s="105"/>
      <c r="P49" s="106"/>
    </row>
  </sheetData>
  <mergeCells count="44">
    <mergeCell ref="G46:K46"/>
    <mergeCell ref="L46:P46"/>
    <mergeCell ref="G47:K47"/>
    <mergeCell ref="M47:N47"/>
    <mergeCell ref="O47:P47"/>
    <mergeCell ref="G48:K48"/>
    <mergeCell ref="M48:N48"/>
    <mergeCell ref="O48:P48"/>
    <mergeCell ref="G44:K44"/>
    <mergeCell ref="M44:N44"/>
    <mergeCell ref="O44:P44"/>
    <mergeCell ref="G45:K45"/>
    <mergeCell ref="M45:N45"/>
    <mergeCell ref="O45:P45"/>
    <mergeCell ref="N26:O26"/>
    <mergeCell ref="K30:N30"/>
    <mergeCell ref="G42:P42"/>
    <mergeCell ref="G43:K43"/>
    <mergeCell ref="M43:N43"/>
    <mergeCell ref="O43:P43"/>
    <mergeCell ref="G20:K20"/>
    <mergeCell ref="L20:P20"/>
    <mergeCell ref="M21:N22"/>
    <mergeCell ref="O21:P22"/>
    <mergeCell ref="G23:K23"/>
    <mergeCell ref="L23:L24"/>
    <mergeCell ref="N23:O23"/>
    <mergeCell ref="G24:G25"/>
    <mergeCell ref="N24:O24"/>
    <mergeCell ref="N25:O25"/>
    <mergeCell ref="O6:P6"/>
    <mergeCell ref="G7:K7"/>
    <mergeCell ref="L7:P7"/>
    <mergeCell ref="G8:G9"/>
    <mergeCell ref="G10:G11"/>
    <mergeCell ref="L10:O10"/>
    <mergeCell ref="L11:P11"/>
    <mergeCell ref="G12:G13"/>
    <mergeCell ref="L12:P19"/>
    <mergeCell ref="G14:K14"/>
    <mergeCell ref="O4:P4"/>
    <mergeCell ref="G6:I6"/>
    <mergeCell ref="J6:K6"/>
    <mergeCell ref="L6:N6"/>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86" r:id="rId3" name="Group Box 14">
              <controlPr defaultSize="0" autoFill="0" autoPict="0" altText="Targets used">
                <anchor moveWithCells="1">
                  <from>
                    <xdr:col>11</xdr:col>
                    <xdr:colOff>342900</xdr:colOff>
                    <xdr:row>3</xdr:row>
                    <xdr:rowOff>66675</xdr:rowOff>
                  </from>
                  <to>
                    <xdr:col>13</xdr:col>
                    <xdr:colOff>561975</xdr:colOff>
                    <xdr:row>4</xdr:row>
                    <xdr:rowOff>66675</xdr:rowOff>
                  </to>
                </anchor>
              </controlPr>
            </control>
          </mc:Choice>
        </mc:AlternateContent>
        <mc:AlternateContent xmlns:mc="http://schemas.openxmlformats.org/markup-compatibility/2006">
          <mc:Choice Requires="x14">
            <control shapeId="3087" r:id="rId4" name="Option Button 15">
              <controlPr locked="0" defaultSize="0" autoFill="0" autoLine="0" autoPict="0" macro="[1]!OptionButton15_Click">
                <anchor moveWithCells="1">
                  <from>
                    <xdr:col>11</xdr:col>
                    <xdr:colOff>371475</xdr:colOff>
                    <xdr:row>3</xdr:row>
                    <xdr:rowOff>161925</xdr:rowOff>
                  </from>
                  <to>
                    <xdr:col>12</xdr:col>
                    <xdr:colOff>228600</xdr:colOff>
                    <xdr:row>4</xdr:row>
                    <xdr:rowOff>9525</xdr:rowOff>
                  </to>
                </anchor>
              </controlPr>
            </control>
          </mc:Choice>
        </mc:AlternateContent>
        <mc:AlternateContent xmlns:mc="http://schemas.openxmlformats.org/markup-compatibility/2006">
          <mc:Choice Requires="x14">
            <control shapeId="3088" r:id="rId5" name="Option Button 16">
              <controlPr locked="0" defaultSize="0" autoFill="0" autoLine="0" autoPict="0" macro="[1]!OptionButton16_Click">
                <anchor moveWithCells="1">
                  <from>
                    <xdr:col>12</xdr:col>
                    <xdr:colOff>371475</xdr:colOff>
                    <xdr:row>3</xdr:row>
                    <xdr:rowOff>161925</xdr:rowOff>
                  </from>
                  <to>
                    <xdr:col>13</xdr:col>
                    <xdr:colOff>285750</xdr:colOff>
                    <xdr:row>4</xdr:row>
                    <xdr:rowOff>9525</xdr:rowOff>
                  </to>
                </anchor>
              </controlPr>
            </control>
          </mc:Choice>
        </mc:AlternateContent>
        <mc:AlternateContent xmlns:mc="http://schemas.openxmlformats.org/markup-compatibility/2006">
          <mc:Choice Requires="x14">
            <control shapeId="3089" r:id="rId6" name="Option Button 17">
              <controlPr defaultSize="0" autoFill="0" autoLine="0" autoPict="0" macro="[1]!OptionButton19_Click">
                <anchor moveWithCells="1">
                  <from>
                    <xdr:col>13</xdr:col>
                    <xdr:colOff>85725</xdr:colOff>
                    <xdr:row>3</xdr:row>
                    <xdr:rowOff>161925</xdr:rowOff>
                  </from>
                  <to>
                    <xdr:col>13</xdr:col>
                    <xdr:colOff>533400</xdr:colOff>
                    <xdr:row>3</xdr:row>
                    <xdr:rowOff>371475</xdr:rowOff>
                  </to>
                </anchor>
              </controlPr>
            </control>
          </mc:Choice>
        </mc:AlternateContent>
        <mc:AlternateContent xmlns:mc="http://schemas.openxmlformats.org/markup-compatibility/2006">
          <mc:Choice Requires="x14">
            <control shapeId="3090" r:id="rId7" name="Label 18">
              <controlPr defaultSize="0" autoFill="0" autoLine="0" autoPict="0">
                <anchor moveWithCells="1" sizeWithCells="1">
                  <from>
                    <xdr:col>7</xdr:col>
                    <xdr:colOff>152400</xdr:colOff>
                    <xdr:row>28</xdr:row>
                    <xdr:rowOff>47625</xdr:rowOff>
                  </from>
                  <to>
                    <xdr:col>10</xdr:col>
                    <xdr:colOff>104775</xdr:colOff>
                    <xdr:row>29</xdr:row>
                    <xdr:rowOff>180975</xdr:rowOff>
                  </to>
                </anchor>
              </controlPr>
            </control>
          </mc:Choice>
        </mc:AlternateContent>
        <mc:AlternateContent xmlns:mc="http://schemas.openxmlformats.org/markup-compatibility/2006">
          <mc:Choice Requires="x14">
            <control shapeId="3091" r:id="rId8" name="Button 19">
              <controlPr defaultSize="0" print="0" autoFill="0" autoPict="0" macro="[1]!Button24_Click">
                <anchor moveWithCells="1" sizeWithCells="1">
                  <from>
                    <xdr:col>15</xdr:col>
                    <xdr:colOff>409575</xdr:colOff>
                    <xdr:row>9</xdr:row>
                    <xdr:rowOff>9525</xdr:rowOff>
                  </from>
                  <to>
                    <xdr:col>15</xdr:col>
                    <xdr:colOff>1838325</xdr:colOff>
                    <xdr:row>9</xdr:row>
                    <xdr:rowOff>180975</xdr:rowOff>
                  </to>
                </anchor>
              </controlPr>
            </control>
          </mc:Choice>
        </mc:AlternateContent>
        <mc:AlternateContent xmlns:mc="http://schemas.openxmlformats.org/markup-compatibility/2006">
          <mc:Choice Requires="x14">
            <control shapeId="3092" r:id="rId9" name="Group Box 20">
              <controlPr defaultSize="0" autoFill="0" autoPict="0">
                <anchor moveWithCells="1">
                  <from>
                    <xdr:col>11</xdr:col>
                    <xdr:colOff>104775</xdr:colOff>
                    <xdr:row>28</xdr:row>
                    <xdr:rowOff>66675</xdr:rowOff>
                  </from>
                  <to>
                    <xdr:col>15</xdr:col>
                    <xdr:colOff>2466975</xdr:colOff>
                    <xdr:row>31</xdr:row>
                    <xdr:rowOff>0</xdr:rowOff>
                  </to>
                </anchor>
              </controlPr>
            </control>
          </mc:Choice>
        </mc:AlternateContent>
        <mc:AlternateContent xmlns:mc="http://schemas.openxmlformats.org/markup-compatibility/2006">
          <mc:Choice Requires="x14">
            <control shapeId="3093" r:id="rId10" name="Option Button 21">
              <controlPr defaultSize="0" autoFill="0" autoLine="0" autoPict="0" macro="[1]!chart_currentmonth_Click">
                <anchor moveWithCells="1">
                  <from>
                    <xdr:col>12</xdr:col>
                    <xdr:colOff>723900</xdr:colOff>
                    <xdr:row>28</xdr:row>
                    <xdr:rowOff>114300</xdr:rowOff>
                  </from>
                  <to>
                    <xdr:col>15</xdr:col>
                    <xdr:colOff>28575</xdr:colOff>
                    <xdr:row>30</xdr:row>
                    <xdr:rowOff>104775</xdr:rowOff>
                  </to>
                </anchor>
              </controlPr>
            </control>
          </mc:Choice>
        </mc:AlternateContent>
        <mc:AlternateContent xmlns:mc="http://schemas.openxmlformats.org/markup-compatibility/2006">
          <mc:Choice Requires="x14">
            <control shapeId="3094" r:id="rId11" name="Option Button 22">
              <controlPr defaultSize="0" autoFill="0" autoLine="0" autoPict="0" macro="[1]!chart_last30_Click">
                <anchor moveWithCells="1">
                  <from>
                    <xdr:col>11</xdr:col>
                    <xdr:colOff>180975</xdr:colOff>
                    <xdr:row>28</xdr:row>
                    <xdr:rowOff>161925</xdr:rowOff>
                  </from>
                  <to>
                    <xdr:col>13</xdr:col>
                    <xdr:colOff>0</xdr:colOff>
                    <xdr:row>30</xdr:row>
                    <xdr:rowOff>38100</xdr:rowOff>
                  </to>
                </anchor>
              </controlPr>
            </control>
          </mc:Choice>
        </mc:AlternateContent>
        <mc:AlternateContent xmlns:mc="http://schemas.openxmlformats.org/markup-compatibility/2006">
          <mc:Choice Requires="x14">
            <control shapeId="3095" r:id="rId12" name="Option Button 23">
              <controlPr defaultSize="0" autoFill="0" autoLine="0" autoPict="0" macro="[1]!chart_CurrentFY_click">
                <anchor moveWithCells="1">
                  <from>
                    <xdr:col>14</xdr:col>
                    <xdr:colOff>266700</xdr:colOff>
                    <xdr:row>29</xdr:row>
                    <xdr:rowOff>85725</xdr:rowOff>
                  </from>
                  <to>
                    <xdr:col>15</xdr:col>
                    <xdr:colOff>590550</xdr:colOff>
                    <xdr:row>30</xdr:row>
                    <xdr:rowOff>142875</xdr:rowOff>
                  </to>
                </anchor>
              </controlPr>
            </control>
          </mc:Choice>
        </mc:AlternateContent>
        <mc:AlternateContent xmlns:mc="http://schemas.openxmlformats.org/markup-compatibility/2006">
          <mc:Choice Requires="x14">
            <control shapeId="3096" r:id="rId13" name="Option Button 24">
              <controlPr defaultSize="0" autoFill="0" autoLine="0" autoPict="0" macro="[1]!chart_CurrentCY_click">
                <anchor moveWithCells="1">
                  <from>
                    <xdr:col>14</xdr:col>
                    <xdr:colOff>266700</xdr:colOff>
                    <xdr:row>28</xdr:row>
                    <xdr:rowOff>85725</xdr:rowOff>
                  </from>
                  <to>
                    <xdr:col>15</xdr:col>
                    <xdr:colOff>400050</xdr:colOff>
                    <xdr:row>29</xdr:row>
                    <xdr:rowOff>123825</xdr:rowOff>
                  </to>
                </anchor>
              </controlPr>
            </control>
          </mc:Choice>
        </mc:AlternateContent>
        <mc:AlternateContent xmlns:mc="http://schemas.openxmlformats.org/markup-compatibility/2006">
          <mc:Choice Requires="x14">
            <control shapeId="3097" r:id="rId14" name="Option Button 25">
              <controlPr defaultSize="0" autoFill="0" autoLine="0" autoPict="0" macro="[1]!chart_Last365_click">
                <anchor moveWithCells="1">
                  <from>
                    <xdr:col>15</xdr:col>
                    <xdr:colOff>409575</xdr:colOff>
                    <xdr:row>29</xdr:row>
                    <xdr:rowOff>47625</xdr:rowOff>
                  </from>
                  <to>
                    <xdr:col>15</xdr:col>
                    <xdr:colOff>1400175</xdr:colOff>
                    <xdr:row>30</xdr:row>
                    <xdr:rowOff>142875</xdr:rowOff>
                  </to>
                </anchor>
              </controlPr>
            </control>
          </mc:Choice>
        </mc:AlternateContent>
        <mc:AlternateContent xmlns:mc="http://schemas.openxmlformats.org/markup-compatibility/2006">
          <mc:Choice Requires="x14">
            <control shapeId="3098" r:id="rId15" name="Option Button 26">
              <controlPr defaultSize="0" autoFill="0" autoLine="0" autoPict="0" macro="[1]!chart_fullRange_Click">
                <anchor moveWithCells="1">
                  <from>
                    <xdr:col>15</xdr:col>
                    <xdr:colOff>409575</xdr:colOff>
                    <xdr:row>28</xdr:row>
                    <xdr:rowOff>104775</xdr:rowOff>
                  </from>
                  <to>
                    <xdr:col>15</xdr:col>
                    <xdr:colOff>1257300</xdr:colOff>
                    <xdr:row>29</xdr:row>
                    <xdr:rowOff>123825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Rathwa Jaswantbhai Sunajibhai (राठवा जसवन्तभाई सुनाजीभाई)</dc:creator>
  <cp:lastModifiedBy>Rathwa Jaswantbhai Sunajibhai (राठवा जसवन्तभाई सुनाजीभ</cp:lastModifiedBy>
  <dcterms:created xsi:type="dcterms:W3CDTF">2026-08-12T04:55:51Z</dcterms:created>
  <dcterms:modified xsi:type="dcterms:W3CDTF">2026-08-13T09:27:05Z</dcterms:modified>
</cp:coreProperties>
</file>