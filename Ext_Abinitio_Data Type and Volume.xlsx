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ccbji-my.sharepoint.com/personal/dbbk_axcel01_ccbji_co_jp/Documents/Clean Core/03. S4 Transition/02. Lift/06. IF/Functional Validation of ECC_Abinitio Tables/"/>
    </mc:Choice>
  </mc:AlternateContent>
  <xr:revisionPtr revIDLastSave="0" documentId="8_{49A37CF4-57E1-4D07-B8D6-888F458D2657}" xr6:coauthVersionLast="47" xr6:coauthVersionMax="47" xr10:uidLastSave="{00000000-0000-0000-0000-000000000000}"/>
  <bookViews>
    <workbookView xWindow="-110" yWindow="-110" windowWidth="19420" windowHeight="10300" xr2:uid="{0EDB7F8B-0D15-48A2-BA86-9813EB2D22C8}"/>
  </bookViews>
  <sheets>
    <sheet name="Job Details" sheetId="3" r:id="rId1"/>
  </sheets>
  <externalReferences>
    <externalReference r:id="rId2"/>
  </externalReferences>
  <definedNames>
    <definedName name="_xlnm._FilterDatabase" localSheetId="0" hidden="1">'Job Details'!$A$2:$M$310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 i="3" l="1"/>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 i="3"/>
  <c r="F3"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alcChain>
</file>

<file path=xl/sharedStrings.xml><?xml version="1.0" encoding="utf-8"?>
<sst xmlns="http://schemas.openxmlformats.org/spreadsheetml/2006/main" count="920" uniqueCount="382">
  <si>
    <t>**The workstream mentioned in highlighted cells is based on assumptions, kindly update if wrong.</t>
  </si>
  <si>
    <t>Ab-initio Job Name</t>
  </si>
  <si>
    <t>Workstream</t>
  </si>
  <si>
    <t>Functional PIC</t>
  </si>
  <si>
    <t>Data Type</t>
  </si>
  <si>
    <t>Volume
 (No of records)</t>
  </si>
  <si>
    <t>Table Name</t>
  </si>
  <si>
    <t>Alternative Table Name</t>
  </si>
  <si>
    <t>New fields name</t>
  </si>
  <si>
    <t>CDS View</t>
  </si>
  <si>
    <t>Is there change in schema? (Y/N)</t>
  </si>
  <si>
    <t>Can delta changes be pulled? (Y/N)</t>
  </si>
  <si>
    <t>Logic for delta data
(Field name/change point to be considered)</t>
  </si>
  <si>
    <t>Remarks</t>
  </si>
  <si>
    <t>BST_NH_ECC_C1S05242.plan</t>
  </si>
  <si>
    <t>O2C</t>
  </si>
  <si>
    <t>Maha/Mitesh</t>
  </si>
  <si>
    <t>05248MD_MySQL_ECC_tdivision</t>
  </si>
  <si>
    <t>SCE</t>
  </si>
  <si>
    <t>02003TD_C1_FusionTOKYO_ORDER</t>
  </si>
  <si>
    <t>M2O (VM)</t>
  </si>
  <si>
    <t>02004TD_C1_FusionTOKYO_RECEIPT</t>
  </si>
  <si>
    <t>02005TD_C1_FusionTOKYO_RETURN</t>
  </si>
  <si>
    <t>AB_JOBREQ_Report_9097_prdabnap03
AB_JOBREQ_Report_9197_prdabnap03
⇒BST_Azure_Assetmanagement_002.plan</t>
  </si>
  <si>
    <t>FM</t>
  </si>
  <si>
    <t>Murali/Ravish</t>
  </si>
  <si>
    <t>ACDOCA</t>
  </si>
  <si>
    <t>Table -ANLA : 
 For New record -Pass BUKARS and check ERDAT = Today Date and fetch data (For New record) and   
For Updataion :check  AEDAT=Today Date and fetch data with  ANLN1 to update
For Deletion record if any : check XLOEV = Today Date and update record for deletion
Table -ANLB: 
 For New record -Pass BUKARS and and ANLN1 check ERDAT = Today Date and fetch data (For New record) and   
For Updataion :check  AEDAT=Today Date and fetch data with  ANLN1 to update
For Deletion record if any : check XLOEV = Today Date and update record for deletion</t>
  </si>
  <si>
    <t>00200_TRN_Out_StockTransferOrder</t>
  </si>
  <si>
    <t>00200_TRN_Out_StockTransferOrder_1</t>
  </si>
  <si>
    <t>04100_TRN_In_SalesOrderCommit</t>
  </si>
  <si>
    <t>04300_TRN_In_OnHands</t>
  </si>
  <si>
    <t>04400_TRN_In_PrODetail</t>
  </si>
  <si>
    <t>04500_TRN_In_PurchaseOrdersLineCommit</t>
  </si>
  <si>
    <t>04700_TRN_In_STOLineDetail</t>
  </si>
  <si>
    <t>14700_TRN_In_OnHands_JDC</t>
  </si>
  <si>
    <t>05112MD_NationalTaxAgency_C1_InvoiceNumber</t>
  </si>
  <si>
    <t>AB_JOBREQ_9184(getPriceDaiwa)</t>
  </si>
  <si>
    <t>03081TA_SFDC001_SundryAP_2355</t>
  </si>
  <si>
    <t>FM/O2C</t>
  </si>
  <si>
    <t>03082TA_SFDC002_SundryAR_2355</t>
  </si>
  <si>
    <r>
      <rPr>
        <strike/>
        <sz val="10"/>
        <color rgb="FF000000"/>
        <rFont val="Arial Nova"/>
        <family val="2"/>
      </rPr>
      <t xml:space="preserve">03086TA_SFDC013_CH_CreateSD_2355
</t>
    </r>
    <r>
      <rPr>
        <sz val="10"/>
        <color rgb="FFFF0000"/>
        <rFont val="Arial Nova"/>
        <family val="2"/>
      </rPr>
      <t>03086TA_SFDC013_CH_Request_2355</t>
    </r>
  </si>
  <si>
    <t>00042MD_NH_ECC_Inbound_Interface</t>
  </si>
  <si>
    <t>05015MD_ECC_SFDC_Petty_Cash_LAST</t>
  </si>
  <si>
    <t>R00019D_DENPYOSOFU_prdabnap03</t>
  </si>
  <si>
    <t>AB_JOBREQ_Report_9097_prdabnap03
AB_JOBREQ_Report_9197_prdabnap03
⇒BST_SEND_MAIL_001.mp</t>
  </si>
  <si>
    <t>03104MA_C1_MySQL_DB2_CCEJ_TZKTMM0107</t>
  </si>
  <si>
    <t>03106MA_C1_MySQL_DB2_CCEJ_TZKTSD0106</t>
  </si>
  <si>
    <t>03107MA_C1_MySQL_DB2_CCEJ_ZKTSD0084</t>
  </si>
  <si>
    <t>03108MA_C1_MySQL_DB2_CCEJ_ZKTSD0104</t>
  </si>
  <si>
    <t>03109MA_C1_MySQL_DB2_CCEJ_TZKTSD0003</t>
  </si>
  <si>
    <t>03111MA_C1_MySQL_DB2_CCEJ_B_FS_CUST</t>
  </si>
  <si>
    <t>03112MA_C1_MySQL_DB2_CCEJ_B_RS_CUST</t>
  </si>
  <si>
    <t>03117MA_C1_MySQL_DB2_CCEJ_T_CUSBRID</t>
  </si>
  <si>
    <t>03124MA_C1_MySQL_DB2_CCEJ_TKTSD0081</t>
  </si>
  <si>
    <t>03126MA_C1_MySQL_DB2_CCEJ_T_PLNTD_FS</t>
  </si>
  <si>
    <t>03129MA_C1_MySQL_DB2_CCEJ_B_MATERIAL</t>
  </si>
  <si>
    <t>03130MA_C1_MySQL_DB2_CCEJ_TZKTSD0107</t>
  </si>
  <si>
    <t>03131MA_C1_MySQL_DB2_CCEJ_TZKTFI0005</t>
  </si>
  <si>
    <t>03132MA_C1_MySQL_DB2_CCEJ_TZKTFI0090</t>
  </si>
  <si>
    <t>05228MD_NationalTaxAgency_C1_InvoiceNumber_CheckModify</t>
  </si>
  <si>
    <t xml:space="preserve">Table-/CCBJI/T_JCTINVR
Delta Daily record- Check ZERSDA = Todays date and fetch delta
Chnage or Updated- check Changed on = Todays Date and fetch data and update record with chnages </t>
  </si>
  <si>
    <t>03198MD_SuperDAIWA_ECC_C1_Incoming_order_interface</t>
  </si>
  <si>
    <t>BST_C1Ph2_IOM_001.plan</t>
  </si>
  <si>
    <t>following fields length is changed
a. VBTYP from 1 to 4 CHAR (Ex VBAK-VBTYP)
b. VAKEY to VAKEY_LONG I.E./CCBJI/VAKEY
(Ex /SCL/OTCS_REBCOND)
c. KOLNR (Ex /EBY/PDPO_SICO_DATA)
d.QUDIW /SDKONDTAB /KOND_DATA
e. BOMAT to BOMAT_LONG/ UPMAT to UPMAT_LONG/
 MATNR to  MATNR_long
f.KOLNR, EVSNR, FSELNR form NUMC2 TO 3
g.KOBED, KOFRM, KOFRA, GRLNR, KOFRS form NUMC3 to NUMC7
h.DZAEHK, DZAEHK_IND, DZAEKO, 
BBP_ZAEHK i.e. data type NUMC2 to NUMC7
I. KALKS, KALVG from CHAR 1 to 2.</t>
  </si>
  <si>
    <t>BST_C1Ph2_IOM_002.plan</t>
  </si>
  <si>
    <t>BST_C1Ph2_IOM_003.plan</t>
  </si>
  <si>
    <t>DME_Fscommission</t>
  </si>
  <si>
    <t>110_READ_EOSGAI_JISHA</t>
  </si>
  <si>
    <t>310_READ_FS</t>
  </si>
  <si>
    <t>00105D_APEX_ECC_APMACHINEBRIDGE</t>
  </si>
  <si>
    <t>GR_CAM_Hokkaido</t>
  </si>
  <si>
    <t>GR_CAM_Hokuriku</t>
  </si>
  <si>
    <t>GR_CAM_Michinoku</t>
  </si>
  <si>
    <t>GR_CAM_Okinawa</t>
  </si>
  <si>
    <t>GR_Material_Hokkaido</t>
  </si>
  <si>
    <t>P2P</t>
  </si>
  <si>
    <t>Sankar/Abinash</t>
  </si>
  <si>
    <t>GR_Material_Hokuriku</t>
  </si>
  <si>
    <t>GR_Material_Michinoku</t>
  </si>
  <si>
    <t>GR_Material_Okinawa</t>
  </si>
  <si>
    <t>PO_CAM_Hokkaido</t>
  </si>
  <si>
    <t>PO_CAM_Hokuriku</t>
  </si>
  <si>
    <t>PO_CAM_Michinoku</t>
  </si>
  <si>
    <t>PO_CAM_Okinawa</t>
  </si>
  <si>
    <t>PO_Material_Hokkaido</t>
  </si>
  <si>
    <t>PO_Material_Hokuriku</t>
  </si>
  <si>
    <t>PO_Material_Michinoku</t>
  </si>
  <si>
    <t>PO_Material_Okinawa</t>
  </si>
  <si>
    <t>充填指図</t>
  </si>
  <si>
    <t>品目マスター</t>
  </si>
  <si>
    <t>パレット種別マスター</t>
  </si>
  <si>
    <t>工場ラインマスター</t>
  </si>
  <si>
    <t>製造実績</t>
  </si>
  <si>
    <t>生産計画</t>
  </si>
  <si>
    <t>原液購入計画</t>
  </si>
  <si>
    <t>原液発注データ</t>
  </si>
  <si>
    <t>月次在庫情報</t>
  </si>
  <si>
    <t>製造実績(指図別)</t>
  </si>
  <si>
    <t>製造実績(ロット別)</t>
  </si>
  <si>
    <t>品目ロット別利用可能日</t>
  </si>
  <si>
    <t>製品移動履歴(CCBJI製造分)</t>
  </si>
  <si>
    <t>製品移動履歴(他ボトラー製造分)</t>
  </si>
  <si>
    <t>出荷制限(CCBJI製造分)</t>
  </si>
  <si>
    <t>出荷制限(他ボトラー製造分)</t>
  </si>
  <si>
    <t>DWO_C1_KQ_A305</t>
  </si>
  <si>
    <t>DWO_C1_KQ_A305_SUN</t>
  </si>
  <si>
    <t>DWO_C1_KQ_EINA</t>
  </si>
  <si>
    <t>DWO_C1_KQ_EINA_SUN</t>
  </si>
  <si>
    <t>DWO_C1_KQ_EINE</t>
  </si>
  <si>
    <t>DWO_C1_KQ_EINE_SUN</t>
  </si>
  <si>
    <t>DWO_C1_KQ_GoodsReceiptReturn</t>
  </si>
  <si>
    <t>DWO_C1_KQ_GoodsReceiptReturn_First</t>
  </si>
  <si>
    <t>DWO_C1_KQ_GoodsReceiptReturn_First_SUN</t>
  </si>
  <si>
    <t>DWO_C1_KQ_GoodsReceiptReturn_SUN_1</t>
  </si>
  <si>
    <t>DWO_C1_KQ_KONP</t>
  </si>
  <si>
    <t>DWO_C1_KQ_KONP_SUN</t>
  </si>
  <si>
    <t>DWO_C1_KQ_MBEW</t>
  </si>
  <si>
    <t>DWO_C1_KQ_MBEW_SUN_1</t>
  </si>
  <si>
    <t>DWO_C1_KQ_MBEW_SUN_2</t>
  </si>
  <si>
    <t>DWO_C1_KQ_T_CAMBKTYP</t>
  </si>
  <si>
    <t>DWO_C1_KQ_T_CAMBKTYP_SUN</t>
  </si>
  <si>
    <t>DWO_C1_KQ_T_CAMTASK</t>
  </si>
  <si>
    <t>DWO_C1_KQ_T_CAMTASK_SUN</t>
  </si>
  <si>
    <t>DWO_C1_KQ_T_CAMWRKCT</t>
  </si>
  <si>
    <t>DWO_C1_KQ_T_CAMWRKCT_SUN</t>
  </si>
  <si>
    <t>DWO_CMOR&amp;Error</t>
  </si>
  <si>
    <t>DWO_CMOR&amp;Error_SUN1</t>
  </si>
  <si>
    <t>DWO_CMOR&amp;Error_SUN2</t>
  </si>
  <si>
    <t>DWO_CreateChange&amp;Return</t>
  </si>
  <si>
    <t>DWO_CreateChange&amp;Return_SUN_1</t>
  </si>
  <si>
    <t>DWO_CreateChange&amp;Return_SUN_２</t>
  </si>
  <si>
    <t>DWO_KQ_C1_GoodsReceipt</t>
  </si>
  <si>
    <t>DWO_KQ_C1_GoodsReceipt_First</t>
  </si>
  <si>
    <t>DWO_KQ_C1_GoodsReceipt_First_SUN</t>
  </si>
  <si>
    <t>DWO_KQ_C1_GoodsReceipt_Second_SUN</t>
  </si>
  <si>
    <t>DWO_KQ_C1_GoodsReceipt_SUN_1</t>
  </si>
  <si>
    <t>DWO_KQ_C1_GoodsReceipt_SUN_2</t>
  </si>
  <si>
    <t>DWO_WO&amp;AD_First</t>
  </si>
  <si>
    <t>DWO_WO&amp;AD_First_SUN</t>
  </si>
  <si>
    <t>DWO_WO&amp;AD_Second_SUN</t>
  </si>
  <si>
    <t>EQA_C1_KQ_Disposal_Dates</t>
  </si>
  <si>
    <t>EQA_C1_KQ_Disposal_Dates_SUN</t>
  </si>
  <si>
    <t>EQA_C1_KQ_Manufacturer_name</t>
  </si>
  <si>
    <t>EQA_C1_KQ_Manufacturer_name_SUN</t>
  </si>
  <si>
    <t>IVP_CokeON_Wallet_GetSAPData</t>
  </si>
  <si>
    <t>IVP_EMO_Get_SAPData</t>
  </si>
  <si>
    <t>Spare Parts Planning Interface</t>
  </si>
  <si>
    <t>Spare Parts Planning Interface_SUN</t>
  </si>
  <si>
    <t>DWO_C1_KQ_CAMERR_First</t>
  </si>
  <si>
    <t>DWO_C1_KQ_CMOR_HDR_First</t>
  </si>
  <si>
    <t>DWO_C1_KQ_CMOR_COM_First</t>
  </si>
  <si>
    <t>DWO_C1_KQ_CMOR_TSK_First</t>
  </si>
  <si>
    <t>DWO_C1_KQ_CAMERR</t>
  </si>
  <si>
    <t>DWO_C1_KQ_CMOR_HDR</t>
  </si>
  <si>
    <t>DWO_C1_KQ_CMOR_COM</t>
  </si>
  <si>
    <t>DWO_C1_KQ_CMOR_TSK</t>
  </si>
  <si>
    <t>DWO_KQ_C1_InventoryTransfer_First</t>
  </si>
  <si>
    <t>DWO_KQ_C1_InventoryTransfer</t>
  </si>
  <si>
    <t>DWO_C1_KQ_InventoryTransferReturn_First</t>
  </si>
  <si>
    <t>DWO_C1_KQ_InventoryTransferReturn</t>
  </si>
  <si>
    <t>DWO_C1_KQ_Equipment</t>
  </si>
  <si>
    <t>DWO_C1_KQ_Parts</t>
  </si>
  <si>
    <t>DWO_C1_KQ_SPinventory_First</t>
  </si>
  <si>
    <t>DWO_C1_KQ_SPinventory</t>
  </si>
  <si>
    <t>DWO_C1_KQ_CAMERR_First_SUN</t>
  </si>
  <si>
    <t>DWO_C1_KQ_CAMERR_SUN_1</t>
  </si>
  <si>
    <t>DWO_C1_KQ_CAMERR_SUN_2</t>
  </si>
  <si>
    <t>DWO_C1_KQ_CMOR_HDR_First_SUN</t>
  </si>
  <si>
    <t>DWO_C1_KQ_CMOR_HDR_SUN_1</t>
  </si>
  <si>
    <t>DWO_C1_KQ_CMOR_HDR_SUN_2</t>
  </si>
  <si>
    <t>DWO_C1_KQ_CMOR_COM_First_SUN</t>
  </si>
  <si>
    <t>DWO_C1_KQ_CMOR_COM_SUN_1</t>
  </si>
  <si>
    <t>DWO_C1_KQ_CMOR_COM_SUN_2</t>
  </si>
  <si>
    <t>DWO_C1_KQ_CMOR_TSK_First_SUN</t>
  </si>
  <si>
    <t>DWO_C1_KQ_CMOR_TSK_SUN_1</t>
  </si>
  <si>
    <t>DWO_C1_KQ_CMOR_TSK_SUN_2</t>
  </si>
  <si>
    <t>DWO_KQ_C1_InventoryTransfer_First_SUN</t>
  </si>
  <si>
    <t>DWO_KQ_C1_InventoryTransfer_Second_SUN</t>
  </si>
  <si>
    <t>DWO_KQ_C1_InventoryTransfer_SUN_1</t>
  </si>
  <si>
    <t>DWO_KQ_C1_InventoryTransfer_SUN_2</t>
  </si>
  <si>
    <t>DWO_C1_KQ_InventoryTransferReturn_First_SUN</t>
  </si>
  <si>
    <t>DWO_C1_KQ_InventoryTransferReturn_SUN_1</t>
  </si>
  <si>
    <t>DWO_C1_KQ_InventoryTransferReturn_SUN_2</t>
  </si>
  <si>
    <t>DWO_C1_KQ_GoodsReceiptReturn_SUN_2</t>
  </si>
  <si>
    <t>DWO_C1_KQ_MBEW_Rec</t>
  </si>
  <si>
    <t>DWO_C1_KQ_Equipment_SUN</t>
  </si>
  <si>
    <t>DWO_C1_KQ_Parts_SUN</t>
  </si>
  <si>
    <t>DWO_C1_KQ_SPinventory_First_SUN</t>
  </si>
  <si>
    <t>DWO_C1_KQ_SPinventory_SUN</t>
  </si>
  <si>
    <t>DWO_CMOR&amp;Error_Manual</t>
  </si>
  <si>
    <t>DWO_C1_KQ_EINA_Manual</t>
  </si>
  <si>
    <t>DWO_C1_KQ_EINE_Manual</t>
  </si>
  <si>
    <t>DWO_CreateChange&amp;Return_Manual</t>
  </si>
  <si>
    <t>DWO_WO&amp;AD_Manual</t>
  </si>
  <si>
    <t>CAM_C1_MySQL_AUSP</t>
  </si>
  <si>
    <t>R00016D_Azure_DRIVER_CASH_DIFFERENCE_REPORT_prdabnap03</t>
  </si>
  <si>
    <t>N/A</t>
  </si>
  <si>
    <t>Yes</t>
  </si>
  <si>
    <t>1.	New Records
o	Use KNA1-ERDAT to identify newly created records.
o	Set ERDAT to the batch job execution date.
2.	Changed Records
o	Use table CDHDR with the following selection criteria:
	OBJECTCLAS = DEBI
	UDATE = Batch job execution date
o	Retrieve all CDHDR-OBJECTID values. These represent the relevant KUNNR values.
o	Use these KUNNR values to identify the corresponding records in KNA1 for the delta load.</t>
  </si>
  <si>
    <t>R00003D_Azure_ASSET_MANAGEMENT_REPORT</t>
  </si>
  <si>
    <t>For ANLC : 
Table ANEK pass GJAHR = Current FY and CPUDT = Today date and fetch BUKRS ,ANLN1 and ANLN2  and pass to ANLC- BUKRS, ANLN1 and ANLN2 along with GJAHR (FY) and fetch record
For ANEP : 
Table ANEK pass GJAHR = Current FY and CPUDT = Today date and fetch BUKRS ,ANLN1 and ANLN2  and pass to ANEP- BUKRS, ANLN1 and ANLN2 along with GJAHR (FY) and fetch record</t>
  </si>
  <si>
    <t>R00094D_Azure_EDI_INVOICE_SENDAI</t>
  </si>
  <si>
    <r>
      <rPr>
        <b/>
        <sz val="10"/>
        <color rgb="FFFF0000"/>
        <rFont val="Aptos Narrow"/>
        <family val="2"/>
        <scheme val="minor"/>
      </rPr>
      <t>Delt data for VBAK</t>
    </r>
    <r>
      <rPr>
        <sz val="10"/>
        <color theme="1"/>
        <rFont val="Aptos Narrow"/>
        <family val="2"/>
        <scheme val="minor"/>
      </rPr>
      <t xml:space="preserve">
1. New Records
   &gt;&gt; Use VBAK-ERDAT to identify newly created records.
    &gt;&gt;  Set ERDAT to the batch job execution date.
2. Changed Records
     &gt;&gt; Use table CDHDR with the following selection criteria:
     &gt;&gt;OBJECTCLAS = VERKBELEG
     &gt;&gt;UDATE = Batch job execution date
Retrieve all CDHDR-OBJECTID values. These represent the relevant VBELN values.
Use these CDHDR-OBJECTID (VBELN) values and table = VBAK to identify the corresponding records in CDPOS for the delta load.
</t>
    </r>
    <r>
      <rPr>
        <b/>
        <sz val="10"/>
        <color rgb="FFFF0000"/>
        <rFont val="Aptos Narrow"/>
        <family val="2"/>
        <scheme val="minor"/>
      </rPr>
      <t>Delt data for VBKD</t>
    </r>
    <r>
      <rPr>
        <sz val="10"/>
        <color theme="1"/>
        <rFont val="Aptos Narrow"/>
        <family val="2"/>
        <scheme val="minor"/>
      </rPr>
      <t xml:space="preserve">
1. New Records
   &gt;&gt; Use VBAK-ERDAT to identify newly created records.
    &gt;&gt;  Set ERDAT to the batch job execution date.
2. Changed Records
     &gt;&gt; Use table CDHDR with the following selection criteria:
     &gt;&gt;OBJECTCLAS = VERKBELEG
     &gt;&gt;UDATE = Batch job execution date
Retrieve all CDHDR-OBJECTID values. These represent the relevant VBELN values.
Use these CDHDR-OBJECTID (VBELN) values and table = VBKD to identify the corresponding records in CDPOS for the delta load.</t>
    </r>
  </si>
  <si>
    <t>R00030A_Azure_EDI_INVOICE_REPORT_prdabnap03</t>
  </si>
  <si>
    <r>
      <rPr>
        <b/>
        <sz val="10"/>
        <color rgb="FFFF0000"/>
        <rFont val="Aptos Narrow"/>
        <family val="2"/>
        <scheme val="minor"/>
      </rPr>
      <t>Delt data for VBAK</t>
    </r>
    <r>
      <rPr>
        <sz val="10"/>
        <color theme="1"/>
        <rFont val="Aptos Narrow"/>
        <family val="2"/>
        <scheme val="minor"/>
      </rPr>
      <t xml:space="preserve">
1. New Records
   &gt;&gt; Use VBAK-ERDAT to identify newly created records.
    &gt;&gt;  Set ERDAT to the batch job execution date.
2. Changed Records
     &gt;&gt; Use table CDHDR with the following selection criteria:
     &gt;&gt;OBJECTCLAS = VERKBELEG
     &gt;&gt;UDATE = Batch job execution date
Retrieve all CDHDR-OBJECTID values. These represent the relevant VBELN values.
Use these CDHDR-OBJECTID (VBELN) values and table = VBAK to identify the corresponding records in CDPOS for the delta load.
</t>
    </r>
    <r>
      <rPr>
        <b/>
        <sz val="10"/>
        <color rgb="FFFF0000"/>
        <rFont val="Aptos Narrow"/>
        <family val="2"/>
        <scheme val="minor"/>
      </rPr>
      <t xml:space="preserve">Delt data for KNVV
</t>
    </r>
    <r>
      <rPr>
        <sz val="10"/>
        <color theme="1"/>
        <rFont val="Aptos Narrow"/>
        <family val="2"/>
        <scheme val="minor"/>
      </rPr>
      <t>1. New Records
   &gt;&gt; Use VBAK-ERDAT to identify newly created records.
    &gt;&gt;  Set ERDAT to the batch job execution date.
2. Changed Records
     &gt;&gt; Use table CDHDR with the following selection criteria:
     &gt;&gt;OBJECTCLAS = DEBI
     &gt;&gt;UDATE = Batch job execution date
Retrieve all CDHDR-OBJECTID values. These represent the relevant VBELN values.
Use these CDHDR-OBJECTID (VBELN) values and table = KNVV to identify the corresponding records in CDPOS for the delta load.</t>
    </r>
  </si>
  <si>
    <t>05112MD_NationalTaxAgency_C1_InvoiceNumber_Diff</t>
  </si>
  <si>
    <t xml:space="preserve">Table-/CCBJI/T_JCTINVR
Delta Daily record- Check ZERSDA = Todays date and fetch delta
Chnage or Updated- check Changed on = Today Date and fetch data and update record with chnages </t>
  </si>
  <si>
    <t>10037MD_C1S_Azure_vbak_txt_p_prdabnap03</t>
  </si>
  <si>
    <r>
      <rPr>
        <b/>
        <sz val="10"/>
        <color rgb="FFFF0000"/>
        <rFont val="Aptos Narrow"/>
        <family val="2"/>
        <scheme val="minor"/>
      </rPr>
      <t>Delt data for VBAK</t>
    </r>
    <r>
      <rPr>
        <sz val="10"/>
        <color theme="1"/>
        <rFont val="Aptos Narrow"/>
        <family val="2"/>
        <scheme val="minor"/>
      </rPr>
      <t xml:space="preserve">
1. New Records
   &gt;&gt; Use VBAK-ERDAT to identify newly created records.
    &gt;&gt;  Set ERDAT to the batch job execution date.
2. Changed Records
     &gt;&gt; Use table CDHDR with the following selection criteria:
     &gt;&gt;OBJECTCLAS = VERKBELEG
     &gt;&gt;UDATE = Batch job execution date
Retrieve all CDHDR-OBJECTID values. These represent the relevant VBELN values.
Use these CDHDR-OBJECTID (VBELN) values and table = VBAK to identify the corresponding records in CDPOS for the delta load.</t>
    </r>
  </si>
  <si>
    <t>10041MD_C1S_Azure_vbrp_txt_p_prdabnap03</t>
  </si>
  <si>
    <r>
      <rPr>
        <b/>
        <sz val="10"/>
        <color rgb="FFFF0000"/>
        <rFont val="Aptos Narrow"/>
        <family val="2"/>
        <scheme val="minor"/>
      </rPr>
      <t>Delt data for VBRP</t>
    </r>
    <r>
      <rPr>
        <sz val="10"/>
        <color theme="1"/>
        <rFont val="Aptos Narrow"/>
        <family val="2"/>
        <scheme val="minor"/>
      </rPr>
      <t xml:space="preserve">
1. New Records
   &gt;&gt; Use VBAK-ERDAT to identify newly created records.
    &gt;&gt;  Set ERDAT to the batch job execution date.
2. Changed Records
     &gt;&gt; Use table CDHDR with the following selection criteria:
     &gt;&gt;OBJECTCLAS = RECHNUNG
     &gt;&gt;UDATE = Batch job execution date
Retrieve all CDHDR-OBJECTID values. These represent the relevant VBELN values.
Use these CDHDR-OBJECTID (VBELN) values and table = VBAK to identify the corresponding records in CDPOS for the delta load.</t>
    </r>
  </si>
  <si>
    <t>10038MD_C1S_Azure_vbkd_txt_p_prdabnap03</t>
  </si>
  <si>
    <r>
      <rPr>
        <b/>
        <sz val="10"/>
        <color rgb="FFFF0000"/>
        <rFont val="Aptos Narrow"/>
        <family val="2"/>
        <scheme val="minor"/>
      </rPr>
      <t>Delt data for VBKD</t>
    </r>
    <r>
      <rPr>
        <sz val="10"/>
        <color theme="1"/>
        <rFont val="Aptos Narrow"/>
        <family val="2"/>
        <scheme val="minor"/>
      </rPr>
      <t xml:space="preserve">
1. New Records
   &gt;&gt; Use VBAK-ERDAT to identify newly created records.
    &gt;&gt;  Set ERDAT to the batch job execution date.
2. Changed Records
     &gt;&gt; Use table CDHDR with the following selection criteria:
     &gt;&gt;OBJECTCLAS = VERKBELEG
     &gt;&gt;UDATE = Batch job execution date
Retrieve all CDHDR-OBJECTID values. These represent the relevant VBELN values.
Use these CDHDR-OBJECTID (VBELN) values and table = VBKD to identify the corresponding records in CDPOS for the delta load.</t>
    </r>
  </si>
  <si>
    <t>10039MD_C1S_Azure_vbpa_txt_p_prdabnap03</t>
  </si>
  <si>
    <t>VBPA (VBFA-STUFE is dropped)</t>
  </si>
  <si>
    <r>
      <rPr>
        <b/>
        <sz val="10"/>
        <color rgb="FFFF0000"/>
        <rFont val="Aptos Narrow"/>
        <family val="2"/>
        <scheme val="minor"/>
      </rPr>
      <t>Delt data for VBPA</t>
    </r>
    <r>
      <rPr>
        <sz val="10"/>
        <color theme="1"/>
        <rFont val="Aptos Narrow"/>
        <family val="2"/>
        <scheme val="minor"/>
      </rPr>
      <t xml:space="preserve">
1. New Records
   &gt;&gt; Use VBAK-ERDAT to identify newly created records.
    &gt;&gt;  Set ERDAT to the batch job execution date.
2. Changed Records
     &gt;&gt; Use table CDHDR with the following selection criteria:
     &gt;&gt;OBJECTCLAS = VERKBELEG
     &gt;&gt;UDATE = Batch job execution date
Retrieve all CDHDR-OBJECTID values. These represent the relevant VBELN values.
Use these CDHDR-OBJECTID (VBELN) values and table = VBPA to identify the corresponding records in CDPOS for the delta load.</t>
    </r>
  </si>
  <si>
    <t>03200MD_Pricing_C1_SpecificDocument_DeliveryPlaceAdhoc</t>
  </si>
  <si>
    <t>MDM</t>
  </si>
  <si>
    <t>Vigyan/Jatin</t>
  </si>
  <si>
    <t>Table-/CCEJ/TZKTSD0041
For new records:  Check ZERSDA = Pass Todays date and fetch delta data creation
For Change /Update : Check ZUPDAT = Pass Todays Date to  fetch  updated records
Time updated:- check ZUPTIM= Todays time</t>
  </si>
  <si>
    <t>03152MD_C1_MySQL_DB2_EQUI_FINAL</t>
  </si>
  <si>
    <t>PM / EQ</t>
  </si>
  <si>
    <t>Manoj</t>
  </si>
  <si>
    <t>1. New Equipment -&gt; EQUI-ERDAT
2. Changed Equipment -&gt; EQUI-AEDAT
3. Deleted Equipment -&gt; CDHDR/CDPOS entries with Object Class = EQUI.</t>
  </si>
  <si>
    <t>R00007D_Azure_CoReTo_prdabnap03</t>
  </si>
  <si>
    <t>MDG</t>
  </si>
  <si>
    <t>Table-LFB1 Delta Daily record- Check ERDAT = Todays date and fetch delta</t>
  </si>
  <si>
    <t>H00001D_SIHANA_v_c1_sr_bill_doc</t>
  </si>
  <si>
    <t>H00006D_SIHANA_v_cokeone_marm_txt_p</t>
  </si>
  <si>
    <t>1. New Records:
o Use MARA-ERSDA to identify newly created material records (since unit of measure conversions in MARM are created alongside MARA).
o Set ERSDA to the batch job execution date.
o Retrieve all corresponding MATNR values from MARA and use them to fetch the new records in MARM.
2. Changed Records:
o Use table CDHDR with the following selection criteria:
         *OBJECTCLAS = MATERIAL
         *UDATE = Batch job execution date
o Retrieve all CDHDR-OBJECTID values. These represent the relevant MATNR (Material Number) values.
o Use these MATNR values to identify the corresponding records in MARM for the delta load.</t>
  </si>
  <si>
    <t>10040MD_C1S_Azure_vbrk_txt_p_prdabnap03</t>
  </si>
  <si>
    <t>New records 
VBRK
o	Use VBRK-ERDAT/ to identify newly created records.
o	Set ERDAT to the batch job execution date.
o	Find corresponding new records for VBRK
Changed Records VBRK
o	Use table CDHDR with the following selection criteria:
	OBJECTCLAS = FAKTBELEG for VBRK
	UDATE = Batch job execution date
o	Retrieve all CDHDR-OBJECTID values. These represent the relevant DOCUMENT NO values.</t>
  </si>
  <si>
    <t>H00002D_SIHANA_v_c1_sr_customer_new_prdabnap03</t>
  </si>
  <si>
    <t>05437MD_SAP_MySQL_DB2_STAS_prdabnap03</t>
  </si>
  <si>
    <t>CROSS</t>
  </si>
  <si>
    <t>To extract both newly inserted item selections and updated alternative BOM selections  
1. ANDAT &gt;= :last_run_date AND AEDAT = DATE
2. AEDAT &gt;= :last_run_date</t>
  </si>
  <si>
    <t>05427MD_SAP_MySQL_DB2_STPO_prdabnap03</t>
  </si>
  <si>
    <t>1. Use table STKO (BOM Header) joined with STPO via STLTY, STLNR, and STLAN to track header changes.
2. AEDAT (Last Changed On) 
3. ADATU (Reflects recent edits)</t>
  </si>
  <si>
    <t>10030MD_C1S_Azure_likp_txt_p_prdabnap03</t>
  </si>
  <si>
    <t xml:space="preserve">New records 
LIKP
o	Use LIKP-ERDAT/ to identify newly created records.
o	Set ERDAT to the batch job execution date.
o	Find corresponding new records for LIKP
Changed Records LIKP
o	Use table CDHDR with the following selection criteria:
	OBJECTCLAS = LIEFERUNG for LIKP
	UDATE = Batch job execution date
o	Retrieve all CDHDR-OBJECTID values. These represent the relevant DOCUMENT NO values.
</t>
  </si>
  <si>
    <t>10031MD_C1S_Azure_mkpf_txt_p_prdabnap03</t>
  </si>
  <si>
    <t>MATDOC</t>
  </si>
  <si>
    <t>1. New Records:    
o Use MATDOC-CPUDT (and optionally MATDOC-CPUTM) to identify newly created transactional records.  
o Set CPUDT to the batch job execution date (or timestamp &gt;= last successful delta extraction). 
2. Changed Records:   
o Not Applicable for MATDOC</t>
  </si>
  <si>
    <t>03201MD_Pricing_C1_SpecificDocumentGroup</t>
  </si>
  <si>
    <t>Table-/CCEJ/TZKTFI0092 Delta Daily record- Check ZERSDA = Todays date and fetch deltaChange or Updated- check ZUPDAT = Todays Date and fetch data and update record with changes Time updated:- check ZUPTIM= Todays time</t>
  </si>
  <si>
    <t>03202MD_Pricing_C1_SpecificDocumentMaterial</t>
  </si>
  <si>
    <t>Table-/CCEJ/TZKTFI0091 Delta Daily record- Check ZERSDA = Todays date and fetch deltaChange or Updated- check ZUPDAT = Todays Date and fetch data and update record with changes Time updated:- check ZUPTIM= Todays time</t>
  </si>
  <si>
    <t>BST_C1Ph2_FTD_001.plan</t>
  </si>
  <si>
    <t>05434MD_SAP_MySQL_DB2_PLAS_prdabnap03</t>
  </si>
  <si>
    <t>Time updated:- check ZUPTIM= Todays time</t>
  </si>
  <si>
    <t>05435MD_SAP_MySQL_DB2_PLPO_prdabnap03</t>
  </si>
  <si>
    <t>1. AEDAT &gt;= last_run_date
2.AEDAT&lt;= current_run_date</t>
  </si>
  <si>
    <t>R00015D_SUPER_DAIWA_SALES_REPORT</t>
  </si>
  <si>
    <t>VBRK ,VBRP&amp; VBFA( VBFA-STUFE is dropped)</t>
  </si>
  <si>
    <t>VBRK VBAK  VBPA VBRP
o	Use VBRK-ERDAT/VBAK-ERDAT to identify newly created records.
o	Set ERDAT to the batch job execution date.
o	Find corresponding new records for VBRP and VBPA
Changed Records VBRK VBAK  VBPA VBRP
o	Use table CDHDR with the following selection criteria:
	OBJECTCLAS = FAKTBELEG for VBRK and OBJECTCLAS = VERKBELEG for VBAK
	UDATE = Batch job execution date
o	Retrieve all CDHDR-OBJECTID values. These represent the relevant DOCUMENT NO values.
o	Use these DOCUMENT NO values to identify the corresponding records in VBPA/VBRP for the delta load.</t>
  </si>
  <si>
    <t>10023MD_C1S_Azure_eban_txt_p_prdabnap03</t>
  </si>
  <si>
    <t>05426MD_SAP_MySQL_DB2_STKO_prdabnap03</t>
  </si>
  <si>
    <t>o</t>
  </si>
  <si>
    <t>Set ERDAT to the batch job execution date.</t>
  </si>
  <si>
    <t>10026MD_C1S_Azure_ekpo_txt_p_prdabnap03</t>
  </si>
  <si>
    <t>05436MD_SAP_MySQL_DB2_MAST_prdabnap03</t>
  </si>
  <si>
    <t>00118TA_C1_DAIWA_ORDERINFO</t>
  </si>
  <si>
    <t>Changed Records VBRK VBAK  VBPA VBRP</t>
  </si>
  <si>
    <t>H00004D_SIHANA_v_c1_sr_material_new_prdabnap03</t>
  </si>
  <si>
    <t>Use table CDHDR with the following selection criteria:</t>
  </si>
  <si>
    <t>05425MD_SAP_MySQL_DB2_PLKO_prdabnap03</t>
  </si>
  <si>
    <t>1. ANDAT &gt;= :last_run_date AND AEDAT = DATE
2. AEDAT &gt;= :last_run_date</t>
  </si>
  <si>
    <t>bellow is non relevant... not sure, who has updated
OBJECTCLAS = FAKTBELEG for VBRK and OBJECTCLAS = VERKBELEG for VBAK</t>
  </si>
  <si>
    <t>H00003D_SIHANA_v_c1_sr_employee</t>
  </si>
  <si>
    <t></t>
  </si>
  <si>
    <t>UDATE = Batch job execution date</t>
  </si>
  <si>
    <t>R00014D_Azure_CCCJC_COMPASS_SALES_REPORT_prdabnap03</t>
  </si>
  <si>
    <t>Retrieve all CDHDR-OBJECTID values. These represent the relevant DOCUMENT NO values.</t>
  </si>
  <si>
    <t>00297TA_C1_NH_Proformat_RushOrder_last</t>
  </si>
  <si>
    <t>Use these DOCUMENT NO values to identify the corresponding records in VBAK/VBRK for the delta load.</t>
  </si>
  <si>
    <t>00297TA_C1_NH_Proformat_RushOrder</t>
  </si>
  <si>
    <t>00035MD_SAP_Mail_FS_SET_PRICE_NOTIFICATION_COUNT</t>
  </si>
  <si>
    <t>05113MD_C1_MySQL_InvoiceNumber</t>
  </si>
  <si>
    <t>10021MD_C1S_Azure_bsak_txt_p_prdabnap03</t>
  </si>
  <si>
    <t>Table -BSAK : Pass BUKRS and check CPUDT = Today Date and fetch data</t>
  </si>
  <si>
    <t>BST_IVP_SAP_QRDATA</t>
  </si>
  <si>
    <t>05263MD_SAP_MySQL_DB2_ZAPO_WTADDI_prdabnap03</t>
  </si>
  <si>
    <t>AB_JOBREQ_9084(getPriceDaiwa)</t>
  </si>
  <si>
    <t>05236MD_SAP_MySQL_DB2_CEPCT</t>
  </si>
  <si>
    <t>10036MD_C1S_Azure_rseg_txt_p_prdabnap03</t>
  </si>
  <si>
    <t>10025MD_C1S_Azure_ekko_txt_p_prdabnap03</t>
  </si>
  <si>
    <t>05241MD_SAP_MySQL_DB2_PRPS</t>
  </si>
  <si>
    <t>PS</t>
  </si>
  <si>
    <t>R00006D_Azure_JRWB_TRIPLE_CHECK_REPORT</t>
  </si>
  <si>
    <t>KNA1</t>
  </si>
  <si>
    <t>R00048D_JRWB_SALES_INFO_TO_Azure_prdabnap03</t>
  </si>
  <si>
    <t>MLAN</t>
  </si>
  <si>
    <t>R00011D_Azure_VM_CUP_ALLOCATION_REPORT_prdabnap03</t>
  </si>
  <si>
    <t>05440MD_SAP_MySQL_DB2_CRHD_prdabnap03</t>
  </si>
  <si>
    <t>1. Last modification date (AEDAT) is greater than or equal to last extraction date, and the time stamping(AEZTM) if running multiple loads per day.
2.Match CRHD.OBJID with CDPOS.OBJECTID where CDPOS.TABNAME = 'CRHD' and filter by CDHDR.UDATE for the delta date range."</t>
  </si>
  <si>
    <t>05238MD_SAP_MySQL_DB2_CEPC</t>
  </si>
  <si>
    <t>05237MD_SAP_MySQL_DB2_CEPC_BUKRS</t>
  </si>
  <si>
    <t>10033MD_C1S_Azure_rbkp_txt_p_prdabnap03</t>
  </si>
  <si>
    <t>VMD_C1NH_Start_Truck_Inventory_NoBBD_02</t>
  </si>
  <si>
    <t>VMD_C1NH_Start_Truck_Inventory_NoBBD_03</t>
  </si>
  <si>
    <t>VMD_C1NH_Start_Truck_Inventory_NoBBD_Check</t>
  </si>
  <si>
    <t>VMD_C1NH_Start_Truck_Inventory_NoBBD_Last</t>
  </si>
  <si>
    <t>05001TA_C1_NH_VisitSequence_CHECK</t>
  </si>
  <si>
    <t>VMD_C1NH_Start_Truck_Inventory_NoBBD_01</t>
  </si>
  <si>
    <t>H00005D_SIHANA_v_c1_sr_route_extension_prdabnap03</t>
  </si>
  <si>
    <t>05096TA_C1_DENPATSU_Dispatch_route_CHECK</t>
  </si>
  <si>
    <t>05096TA_C1_DENPATSU_Dispatch_route</t>
  </si>
  <si>
    <t>10024MD_C1S_Azure_ebkn_txt_p_prdabnap03</t>
  </si>
  <si>
    <t>05441TA_PP2_Handle_Data_SAP_Preload</t>
  </si>
  <si>
    <t>05456_C1_NH_Preload(MM048001)</t>
  </si>
  <si>
    <t>05001TA_C1_NH_VisitSequence</t>
  </si>
  <si>
    <t>05457MD_SAP_MySQL_DB2_T001W_prdabnap03</t>
  </si>
  <si>
    <t>AB_JOBREQ_9182(05034MD_ECC_SFDC_getPTPinfo)</t>
  </si>
  <si>
    <t>03207MD_TVOSS_ECC_Visit_list_Inbound_from_CCW</t>
  </si>
  <si>
    <t>03209MD_TVOSS_ECC_Visit_list_Inbound_from_NEW_TVOSS</t>
  </si>
  <si>
    <t>AB_JOBREQ_9082(05034MD_ECC_SFDC_getPTPinfo)</t>
  </si>
  <si>
    <t>05223TA_Infomart_C1_Order_Shipping</t>
  </si>
  <si>
    <t>R00010A_Azure_SUMMARY_INVOICE_prdabnap03</t>
  </si>
  <si>
    <t>Table - EDIDC 
New Record
Check IDOCTP (BasicType) = /CCEJ/RTR_AR_INV_SUM and,
STDMES (MsgType) = /CCEJ/RTR_AR_INV_SUM 
and pass CREDAT= Today date and fetch the record
Updated Record
Check IDOCTP (BasicType) = /CCEJ/RTR_AR_INV_SUM and,
STDMES (MsgType) = /CCEJ/RTR_AR_INV_SUM 
and pass UPDDAT= Today date and fetch the record</t>
  </si>
  <si>
    <t>05266MD_Infomart_SAP_Mail_Address</t>
  </si>
  <si>
    <t>03151TA_C1_MySQL_Monitoring_Tool_Shipment_Idoc_Compare</t>
  </si>
  <si>
    <t>05260MD_SAP_MySQL_DB2_T134T_prdabnap03</t>
  </si>
  <si>
    <t>03199MD_PricingTool_C1_Contract_Group</t>
  </si>
  <si>
    <t>04212MD_C1_MySQL_FF_DB2_TZKTSD0035</t>
  </si>
  <si>
    <t>05116MD_Infomart_C1_RegistrationNumber</t>
  </si>
  <si>
    <t>04211MD_C1_MySQL_FF_DB2_TZKTFI0006</t>
  </si>
  <si>
    <t>05027TA_SFDC003_PRPO_2355</t>
  </si>
  <si>
    <t>05265MD_SAP_MySQL_DB2_SCL_TMDM_BCATT_prdabnap03</t>
  </si>
  <si>
    <t>04210MA_C1_MySQL_FF_DB2_CUSTMST</t>
  </si>
  <si>
    <t>05431MD_SAP_MySQL_DB2_TVK7T_prdabnap03</t>
  </si>
  <si>
    <t>05442MD_SAP_MySQL_DB2_CCBJI_T_JDCDATA_prdabnap03</t>
  </si>
  <si>
    <t>04213MD_C1_MySQL_FF_DB2_TZKTSD0100</t>
  </si>
  <si>
    <t>03087TA_SFDC011_SundryAPR_2355</t>
  </si>
  <si>
    <t>05033TA_SFDC012_PettyCashManual_2355</t>
  </si>
  <si>
    <t>05432MD_SAP_MySQL_DB2_TVK6T_prdabnap03</t>
  </si>
  <si>
    <t>03110MA_C1_MySQL_DB2_CCEJ_TZKTSD0005</t>
  </si>
  <si>
    <t>05262MD_SAP_MySQL_DB2_SCL_TMDM_BCAT_prdabnap03</t>
  </si>
  <si>
    <t>05428MD_SAP_MySQL_DB2_TVK7_Prdabnap03</t>
  </si>
  <si>
    <t>05028TA_SFDC005_PCM_FS_Inbound_Post_2355</t>
  </si>
  <si>
    <t>VMD_C1NH_Start_Truck_Inventory_Add_BBD_03</t>
  </si>
  <si>
    <t>VTTK/VBFA(STUFE Dropped)/LIKP/LIPS</t>
  </si>
  <si>
    <t>03113MA_C1_MySQL_DB2_CCEJ_H_KNVV</t>
  </si>
  <si>
    <t>05433MD_SAP_MySQL_DB2_TVK1T_prdabnap03</t>
  </si>
  <si>
    <t>03103MA_C1_MySQL_DB2_CCEJ_H_KNA1</t>
  </si>
  <si>
    <t>VMD_C1NH_Start_Truck_Inventory_Add_BBD_02</t>
  </si>
  <si>
    <t>VMD_C1NH_Start_Truck_Inventory_Add_BBD_Check</t>
  </si>
  <si>
    <t>03085TA_SFDC014_CH_ExtractSD_2355</t>
  </si>
  <si>
    <t>03118MA_C1_MySQL_DB2_CCEJ_TZKTFI0003</t>
  </si>
  <si>
    <t>VMD_C1NH_Start_Truck_Inventory_Add_BBD_01</t>
  </si>
  <si>
    <t>03127MA_C1_MySQL_DB2_CCEJ_TZKTSD0004</t>
  </si>
  <si>
    <t>05429MD_SAP_MySQL_DB2_TVK6_prdabnap03</t>
  </si>
  <si>
    <t>05430MD_SAP_MySQL_DB2_TVK1_prdabnap03</t>
  </si>
  <si>
    <t>03125MA_C1_MySQL_DB2_CCEJ_T_PLNT_DET</t>
  </si>
  <si>
    <t>05261MD_SAP_MySQL_DB2_SCL_OCT_SUBCAT_prdabnap03</t>
  </si>
  <si>
    <t>05061MD_MySQL_SFDC_CustomerMasterScheduledJob</t>
  </si>
  <si>
    <t>03105MA_C1_MySQL_DB2_CCEJ_TZKTSD0042</t>
  </si>
  <si>
    <t>05065TA_SFDC007_PCM_Manual_Reprocess_2355</t>
  </si>
  <si>
    <t>04217MA_C1_MySQL_IDOCMATERIAL</t>
  </si>
  <si>
    <t>05015MD_ECC_SFDC_Petty_Cash</t>
  </si>
  <si>
    <t>05029TA_SFDC006_PCM_Preinstallment_Post_2355</t>
  </si>
  <si>
    <t>05061MD_MySQL_SFDC_CustomerMasterScheduledJob_LASTOnly</t>
  </si>
  <si>
    <t>04215MA_C1_MySQL_IDOCVENDOR</t>
  </si>
  <si>
    <t>04216MA_C1_MySQL_IDOCEQUI</t>
  </si>
  <si>
    <t>05090TD_NH_ECC_Interface_for_FS_Commission_3316(M0416000)</t>
  </si>
  <si>
    <t>05090TD_NH_ECC_Interface_for_FS_Commission_3316(M0418000)</t>
  </si>
  <si>
    <t>05090TD_NH_ECC_Interface_for_FS_Commission_3316(M0430000)</t>
  </si>
  <si>
    <t>05090TD_NH_ECC_Interface_for_FS_Commission_3316(M0500000)</t>
  </si>
  <si>
    <t>05092TD_NH_ECC_PAYMENT_BLOCK_3316(M0417000)</t>
  </si>
  <si>
    <t>05249TA_Infomart_SAP_IDOC_Orderinfo_Sendai_prdabnap03</t>
  </si>
  <si>
    <t>05250TA_Infomart_SAP_IDOC_Orderinfo_Tone_prdabnap03</t>
  </si>
  <si>
    <t>05251TA_Infomart_SAP_IDOC_Orderinfo_Mikuni_prdabnap03</t>
  </si>
  <si>
    <t>05252TA_Infomart_SAP_IDOC_Orderinfo_Tokyo_prdabnap03</t>
  </si>
  <si>
    <t>05253TA_Infomart_SAP_IDOC_Orderinfo_Fuji_prdabnap03</t>
  </si>
  <si>
    <t>05254TA_Infomart_SAP_IDOC_Orderinfo_Chukyo_prdabnap03</t>
  </si>
  <si>
    <t>05255TA_Infomart_SAP_IDOC_Orderinfo_Kinki_prdabnap03</t>
  </si>
  <si>
    <t>05256TA_Infomart_SAP_IDOC_Orderinfo_Mikasa_prdabnap03</t>
  </si>
  <si>
    <t>05257TA_Infomart_SAP_IDOC_Orderinfo_Shikoku_prdabnap03</t>
  </si>
  <si>
    <t>05258TA_Infomart_SAP_IDOC_Orderinfo_CCW_prdabnap03</t>
  </si>
  <si>
    <t>05259TA_Infomart_SAP_IDOC_Orderinfo_Nankyu_prdabnap03</t>
  </si>
  <si>
    <t>05012MD_ECC_SFDC_RTR_Virtual_Bank_Account_SAP_to_SFDC</t>
  </si>
  <si>
    <t>05012MD_ECC_SFDC_RTR_Virtual_Bank_Account_SAP_to_SFDC_LAST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</si>
</sst>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0"/>
      <color theme="1"/>
      <name val="MS UI Gothic"/>
      <family val="2"/>
      <charset val="128"/>
    </font>
    <font>
      <b/>
      <sz val="10"/>
      <color rgb="FF000000"/>
      <name val="Arial Nova"/>
      <family val="2"/>
    </font>
    <font>
      <sz val="10"/>
      <color theme="1"/>
      <name val="Arial Nova"/>
      <family val="2"/>
    </font>
    <font>
      <sz val="10"/>
      <color theme="1"/>
      <name val="Aptos Display"/>
      <family val="2"/>
      <scheme val="major"/>
    </font>
    <font>
      <b/>
      <sz val="10"/>
      <color rgb="FF000000"/>
      <name val="Aptos Display"/>
      <family val="2"/>
      <scheme val="major"/>
    </font>
    <font>
      <sz val="10"/>
      <color theme="1"/>
      <name val="Aptos Narrow"/>
      <family val="2"/>
      <scheme val="minor"/>
    </font>
    <font>
      <strike/>
      <sz val="10"/>
      <color rgb="FF000000"/>
      <name val="Arial Nova"/>
      <family val="2"/>
    </font>
    <font>
      <sz val="10"/>
      <color rgb="FFFF0000"/>
      <name val="Arial Nova"/>
      <family val="2"/>
    </font>
    <font>
      <b/>
      <i/>
      <sz val="10"/>
      <color theme="1"/>
      <name val="Aptos Narrow"/>
      <family val="2"/>
      <scheme val="minor"/>
    </font>
    <font>
      <sz val="9"/>
      <color rgb="FF000000"/>
      <name val="Aptos Narrow"/>
      <family val="2"/>
      <scheme val="minor"/>
    </font>
    <font>
      <b/>
      <sz val="10"/>
      <color rgb="FFFF0000"/>
      <name val="Aptos Narrow"/>
      <family val="2"/>
      <scheme val="minor"/>
    </font>
    <font>
      <sz val="11"/>
      <color rgb="FF000000"/>
      <name val="Aptos Narrow"/>
    </font>
    <font>
      <sz val="11"/>
      <color rgb="FF000000"/>
      <name val="Aptos Narrow"/>
      <family val="2"/>
    </font>
  </fonts>
  <fills count="6">
    <fill>
      <patternFill patternType="none"/>
    </fill>
    <fill>
      <patternFill patternType="gray125"/>
    </fill>
    <fill>
      <patternFill patternType="solid">
        <fgColor rgb="FF87E7AD"/>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lignment vertical="center"/>
    </xf>
  </cellStyleXfs>
  <cellXfs count="32">
    <xf numFmtId="0" fontId="0" fillId="0" borderId="0" xfId="0"/>
    <xf numFmtId="0" fontId="4" fillId="0" borderId="0" xfId="0" applyFont="1" applyAlignment="1">
      <alignment horizontal="center" vertical="center"/>
    </xf>
    <xf numFmtId="49" fontId="5" fillId="2" borderId="1" xfId="1" applyNumberFormat="1" applyFont="1" applyFill="1" applyBorder="1" applyAlignment="1">
      <alignment horizontal="center" vertical="center"/>
    </xf>
    <xf numFmtId="49" fontId="2" fillId="2" borderId="1" xfId="1" applyNumberFormat="1" applyFont="1" applyFill="1" applyBorder="1" applyAlignment="1">
      <alignment horizontal="center" vertical="center" wrapText="1"/>
    </xf>
    <xf numFmtId="49" fontId="2" fillId="2" borderId="1" xfId="1" applyNumberFormat="1" applyFont="1" applyFill="1" applyBorder="1" applyAlignment="1">
      <alignment horizontal="center" vertical="center"/>
    </xf>
    <xf numFmtId="0" fontId="3" fillId="0" borderId="2" xfId="0" applyFont="1" applyBorder="1" applyAlignment="1">
      <alignment vertical="center"/>
    </xf>
    <xf numFmtId="0" fontId="3" fillId="0" borderId="2" xfId="0" applyFont="1" applyBorder="1" applyAlignment="1">
      <alignment vertical="center" wrapText="1"/>
    </xf>
    <xf numFmtId="0" fontId="6" fillId="0" borderId="0" xfId="0" applyFont="1"/>
    <xf numFmtId="3" fontId="6" fillId="0" borderId="0" xfId="0" applyNumberFormat="1" applyFont="1"/>
    <xf numFmtId="0" fontId="6" fillId="4" borderId="0" xfId="0" applyFont="1" applyFill="1"/>
    <xf numFmtId="0" fontId="9" fillId="3" borderId="0" xfId="0" applyFont="1" applyFill="1"/>
    <xf numFmtId="3" fontId="5" fillId="2" borderId="1" xfId="1" applyNumberFormat="1" applyFont="1" applyFill="1" applyBorder="1" applyAlignment="1">
      <alignment horizontal="center" vertical="center" wrapText="1"/>
    </xf>
    <xf numFmtId="0" fontId="6" fillId="5" borderId="0" xfId="0" applyFont="1" applyFill="1"/>
    <xf numFmtId="0" fontId="9" fillId="0" borderId="0" xfId="0" applyFont="1"/>
    <xf numFmtId="0" fontId="6" fillId="0" borderId="0" xfId="0" applyFont="1" applyAlignment="1">
      <alignment wrapText="1"/>
    </xf>
    <xf numFmtId="49" fontId="5" fillId="2" borderId="1" xfId="1" applyNumberFormat="1" applyFont="1" applyFill="1" applyBorder="1" applyAlignment="1">
      <alignment horizontal="center" vertical="center" wrapText="1"/>
    </xf>
    <xf numFmtId="0" fontId="3" fillId="0" borderId="3" xfId="0" applyFont="1" applyBorder="1" applyAlignment="1">
      <alignment vertical="center"/>
    </xf>
    <xf numFmtId="0" fontId="3" fillId="0" borderId="4" xfId="0" applyFont="1" applyBorder="1" applyAlignment="1">
      <alignment vertical="center"/>
    </xf>
    <xf numFmtId="0" fontId="3" fillId="0" borderId="1" xfId="0" applyFont="1" applyBorder="1" applyAlignment="1">
      <alignment vertical="center"/>
    </xf>
    <xf numFmtId="0" fontId="6" fillId="0" borderId="1" xfId="0" applyFont="1" applyBorder="1"/>
    <xf numFmtId="0" fontId="6" fillId="0" borderId="1" xfId="0" applyFont="1" applyBorder="1" applyAlignment="1">
      <alignment wrapText="1"/>
    </xf>
    <xf numFmtId="0" fontId="6" fillId="4" borderId="1" xfId="0" applyFont="1" applyFill="1" applyBorder="1"/>
    <xf numFmtId="0" fontId="3" fillId="3" borderId="1" xfId="0" applyFont="1" applyFill="1" applyBorder="1" applyAlignment="1">
      <alignment vertical="center"/>
    </xf>
    <xf numFmtId="0" fontId="3" fillId="0" borderId="5" xfId="0" applyFont="1" applyBorder="1" applyAlignment="1">
      <alignment vertical="center"/>
    </xf>
    <xf numFmtId="0" fontId="6" fillId="0" borderId="5" xfId="0" applyFont="1" applyBorder="1"/>
    <xf numFmtId="0" fontId="6" fillId="0" borderId="5" xfId="0" applyFont="1" applyBorder="1" applyAlignment="1">
      <alignment wrapText="1"/>
    </xf>
    <xf numFmtId="0" fontId="6" fillId="0" borderId="1" xfId="0" applyFont="1" applyBorder="1" applyAlignment="1">
      <alignment vertical="top" wrapText="1"/>
    </xf>
    <xf numFmtId="0" fontId="0" fillId="0" borderId="0" xfId="0" applyAlignment="1">
      <alignment wrapText="1"/>
    </xf>
    <xf numFmtId="0" fontId="12" fillId="0" borderId="0" xfId="0" applyFont="1" applyAlignment="1">
      <alignment wrapText="1"/>
    </xf>
    <xf numFmtId="0" fontId="13" fillId="0" borderId="0" xfId="0" applyFont="1"/>
    <xf numFmtId="0" fontId="10" fillId="0" borderId="0" xfId="0" applyFont="1" applyAlignment="1">
      <alignment horizontal="left" wrapText="1"/>
    </xf>
    <xf numFmtId="0" fontId="6" fillId="0" borderId="0" xfId="0" applyFont="1" applyAlignment="1">
      <alignment horizontal="left"/>
    </xf>
  </cellXfs>
  <cellStyles count="2">
    <cellStyle name="Normal" xfId="0" builtinId="0"/>
    <cellStyle name="Normal 3" xfId="1" xr:uid="{133FA758-A7B7-43CE-AA98-BC61FC71305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Interface%20Repository/Final%20Master%20Interfaces%20List_Jun%2018.xlsx" TargetMode="External"/><Relationship Id="rId2" Type="http://schemas.openxmlformats.org/officeDocument/2006/relationships/externalLinkPath" Target="https://ccbji-my.sharepoint.com/personal/dbbk_axcel01_ccbji_co_jp/Documents/Clean%20Core/03.%20S4%20Transition/02.%20Lift/06.%20IF/Interface%20Repository/Final%20Master%20Interfaces%20List_Jun%2018.xlsx" TargetMode="External"/><Relationship Id="rId1" Type="http://schemas.openxmlformats.org/officeDocument/2006/relationships/externalLinkPath" Target="/personal/dbbk_axcel01_ccbji_co_jp/Documents/Clean%20Core/03.%20S4%20Transition/02.%20Lift/06.%20IF/Interface%20Repository/Final%20Master%20Interfaces%20List_Jun%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ivot Summary"/>
      <sheetName val="Platform Summary"/>
      <sheetName val="App Summary"/>
      <sheetName val="BSL Feedback"/>
      <sheetName val="BSL Testing Feedback"/>
      <sheetName val="1a. App Inventory"/>
      <sheetName val="2b. Abinitio IF (Backup)"/>
      <sheetName val="Summary Old"/>
      <sheetName val="Weekly Progress"/>
      <sheetName val="Daily Summary (2)"/>
      <sheetName val="Summary"/>
      <sheetName val="Summary_2"/>
      <sheetName val="ToDo"/>
      <sheetName val="1. PI IF"/>
      <sheetName val="2. Abinitio IF"/>
      <sheetName val="4. PI Abinitio"/>
      <sheetName val="3. Boomi IF"/>
      <sheetName val="PI-Abinitio (BST)"/>
      <sheetName val="PI-ABinitio List"/>
      <sheetName val="VMA Check"/>
      <sheetName val="BST Check"/>
      <sheetName val="Check"/>
      <sheetName val="PI x Abinitio Check"/>
      <sheetName val="Naming Standards"/>
      <sheetName val="2a. AbInitio_IF Long"/>
      <sheetName val="Package Name"/>
      <sheetName val="Inactive IF"/>
      <sheetName val="Abinitio IF Details"/>
      <sheetName val="PI &amp; Boomi IF"/>
      <sheetName val="Action"/>
      <sheetName val="Abinitio IF Long Old"/>
      <sheetName val="Sheet1"/>
      <sheetName val="App x Interface"/>
      <sheetName val="Platform x App"/>
      <sheetName val="SI Data Check"/>
      <sheetName val="AMS Job List"/>
      <sheetName val="Sheet16"/>
      <sheetName val="Sheet2"/>
      <sheetName val="List"/>
      <sheetName val="Reporting⇒"/>
      <sheetName val="Issue List"/>
      <sheetName val="PIC Details"/>
      <sheetName val="Old_Overall Summary"/>
      <sheetName val="Weekly Progress Summary"/>
      <sheetName val="Daily Summary"/>
      <sheetName val="Sheet4"/>
      <sheetName val="Weekly Summary"/>
      <sheetName val="Sheet3"/>
      <sheetName val="Planned vs Actual (Graphs)"/>
      <sheetName val="Sheet5"/>
      <sheetName val="Sheet6"/>
      <sheetName val="Sheet7"/>
      <sheetName val="Integration Pl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C3" t="str">
            <v>Ab-initio Job Name</v>
          </cell>
          <cell r="AY3" t="str">
            <v>Data Type
(Master or Transactional)</v>
          </cell>
          <cell r="BA3" t="str">
            <v>Volume (No of records)</v>
          </cell>
          <cell r="BG3" t="str">
            <v>Comments</v>
          </cell>
        </row>
        <row r="4">
          <cell r="C4" t="str">
            <v>00101_MST_In_Item</v>
          </cell>
          <cell r="AY4" t="str">
            <v>Master</v>
          </cell>
          <cell r="BG4" t="str">
            <v>/CCEJ/TZKTSD0100
/CCEJ/TZKTFI0006
/CCEJ/TZKTSD0035</v>
          </cell>
        </row>
        <row r="5">
          <cell r="C5" t="str">
            <v>00200_TRN_Out_StockTransferOrder</v>
          </cell>
          <cell r="AY5" t="str">
            <v>Transactional</v>
          </cell>
          <cell r="BG5" t="str">
            <v>BasicType=/CCEJ/HHTINB01_CORR
MsgType=/CCEJ/HHTINB_CORRECTION
BasicType=/CCEJ/ADD_LOAD
MsgType=/CCEJ/ADDITIONAL_LOAD
BasicType=/CCEJ/HHTINB01
MsgType=/CCEJ/HHTINB</v>
          </cell>
        </row>
        <row r="6">
          <cell r="C6" t="str">
            <v>00200_TRN_Out_StockTransferOrder_1</v>
          </cell>
          <cell r="AY6" t="str">
            <v>Transactional</v>
          </cell>
          <cell r="BG6" t="str">
            <v>EDIDC/EDID4
BasicType=ORDERS05
Extension=/CCEJ/ORDERS05_01
MsgType=/CCEJ/OTC_ORDRSP</v>
          </cell>
        </row>
        <row r="7">
          <cell r="C7" t="str">
            <v>00400_MST_In_Channel</v>
          </cell>
          <cell r="AY7" t="str">
            <v>Master</v>
          </cell>
          <cell r="BG7" t="str">
            <v>EDIDC/EDID4
BasicType=/CCEJ/SD_BL_PROF_IDOC_CCEJ
MsgType=/CCEJ/OTC_BL_PROFORMA_INV</v>
          </cell>
        </row>
        <row r="8">
          <cell r="C8" t="str">
            <v>02900_MST_In_LotExpiryDate</v>
          </cell>
          <cell r="AY8" t="str">
            <v>Master</v>
          </cell>
          <cell r="BG8" t="str">
            <v>EDIDC/EDID4
BasicType=/CCEJ/SD_BL_PROF_IDOC_CCEJ
MsgType=/CCEJ/OTC_BL_PROFORMA_INV</v>
          </cell>
        </row>
        <row r="9">
          <cell r="C9" t="str">
            <v>03500_TRN_In_ActualData_week</v>
          </cell>
          <cell r="AY9" t="str">
            <v>Transactional</v>
          </cell>
          <cell r="BG9" t="str">
            <v>EDIDC/EDID4
BasicType=ORDERS02
Extension=/CCEJ/ORDERS02_FVC
MsgType=/CCEJ/ORDERS_FVC</v>
          </cell>
        </row>
        <row r="10">
          <cell r="C10" t="str">
            <v>03500_TRN_In_ActualData_week_1</v>
          </cell>
          <cell r="AY10" t="str">
            <v>Transactional</v>
          </cell>
          <cell r="BG10" t="str">
            <v>EDIDC/EDID4
BasicType=/CCEJ/WMMBID02_FVC1
MsgType=/CCEJ/GR_FVC</v>
          </cell>
        </row>
        <row r="11">
          <cell r="C11" t="str">
            <v>04100_TRN_In_SalesOrderCommit</v>
          </cell>
          <cell r="AY11" t="str">
            <v>Transactional</v>
          </cell>
          <cell r="BG11" t="str">
            <v>EDIDC/EDID4
BasicType=/CCEJ/WMMBID02_FVC_RET
MsgType=/CCEJ/RETURN_FVC</v>
          </cell>
        </row>
        <row r="12">
          <cell r="C12" t="str">
            <v>04300_TRN_In_OnHands</v>
          </cell>
          <cell r="AY12" t="str">
            <v>Transactional</v>
          </cell>
          <cell r="BG12" t="str">
            <v>AcctngDocument.Check
AcctngDocument.Post</v>
          </cell>
        </row>
        <row r="13">
          <cell r="C13" t="str">
            <v>04400_TRN_In_PrODetail</v>
          </cell>
          <cell r="AY13" t="str">
            <v>Transactional</v>
          </cell>
          <cell r="BG13" t="str">
            <v>FI_DOCUMENT_READ
AcctngDocument.Check
AcctngDocument.Post
AcctngDocument.CheckReversal</v>
          </cell>
        </row>
        <row r="14">
          <cell r="C14" t="str">
            <v>04500_TRN_In_PurchaseOrdersLineCommit</v>
          </cell>
          <cell r="AY14" t="str">
            <v>Transactional</v>
          </cell>
          <cell r="BG14" t="str">
            <v>RFC_READ_TABLE</v>
          </cell>
        </row>
        <row r="15">
          <cell r="C15" t="str">
            <v>04700_TRN_In_STOLineDetail</v>
          </cell>
          <cell r="AY15" t="str">
            <v>Transactional</v>
          </cell>
          <cell r="BG15" t="str">
            <v>BAPI_SALESDOCU_CREATEFROMDATA1</v>
          </cell>
        </row>
        <row r="16">
          <cell r="C16" t="str">
            <v>05600_TRN_In_ItemPurchaseCost</v>
          </cell>
          <cell r="AY16" t="str">
            <v>Master</v>
          </cell>
          <cell r="BG16" t="str">
            <v>AcctngDocument.Post
AcctngDocument.Check</v>
          </cell>
        </row>
        <row r="17">
          <cell r="C17" t="str">
            <v>12202_TRN_In_ActualData</v>
          </cell>
          <cell r="AY17" t="str">
            <v>Transactional</v>
          </cell>
          <cell r="BG17" t="str">
            <v>/CCEJ/H_KNA1</v>
          </cell>
        </row>
        <row r="18">
          <cell r="C18" t="str">
            <v>14500_TRN_In_ZZAPOForecast</v>
          </cell>
          <cell r="AY18" t="str">
            <v>Transactional</v>
          </cell>
          <cell r="BG18" t="str">
            <v>/CCEJ/TZKTMM0107</v>
          </cell>
        </row>
        <row r="19">
          <cell r="C19" t="str">
            <v>14700_TRN_In_OnHands_JDC</v>
          </cell>
          <cell r="AY19" t="str">
            <v>Transactional</v>
          </cell>
          <cell r="BG19" t="str">
            <v>/CCEJ/TZKTSD0042</v>
          </cell>
        </row>
        <row r="20">
          <cell r="C20" t="str">
            <v>19002_TRN_In_SalesOrderCommitEOS</v>
          </cell>
          <cell r="AY20" t="str">
            <v>Transactional</v>
          </cell>
          <cell r="BG20" t="str">
            <v>/CCEJ/TZKTSD0106</v>
          </cell>
        </row>
        <row r="21">
          <cell r="C21" t="str">
            <v>AB_JOBREQ_APO_9070</v>
          </cell>
          <cell r="BG21" t="str">
            <v>/CCEJ/TZKTSD0084</v>
          </cell>
        </row>
        <row r="22">
          <cell r="C22" t="str">
            <v>AB_JOBREQ_APO_9170</v>
          </cell>
          <cell r="BG22" t="str">
            <v>/CCEJ/ZKTSD0104</v>
          </cell>
        </row>
        <row r="23">
          <cell r="C23" t="str">
            <v>AXL_ActualData_week_ym</v>
          </cell>
          <cell r="AY23" t="str">
            <v>Transactional</v>
          </cell>
          <cell r="BG23" t="str">
            <v>/CCEJ/TZKTSD0003</v>
          </cell>
        </row>
        <row r="24">
          <cell r="C24" t="str">
            <v>05112MD_NationalTaxAgency_C1_InvoiceNumber</v>
          </cell>
          <cell r="AY24" t="str">
            <v>Transactional</v>
          </cell>
          <cell r="BG24" t="str">
            <v>/CCBJI/T_JCTINVR</v>
          </cell>
        </row>
        <row r="25">
          <cell r="C25" t="str">
            <v>05112MD_NationalTaxAgency_C1_InvoiceNumber_Diff</v>
          </cell>
          <cell r="AY25" t="str">
            <v>Master</v>
          </cell>
          <cell r="BA25">
            <v>5115586</v>
          </cell>
          <cell r="BG25" t="str">
            <v>/CCBJI/T_JCTINVR</v>
          </cell>
        </row>
        <row r="26">
          <cell r="C26" t="str">
            <v>03207MD_TVOSS_ECC_Visit_list_Inbound_from_CCW</v>
          </cell>
          <cell r="AY26" t="str">
            <v>Transactional</v>
          </cell>
          <cell r="BA26">
            <v>1163</v>
          </cell>
          <cell r="BG26" t="str">
            <v>BasicType=/DSD/VC_VL_CHANGEFROMDATA01
MsgType=/DSD/VC_VL_CHANGEFROMDATA</v>
          </cell>
        </row>
        <row r="27">
          <cell r="C27" t="str">
            <v>03209MD_TVOSS_ECC_Visit_list_Inbound_from_NEW_TVOSS</v>
          </cell>
          <cell r="AY27" t="str">
            <v>Transactional</v>
          </cell>
          <cell r="BA27">
            <v>935</v>
          </cell>
          <cell r="BG27" t="str">
            <v>BasicType=/DSD/VC_VL_CHANGEFROMDATA01
MsgType=/DSD/VC_VL_CHANGEFROMDATA</v>
          </cell>
        </row>
        <row r="28">
          <cell r="C28" t="str">
            <v>AB_JOBREQ_9084(getPriceDaiwa)</v>
          </cell>
          <cell r="AY28" t="str">
            <v>Transactional</v>
          </cell>
          <cell r="BA28">
            <v>27425</v>
          </cell>
          <cell r="BG28" t="str">
            <v>BAPI_SALESORDER_SIMULATE</v>
          </cell>
        </row>
        <row r="29">
          <cell r="C29" t="str">
            <v>AB_JOBREQ_9184(getPriceDaiwa)</v>
          </cell>
          <cell r="AY29" t="str">
            <v>Transactional</v>
          </cell>
          <cell r="BG29" t="str">
            <v>BAPI_SALESORDER_SIMULATE</v>
          </cell>
        </row>
        <row r="30">
          <cell r="C30" t="str">
            <v>AB_JOBREQ_9082(05034MD_ECC_SFDC_getPTPinfo)</v>
          </cell>
          <cell r="BA30">
            <v>903</v>
          </cell>
          <cell r="BG30" t="str">
            <v>BAPI_SOURCEDETERMIN_GETSOS
BAPI_VENDOR_GETDETAIL
RFC_READ_TABLE</v>
          </cell>
        </row>
        <row r="31">
          <cell r="C31" t="str">
            <v>AB_JOBREQ_9182(05034MD_ECC_SFDC_getPTPinfo)</v>
          </cell>
          <cell r="BA31">
            <v>1972</v>
          </cell>
          <cell r="BG31" t="str">
            <v>BAPI_SOURCEDETERMIN_GETSOS
BAPI_VENDOR_GETDETAIL
RFC_READ_TABLE</v>
          </cell>
        </row>
        <row r="32">
          <cell r="C32" t="str">
            <v>03081TA_SFDC001_SundryAP_2355</v>
          </cell>
          <cell r="AY32" t="str">
            <v>Transactional</v>
          </cell>
          <cell r="BG32" t="str">
            <v>AcctngDocument.Check
AcctngDocument.Post</v>
          </cell>
        </row>
        <row r="33">
          <cell r="C33" t="str">
            <v>03082TA_SFDC002_SundryAR_2355</v>
          </cell>
          <cell r="AY33" t="str">
            <v>Transactional</v>
          </cell>
          <cell r="BG33" t="str">
            <v>FI_DOCUMENT_READ
AcctngDocument.Check
AcctngDocument.Post
AcctngDocument.CheckReversal</v>
          </cell>
        </row>
        <row r="34">
          <cell r="C34" t="str">
            <v>03085TA_SFDC014_CH_ExtractSD_2355</v>
          </cell>
          <cell r="AY34" t="str">
            <v>Transactional</v>
          </cell>
          <cell r="BA34">
            <v>33</v>
          </cell>
          <cell r="BG34" t="str">
            <v>RFC_READ_TABLE</v>
          </cell>
        </row>
        <row r="35">
          <cell r="C35" t="str">
            <v>03086TA_SFDC013_CH_CreateSD_2355
03086TA_SFDC013_CH_Request_2355</v>
          </cell>
          <cell r="AY35" t="str">
            <v>Transactional</v>
          </cell>
          <cell r="BG35" t="str">
            <v>BAPI_SALESDOCU_CREATEFROMDATA1</v>
          </cell>
        </row>
        <row r="36">
          <cell r="C36" t="str">
            <v>03087TA_SFDC011_SundryAPR_2355</v>
          </cell>
          <cell r="AY36" t="str">
            <v>Transactional</v>
          </cell>
          <cell r="BA36">
            <v>92</v>
          </cell>
          <cell r="BG36" t="str">
            <v>AcctngDocument.Post
AcctngDocument.Check</v>
          </cell>
        </row>
        <row r="37">
          <cell r="C37" t="str">
            <v>05027TA_SFDC003_PRPO_2355</v>
          </cell>
          <cell r="AY37" t="str">
            <v>Transactional</v>
          </cell>
          <cell r="BA37">
            <v>244</v>
          </cell>
          <cell r="BG37" t="str">
            <v>RFC_READ_TABLE
PurchaseOrder.CreateFromData1
PurchaseOrder.Change</v>
          </cell>
        </row>
        <row r="38">
          <cell r="C38" t="str">
            <v>05028TA_SFDC005_PCM_FS_Inbound_Post_2355</v>
          </cell>
          <cell r="AY38" t="str">
            <v>Transactional</v>
          </cell>
          <cell r="BA38">
            <v>43</v>
          </cell>
          <cell r="BG38" t="str">
            <v>BAPI_ACC_DOCUMENT_POST</v>
          </cell>
        </row>
        <row r="39">
          <cell r="C39" t="str">
            <v>05029TA_SFDC006_PCM_Preinstallment_Post_2355</v>
          </cell>
          <cell r="AY39" t="str">
            <v>Transactional</v>
          </cell>
          <cell r="BA39">
            <v>3</v>
          </cell>
          <cell r="BG39" t="str">
            <v>BAPI_ACC_DOCUMENT_POST</v>
          </cell>
        </row>
        <row r="40">
          <cell r="C40" t="str">
            <v>05033TA_SFDC012_PettyCashManual_2355</v>
          </cell>
          <cell r="AY40" t="str">
            <v>Transactional</v>
          </cell>
          <cell r="BA40">
            <v>63</v>
          </cell>
          <cell r="BG40" t="str">
            <v>BAPI_ACC_DOCUMENT_POST</v>
          </cell>
        </row>
        <row r="41">
          <cell r="C41" t="str">
            <v>05065TA_SFDC007_PCM_Manual_Reprocess_2355</v>
          </cell>
          <cell r="AY41" t="str">
            <v>Transactional</v>
          </cell>
          <cell r="BA41">
            <v>6</v>
          </cell>
          <cell r="BG41" t="str">
            <v>BAPI_ACC_DOCUMENT_POST</v>
          </cell>
        </row>
        <row r="42">
          <cell r="C42" t="str">
            <v>03199MD_PricingTool_C1_Contract_Group</v>
          </cell>
          <cell r="AY42" t="str">
            <v>Master</v>
          </cell>
          <cell r="BA42">
            <v>486</v>
          </cell>
          <cell r="BG42" t="str">
            <v>/CCEJ/TZKTSD0010</v>
          </cell>
        </row>
        <row r="43">
          <cell r="C43" t="str">
            <v>03200MD_Pricing_C1_SpecificDocument_DeliveryPlaceAdhoc</v>
          </cell>
          <cell r="AY43" t="str">
            <v>Master</v>
          </cell>
          <cell r="BA43">
            <v>2083391</v>
          </cell>
          <cell r="BG43" t="str">
            <v>/CCEJ/TZKTSD0041</v>
          </cell>
        </row>
        <row r="44">
          <cell r="C44" t="str">
            <v>03201MD_Pricing_C1_SpecificDocumentGroup</v>
          </cell>
          <cell r="AY44" t="str">
            <v>Master</v>
          </cell>
          <cell r="BA44">
            <v>201532</v>
          </cell>
          <cell r="BG44" t="str">
            <v>/CCEJ/TZKTFI0092</v>
          </cell>
        </row>
        <row r="45">
          <cell r="C45" t="str">
            <v>03202MD_Pricing_C1_SpecificDocumentMaterial</v>
          </cell>
          <cell r="AY45" t="str">
            <v>Master</v>
          </cell>
          <cell r="BA45">
            <v>201532</v>
          </cell>
          <cell r="BG45" t="str">
            <v>/CCEJ/TZKTFI0091</v>
          </cell>
        </row>
        <row r="46">
          <cell r="C46" t="str">
            <v>00042MD_NH_ECC_Inbound_Interface</v>
          </cell>
          <cell r="AY46" t="str">
            <v>Transactional</v>
          </cell>
          <cell r="BG46" t="str">
            <v>BasicType=/CCEJ/HHTINB01_CORR
MsgType=/CCEJ/HHTINB_CORRECTION
BasicType=/CCEJ/ADD_LOAD
MsgType=/CCEJ/ADDITIONAL_LOAD
BasicType=/CCEJ/HHTINB01
MsgType=/CCEJ/HHTINB</v>
          </cell>
        </row>
        <row r="47">
          <cell r="C47" t="str">
            <v>05090TD_NH_ECC_Interface_for_FS_Commission_3316(M0416000)</v>
          </cell>
          <cell r="AY47" t="str">
            <v>Transactional</v>
          </cell>
          <cell r="BA47">
            <v>1</v>
          </cell>
          <cell r="BG47" t="str">
            <v>BasicType=ACC_DOCUMENT03
MsgType=/CCEJ/FI_DOC_POST</v>
          </cell>
        </row>
        <row r="48">
          <cell r="C48" t="str">
            <v>05090TD_NH_ECC_Interface_for_FS_Commission_3316(M0418000)</v>
          </cell>
          <cell r="AY48" t="str">
            <v>Transactional</v>
          </cell>
          <cell r="BA48">
            <v>1</v>
          </cell>
          <cell r="BG48" t="str">
            <v>BasicType=ACC_DOCUMENT03
MsgType=/CCEJ/FI_DOC_POST</v>
          </cell>
        </row>
        <row r="49">
          <cell r="C49" t="str">
            <v>05090TD_NH_ECC_Interface_for_FS_Commission_3316(M0430000)</v>
          </cell>
          <cell r="AY49" t="str">
            <v>Transactional</v>
          </cell>
          <cell r="BA49">
            <v>1</v>
          </cell>
          <cell r="BG49" t="str">
            <v>BasicType=ACC_DOCUMENT03
MsgType=/CCEJ/FI_DOC_POST</v>
          </cell>
        </row>
        <row r="50">
          <cell r="C50" t="str">
            <v>05090TD_NH_ECC_Interface_for_FS_Commission_3316(M0500000)</v>
          </cell>
          <cell r="AY50" t="str">
            <v>Transactional</v>
          </cell>
          <cell r="BA50">
            <v>1</v>
          </cell>
          <cell r="BG50" t="str">
            <v>BasicType=ACC_DOCUMENT03
MsgType=/CCEJ/FI_DOC_POST</v>
          </cell>
        </row>
        <row r="51">
          <cell r="C51" t="str">
            <v>05092TD_NH_ECC_PAYMENT_BLOCK_3316(M0417000)</v>
          </cell>
          <cell r="AY51" t="str">
            <v>Transactional</v>
          </cell>
          <cell r="BA51">
            <v>1</v>
          </cell>
          <cell r="BG51" t="str">
            <v>BasicType=/CCEJ/PAY_BLK_REL_BASIC
MsgType=/CCEJ/MSG_BLK_REL</v>
          </cell>
        </row>
        <row r="52">
          <cell r="C52" t="str">
            <v>R00006D_Azure_JRWB_TRIPLE_CHECK_REPORT</v>
          </cell>
          <cell r="BA52">
            <v>14192</v>
          </cell>
          <cell r="BG52" t="str">
            <v>KNA1</v>
          </cell>
        </row>
        <row r="53">
          <cell r="C53" t="str">
            <v>R00048D_JRWB_SALES_INFO_TO_Azure_prdabnap03</v>
          </cell>
          <cell r="BA53">
            <v>14192</v>
          </cell>
          <cell r="BG53" t="str">
            <v>MLAN</v>
          </cell>
        </row>
        <row r="54">
          <cell r="C54" t="str">
            <v>R00011D_Azure_VM_CUP_ALLOCATION_REPORT_prdabnap03</v>
          </cell>
          <cell r="BA54">
            <v>14192</v>
          </cell>
          <cell r="BG54" t="str">
            <v>BasicType=/CCEJ/VMINGREDIENT01
MsgType=/CCEJ/VMINGREDIENT</v>
          </cell>
        </row>
        <row r="55">
          <cell r="C55" t="str">
            <v>R00016D_Azure_DRIVER_CASH_DIFFERENCE_REPORT_prdabnap03</v>
          </cell>
          <cell r="BA55">
            <v>37493201</v>
          </cell>
          <cell r="BG55" t="str">
            <v>KNA1</v>
          </cell>
        </row>
        <row r="56">
          <cell r="C56" t="str">
            <v>R00007D_Azure_CoReTo_prdabnap03</v>
          </cell>
          <cell r="BA56">
            <v>1357671</v>
          </cell>
          <cell r="BG56" t="str">
            <v>LFB1</v>
          </cell>
        </row>
        <row r="57">
          <cell r="C57" t="str">
            <v>BST_NH_ECC_C1S05242.plan</v>
          </cell>
          <cell r="AY57" t="str">
            <v>Transactional</v>
          </cell>
        </row>
        <row r="58">
          <cell r="C58" t="str">
            <v>05061MD_MySQL_SFDC_CustomerMasterScheduledJob</v>
          </cell>
          <cell r="AY58" t="str">
            <v>Master</v>
          </cell>
          <cell r="BA58">
            <v>11</v>
          </cell>
          <cell r="BG58" t="str">
            <v>BAPI_CUSTOMER_GETDETAIL2</v>
          </cell>
        </row>
        <row r="59">
          <cell r="C59" t="str">
            <v>05061MD_MySQL_SFDC_CustomerMasterScheduledJob_LASTOnly</v>
          </cell>
          <cell r="AY59" t="str">
            <v>Master</v>
          </cell>
          <cell r="BA59">
            <v>2</v>
          </cell>
          <cell r="BG59" t="str">
            <v>BAPI_CUSTOMER_GETDETAIL2</v>
          </cell>
        </row>
        <row r="60">
          <cell r="C60" t="str">
            <v>05248MD_MySQL_ECC_tdivision</v>
          </cell>
          <cell r="AY60" t="str">
            <v>Transactional</v>
          </cell>
          <cell r="BG60" t="str">
            <v>/CCBJI/T_FLD_VAL</v>
          </cell>
        </row>
        <row r="61">
          <cell r="C61" t="str">
            <v>VMD_C1NH_Start_Truck_Inventory_Add_BBD_01</v>
          </cell>
          <cell r="BA61">
            <v>22</v>
          </cell>
          <cell r="BG61" t="str">
            <v>VTTK, join VBFA, join LIKP
LIPS</v>
          </cell>
        </row>
        <row r="62">
          <cell r="C62" t="str">
            <v>VMD_C1NH_Start_Truck_Inventory_Add_BBD_02</v>
          </cell>
          <cell r="BA62">
            <v>36</v>
          </cell>
          <cell r="BG62" t="str">
            <v>VTTK, join VBFA, join LIKP
LIPS</v>
          </cell>
        </row>
        <row r="63">
          <cell r="C63" t="str">
            <v>VMD_C1NH_Start_Truck_Inventory_Add_BBD_03</v>
          </cell>
          <cell r="BA63">
            <v>42</v>
          </cell>
          <cell r="BG63" t="str">
            <v>VTTK, join VBFA, join LIKP
LIPS</v>
          </cell>
        </row>
        <row r="64">
          <cell r="C64" t="str">
            <v>VMD_C1NH_Start_Truck_Inventory_Add_BBD_Check</v>
          </cell>
          <cell r="BA64">
            <v>36</v>
          </cell>
          <cell r="BG64" t="str">
            <v>VTTK, join VBFA, join LIKP
LIPS</v>
          </cell>
        </row>
        <row r="65">
          <cell r="C65" t="str">
            <v>05441TA_PP2_Handle_Data_SAP_Preload</v>
          </cell>
          <cell r="BA65">
            <v>3353</v>
          </cell>
          <cell r="BG65" t="str">
            <v>VTTK
join VBFA
join LIKP
LIPS
EBAN
EKPO</v>
          </cell>
        </row>
        <row r="66">
          <cell r="C66" t="str">
            <v>05116MD_Infomart_C1_RegistrationNumber</v>
          </cell>
          <cell r="AY66" t="str">
            <v>Master</v>
          </cell>
          <cell r="BA66">
            <v>452</v>
          </cell>
          <cell r="BG66" t="str">
            <v>BasicType=/CCBJI/SUPP_INV
MsgType=/CCBJI/SUPP_INV</v>
          </cell>
        </row>
        <row r="67">
          <cell r="C67" t="str">
            <v>05266MD_Infomart_SAP_Mail_Address</v>
          </cell>
          <cell r="AY67" t="str">
            <v>Master</v>
          </cell>
          <cell r="BA67">
            <v>647</v>
          </cell>
          <cell r="BG67" t="str">
            <v>BasicType=/CCBJI/BTOB01_EMAIL
MsgType=/CCBJI/BTOB_EMAIL</v>
          </cell>
        </row>
        <row r="68">
          <cell r="C68" t="str">
            <v>05223TA_Infomart_C1_Order_Shipping</v>
          </cell>
          <cell r="AY68" t="str">
            <v>Transactional</v>
          </cell>
          <cell r="BA68">
            <v>803</v>
          </cell>
          <cell r="BG68" t="str">
            <v>BasicType=/CCEJ/SALESORDER_CREATEFROMDAT
MsgType=/CCEJ/SALESORDER_CREATE</v>
          </cell>
        </row>
        <row r="69">
          <cell r="C69" t="str">
            <v>05249TA_Infomart_SAP_IDOC_Orderinfo_Sendai_prdabnap03</v>
          </cell>
          <cell r="AY69" t="str">
            <v>Transactional</v>
          </cell>
          <cell r="BA69">
            <v>1</v>
          </cell>
          <cell r="BG69" t="str">
            <v>BasicType=/CCEJ/SALESORDER_CREATEFROMDAT
MsgType=/CCEJ/SALESORDER_CREATE</v>
          </cell>
        </row>
        <row r="70">
          <cell r="C70" t="str">
            <v>05250TA_Infomart_SAP_IDOC_Orderinfo_Tone_prdabnap03</v>
          </cell>
          <cell r="AY70" t="str">
            <v>Transactional</v>
          </cell>
          <cell r="BA70">
            <v>1</v>
          </cell>
          <cell r="BG70" t="str">
            <v>BasicType=/CCEJ/SALESORDER_CREATEFROMDAT
MsgType=/CCEJ/SALESORDER_CREATE</v>
          </cell>
        </row>
        <row r="71">
          <cell r="C71" t="str">
            <v>05251TA_Infomart_SAP_IDOC_Orderinfo_Mikuni_prdabnap03</v>
          </cell>
          <cell r="AY71" t="str">
            <v>Transactional</v>
          </cell>
          <cell r="BA71">
            <v>1</v>
          </cell>
          <cell r="BG71" t="str">
            <v>BasicType=/CCEJ/SALESORDER_CREATEFROMDAT
MsgType=/CCEJ/SALESORDER_CREATE</v>
          </cell>
        </row>
        <row r="72">
          <cell r="C72" t="str">
            <v>05252TA_Infomart_SAP_IDOC_Orderinfo_Tokyo_prdabnap03</v>
          </cell>
          <cell r="AY72" t="str">
            <v>Transactional</v>
          </cell>
          <cell r="BA72">
            <v>1</v>
          </cell>
          <cell r="BG72" t="str">
            <v>BasicType=/CCEJ/SALESORDER_CREATEFROMDAT
MsgType=/CCEJ/SALESORDER_CREATE</v>
          </cell>
        </row>
        <row r="73">
          <cell r="C73" t="str">
            <v>05253TA_Infomart_SAP_IDOC_Orderinfo_Fuji_prdabnap03</v>
          </cell>
          <cell r="AY73" t="str">
            <v>Transactional</v>
          </cell>
          <cell r="BA73">
            <v>1</v>
          </cell>
          <cell r="BG73" t="str">
            <v>BasicType=/CCEJ/SALESORDER_CREATEFROMDAT
MsgType=/CCEJ/SALESORDER_CREATE</v>
          </cell>
        </row>
        <row r="74">
          <cell r="C74" t="str">
            <v>05254TA_Infomart_SAP_IDOC_Orderinfo_Chukyo_prdabnap03</v>
          </cell>
          <cell r="AY74" t="str">
            <v>Transactional</v>
          </cell>
          <cell r="BA74">
            <v>1</v>
          </cell>
          <cell r="BG74" t="str">
            <v>BasicType=/CCEJ/SALESORDER_CREATEFROMDAT
MsgType=/CCEJ/SALESORDER_CREATE</v>
          </cell>
        </row>
        <row r="75">
          <cell r="C75" t="str">
            <v>05255TA_Infomart_SAP_IDOC_Orderinfo_Kinki_prdabnap03</v>
          </cell>
          <cell r="AY75" t="str">
            <v>Transactional</v>
          </cell>
          <cell r="BA75">
            <v>1</v>
          </cell>
          <cell r="BG75" t="str">
            <v>BasicType=/CCEJ/SALESORDER_CREATEFROMDAT
MsgType=/CCEJ/SALESORDER_CREATE</v>
          </cell>
        </row>
        <row r="76">
          <cell r="C76" t="str">
            <v>05256TA_Infomart_SAP_IDOC_Orderinfo_Mikasa_prdabnap03</v>
          </cell>
          <cell r="AY76" t="str">
            <v>Transactional</v>
          </cell>
          <cell r="BA76">
            <v>1</v>
          </cell>
          <cell r="BG76" t="str">
            <v>BasicType=/CCEJ/SALESORDER_CREATEFROMDAT
MsgType=/CCEJ/SALESORDER_CREATE</v>
          </cell>
        </row>
        <row r="77">
          <cell r="C77" t="str">
            <v>05257TA_Infomart_SAP_IDOC_Orderinfo_Shikoku_prdabnap03</v>
          </cell>
          <cell r="AY77" t="str">
            <v>Transactional</v>
          </cell>
          <cell r="BA77">
            <v>1</v>
          </cell>
          <cell r="BG77" t="str">
            <v>BasicType=/CCEJ/SALESORDER_CREATEFROMDAT
MsgType=/CCEJ/SALESORDER_CREATE</v>
          </cell>
        </row>
        <row r="78">
          <cell r="C78" t="str">
            <v>05258TA_Infomart_SAP_IDOC_Orderinfo_CCW_prdabnap03</v>
          </cell>
          <cell r="AY78" t="str">
            <v>Transactional</v>
          </cell>
          <cell r="BA78">
            <v>1</v>
          </cell>
          <cell r="BG78" t="str">
            <v>BasicType=/CCEJ/SALESORDER_CREATEFROMDAT
MsgType=/CCEJ/SALESORDER_CREATE</v>
          </cell>
        </row>
        <row r="79">
          <cell r="C79" t="str">
            <v>05259TA_Infomart_SAP_IDOC_Orderinfo_Nankyu_prdabnap03</v>
          </cell>
          <cell r="AY79" t="str">
            <v>Transactional</v>
          </cell>
          <cell r="BA79">
            <v>1</v>
          </cell>
          <cell r="BG79" t="str">
            <v>BasicType=/CCEJ/SALESORDER_CREATEFROMDAT
MsgType=/CCEJ/SALESORDER_CREATE</v>
          </cell>
        </row>
        <row r="80">
          <cell r="C80" t="str">
            <v>BST_IVP_SAP_QRDATA</v>
          </cell>
          <cell r="BA80">
            <v>29739</v>
          </cell>
          <cell r="BG80" t="str">
            <v>BasicType=ACC_DOCUMENT03
MsgType=/CCEJ/FI_DOC_POST</v>
          </cell>
        </row>
        <row r="81">
          <cell r="C81" t="str">
            <v>00118TA_C1_DAIWA_ORDERINFO</v>
          </cell>
          <cell r="AY81" t="str">
            <v>Transactional</v>
          </cell>
          <cell r="BA81">
            <v>68853</v>
          </cell>
          <cell r="BG81" t="str">
            <v>EDIDC/EDID4
BasicType=ORDERS05
Extension=/CCEJ/ORDERS05_01
MsgType=/CCEJ/OTC_ORDRSP</v>
          </cell>
        </row>
        <row r="82">
          <cell r="C82" t="str">
            <v>00297TA_C1_NH_Proformat_RushOrder</v>
          </cell>
          <cell r="AY82" t="str">
            <v>Transactional</v>
          </cell>
          <cell r="BA82">
            <v>34877</v>
          </cell>
          <cell r="BG82" t="str">
            <v>EDIDC/EDID4
BasicType=/CCEJ/SD_BL_PROF_IDOC_CCEJ
MsgType=/CCEJ/OTC_BL_PROFORMA_INV</v>
          </cell>
        </row>
        <row r="83">
          <cell r="C83" t="str">
            <v>00297TA_C1_NH_Proformat_RushOrder_last</v>
          </cell>
          <cell r="AY83" t="str">
            <v>Transactional</v>
          </cell>
          <cell r="BA83">
            <v>34907</v>
          </cell>
          <cell r="BG83" t="str">
            <v>EDIDC/EDID4
BasicType=/CCEJ/SD_BL_PROF_IDOC_CCEJ
MsgType=/CCEJ/OTC_BL_PROFORMA_INV</v>
          </cell>
        </row>
        <row r="84">
          <cell r="C84" t="str">
            <v>02003TD_C1_FusionTOKYO_ORDER</v>
          </cell>
          <cell r="AY84" t="str">
            <v>Transactional</v>
          </cell>
          <cell r="BG84" t="str">
            <v>EDIDC/EDID4
BasicType=ORDERS02
Extension=/CCEJ/ORDERS02_FVC
MsgType=/CCEJ/ORDERS_FVC</v>
          </cell>
        </row>
        <row r="85">
          <cell r="C85" t="str">
            <v>02004TD_C1_FusionTOKYO_RECEIPT</v>
          </cell>
          <cell r="AY85" t="str">
            <v>Transactional</v>
          </cell>
          <cell r="BG85" t="str">
            <v>EDIDC/EDID4
BasicType=/CCEJ/WMMBID02_FVC1
MsgType=/CCEJ/GR_FVC</v>
          </cell>
        </row>
        <row r="86">
          <cell r="C86" t="str">
            <v>02005TD_C1_FusionTOKYO_RETURN</v>
          </cell>
          <cell r="AY86" t="str">
            <v>Transactional</v>
          </cell>
          <cell r="BG86" t="str">
            <v>EDIDC/EDID4
BasicType=/CCEJ/WMMBID02_FVC_RET
MsgType=/CCEJ/RETURN_FVC</v>
          </cell>
        </row>
        <row r="87">
          <cell r="C87" t="str">
            <v>04215MA_C1_MySQL_IDOCVENDOR</v>
          </cell>
          <cell r="AY87" t="str">
            <v>Transactional</v>
          </cell>
          <cell r="BA87">
            <v>2</v>
          </cell>
          <cell r="BG87" t="str">
            <v>EDIDC/EDID4
BasicType=CREMAS05
Extension=/CCEJ/CREMAS05E
MsgType=/CCEJ/CREMAS_FULL</v>
          </cell>
        </row>
        <row r="88">
          <cell r="C88" t="str">
            <v>04216MA_C1_MySQL_IDOCEQUI</v>
          </cell>
          <cell r="AY88" t="str">
            <v>Transactional</v>
          </cell>
          <cell r="BA88">
            <v>2</v>
          </cell>
          <cell r="BG88" t="str">
            <v>EDIDC/EDID4
BasicType=/CCEJ/EQUIPMENT
MsgType=/CCEJ/EQUIPMENT</v>
          </cell>
        </row>
        <row r="89">
          <cell r="C89" t="str">
            <v>04217MA_C1_MySQL_IDOCMATERIAL</v>
          </cell>
          <cell r="AY89" t="str">
            <v>Transactional</v>
          </cell>
          <cell r="BA89">
            <v>5</v>
          </cell>
          <cell r="BG89" t="str">
            <v>EDIDC/EDID4
BasicType=MATMAS05
Extension=/CCEJ/MATMAS05E
MsgType=/CCEJ/MATMAS</v>
          </cell>
        </row>
        <row r="90">
          <cell r="C90" t="str">
            <v>05001TA_C1_NH_VisitSequence</v>
          </cell>
          <cell r="AY90" t="str">
            <v>Transactional</v>
          </cell>
          <cell r="BA90">
            <v>2697</v>
          </cell>
          <cell r="BG90" t="str">
            <v>EDIDC/EDID4
BasicType=/CCEJ/HD_TOUR_VTTK
MsgType=/CCEJ/SHPMNT_HH</v>
          </cell>
        </row>
        <row r="91">
          <cell r="C91" t="str">
            <v>05001TA_C1_NH_VisitSequence_CHECK</v>
          </cell>
          <cell r="AY91" t="str">
            <v>Transactional</v>
          </cell>
          <cell r="BA91">
            <v>7381</v>
          </cell>
          <cell r="BG91" t="str">
            <v>EDIDC/EDID4
BasicType=/CCEJ/HD_TOUR_VTTK
MsgType=/CCEJ/SHPMNT_HH</v>
          </cell>
        </row>
        <row r="92">
          <cell r="C92" t="str">
            <v>05012MD_ECC_SFDC_RTR_Virtual_Bank_Account_SAP_to_SFDC</v>
          </cell>
          <cell r="AY92" t="str">
            <v>Transactional</v>
          </cell>
          <cell r="BA92">
            <v>1</v>
          </cell>
          <cell r="BG92" t="str">
            <v>EDIDC/EDID4
BasicType=/CCEJ/RTR_VIRTUAL_BANK_ACCOUNT
MsgType=/CCEJ/RTR_VIRTUAL_BANK_ACCOUNT</v>
          </cell>
        </row>
        <row r="93">
          <cell r="C93" t="str">
            <v>05012MD_ECC_SFDC_RTR_Virtual_Bank_Account_SAP_to_SFDC_LAST</v>
          </cell>
          <cell r="AY93" t="str">
            <v>Transactional</v>
          </cell>
          <cell r="BA93">
            <v>1</v>
          </cell>
          <cell r="BG93" t="str">
            <v>EDIDC/EDID4
BasicType=/CCEJ/RTR_VIRTUAL_BANK_ACCOUNT
MsgType=/CCEJ/RTR_VIRTUAL_BANK_ACCOUNT</v>
          </cell>
        </row>
        <row r="94">
          <cell r="C94" t="str">
            <v>05015MD_ECC_SFDC_Petty_Cash</v>
          </cell>
          <cell r="AY94" t="str">
            <v>Transactional</v>
          </cell>
          <cell r="BA94">
            <v>4</v>
          </cell>
          <cell r="BG94" t="str">
            <v>EDIDC/EDID4
BasicType=/CCEJ/AP_INFO_SUB
MsgType=/CCEJ/AP_INFO_SUB</v>
          </cell>
        </row>
        <row r="95">
          <cell r="C95" t="str">
            <v>05015MD_ECC_SFDC_Petty_Cash_LAST</v>
          </cell>
          <cell r="BG95" t="str">
            <v>EDIDC/EDID4
BasicType=/CCEJ/AP_INFO_SUB
MsgType=/CCEJ/AP_INFO_SUB</v>
          </cell>
        </row>
        <row r="96">
          <cell r="C96" t="str">
            <v>05096TA_C1_DENPATSU_Dispatch_route</v>
          </cell>
          <cell r="AY96" t="str">
            <v>Transactional</v>
          </cell>
          <cell r="BA96">
            <v>4011</v>
          </cell>
          <cell r="BG96" t="str">
            <v>EDIDC/EDID4
BasicType=/CCEJ/DISP_ROUTE_INFO_01
MsgType=/CCEJ/DISP_ROUTE_INFO</v>
          </cell>
        </row>
        <row r="97">
          <cell r="C97" t="str">
            <v>05096TA_C1_DENPATSU_Dispatch_route_CHECK</v>
          </cell>
          <cell r="AY97" t="str">
            <v>Transactional</v>
          </cell>
          <cell r="BA97">
            <v>4336</v>
          </cell>
          <cell r="BG97" t="str">
            <v>EDIDC/EDID4
BasicType=/CCEJ/DISP_ROUTE_INFO_01
MsgType=/CCEJ/DISP_ROUTE_INFO</v>
          </cell>
        </row>
        <row r="98">
          <cell r="C98" t="str">
            <v>05456_C1_NH_Preload(MM048001)</v>
          </cell>
          <cell r="AY98" t="str">
            <v>Transactional</v>
          </cell>
          <cell r="BA98">
            <v>3225</v>
          </cell>
          <cell r="BG98" t="str">
            <v>VTTK join VBFA join LIKP
LIPS
EBAN, EKPO, MCH1</v>
          </cell>
        </row>
        <row r="99">
          <cell r="C99" t="str">
            <v>R00010A_Azure_SUMMARY_INVOICE_prdabnap03</v>
          </cell>
          <cell r="AY99" t="str">
            <v>Transactional</v>
          </cell>
          <cell r="BA99">
            <v>711</v>
          </cell>
          <cell r="BG99" t="str">
            <v>EDIDC/EDID4
BasicType=/CCEJ/RTR_AR_INV_SUM
MsgType=/CCEJ/RTR_AR_INV_SUM</v>
          </cell>
        </row>
        <row r="100">
          <cell r="C100" t="str">
            <v>VMD_C1NH_Start_Truck_Inventory_NoBBD_01</v>
          </cell>
          <cell r="AY100" t="str">
            <v>Transactional</v>
          </cell>
          <cell r="BA100">
            <v>6015</v>
          </cell>
          <cell r="BG100" t="str">
            <v>EDIDC/EDID4
BasicType=/CCEJ/TRUCK_STOCK
MsgType=/CCEJ/TRUCK_STOCK</v>
          </cell>
        </row>
        <row r="101">
          <cell r="C101" t="str">
            <v>VMD_C1NH_Start_Truck_Inventory_NoBBD_02</v>
          </cell>
          <cell r="AY101" t="str">
            <v>Transactional</v>
          </cell>
          <cell r="BA101">
            <v>8662</v>
          </cell>
          <cell r="BG101" t="str">
            <v>EDIDC/EDID4
BasicType=/CCEJ/TRUCK_STOCK
MsgType=/CCEJ/TRUCK_STOCK</v>
          </cell>
        </row>
        <row r="102">
          <cell r="C102" t="str">
            <v>VMD_C1NH_Start_Truck_Inventory_NoBBD_03</v>
          </cell>
          <cell r="AY102" t="str">
            <v>Transactional</v>
          </cell>
          <cell r="BA102">
            <v>8662</v>
          </cell>
          <cell r="BG102" t="str">
            <v>EDIDC/EDID4
BasicType=/CCEJ/TRUCK_STOCK
MsgType=/CCEJ/TRUCK_STOCK</v>
          </cell>
        </row>
        <row r="103">
          <cell r="C103" t="str">
            <v>VMD_C1NH_Start_Truck_Inventory_NoBBD_Check</v>
          </cell>
          <cell r="AY103" t="str">
            <v>Transactional</v>
          </cell>
          <cell r="BA103">
            <v>8662</v>
          </cell>
          <cell r="BG103" t="str">
            <v>EDIDC/EDID4
BasicType=/CCEJ/TRUCK_STOCK
MsgType=/CCEJ/TRUCK_STOCK</v>
          </cell>
        </row>
        <row r="104">
          <cell r="C104" t="str">
            <v>VMD_C1NH_Start_Truck_Inventory_NoBBD_Last</v>
          </cell>
          <cell r="AY104" t="str">
            <v>Transactional</v>
          </cell>
          <cell r="BA104">
            <v>8662</v>
          </cell>
          <cell r="BG104" t="str">
            <v>EDIDC/EDID4
BasicType=/CCEJ/TRUCK_STOCK
MsgType=/CCEJ/TRUCK_STOCK</v>
          </cell>
        </row>
        <row r="105">
          <cell r="C105" t="str">
            <v>R00019D_DENPYOSOFU_prdabnap03</v>
          </cell>
          <cell r="BG105" t="str">
            <v>KNA1</v>
          </cell>
        </row>
        <row r="106">
          <cell r="C106" t="str">
            <v>AB_JOBREQ_Report_9097_prdabnap03
AB_JOBREQ_Report_9197_prdabnap03
⇒BST_SEND_MAIL_001.mp</v>
          </cell>
        </row>
        <row r="107">
          <cell r="C107" t="str">
            <v>H00002D_SIHANA_v_c1_sr_customer_new_prdabnap03</v>
          </cell>
          <cell r="AY107" t="str">
            <v>Master</v>
          </cell>
          <cell r="BA107">
            <v>388678</v>
          </cell>
          <cell r="BG107" t="str">
            <v>KNA1, join KNVV, join /CCEJ/TZKTSD0023
SALESREPORT."ccbji.zj_sales.salesreport.md.data_load_view::ABI_v_c1_sr_customer_new"</v>
          </cell>
        </row>
        <row r="108">
          <cell r="C108" t="str">
            <v>H00004D_SIHANA_v_c1_sr_material_new_prdabnap03</v>
          </cell>
          <cell r="AY108" t="str">
            <v>Transactional</v>
          </cell>
          <cell r="BA108">
            <v>48973</v>
          </cell>
          <cell r="BG108" t="str">
            <v>MARA, join MAKT, join MARM, join MLAN
SALESREPORT."ccbji.zj_sales.salesreport.md.data_load_view::ABI_v_c1_sr_material_new"</v>
          </cell>
        </row>
        <row r="109">
          <cell r="C109" t="str">
            <v>R00014D_Azure_CCCJC_COMPASS_SALES_REPORT_prdabnap03</v>
          </cell>
          <cell r="AY109" t="str">
            <v>Transactional</v>
          </cell>
          <cell r="BA109">
            <v>36517</v>
          </cell>
          <cell r="BG109" t="str">
            <v>VBRK, VBPA, VBRP,  KNA1, MARA, /CCEJ/TZKTSD0023, MEAN, MVKE, MLGN, MLAN, A002, KNVI, KNOP, MARM</v>
          </cell>
        </row>
        <row r="110">
          <cell r="C110" t="str">
            <v>00035MD_SAP_Mail_FS_SET_PRICE_NOTIFICATION_COUNT</v>
          </cell>
          <cell r="AY110" t="str">
            <v>Master</v>
          </cell>
          <cell r="BA110">
            <v>31624</v>
          </cell>
          <cell r="BG110" t="str">
            <v>/CCEJ/TZKTSD0100
/CCEJ/TZKTFI0006
/CCEJ/TZKTSD0035</v>
          </cell>
        </row>
        <row r="111">
          <cell r="C111" t="str">
            <v>03103MA_C1_MySQL_DB2_CCEJ_H_KNA1</v>
          </cell>
          <cell r="AY111" t="str">
            <v>Transactional</v>
          </cell>
          <cell r="BA111">
            <v>37</v>
          </cell>
          <cell r="BG111" t="str">
            <v>/CCEJ/H_KNA1</v>
          </cell>
        </row>
        <row r="112">
          <cell r="C112" t="str">
            <v>03104MA_C1_MySQL_DB2_CCEJ_TZKTMM0107</v>
          </cell>
          <cell r="AY112" t="str">
            <v>Transactional</v>
          </cell>
          <cell r="BA112">
            <v>0</v>
          </cell>
          <cell r="BG112" t="str">
            <v>/CCEJ/TZKTMM0107</v>
          </cell>
        </row>
        <row r="113">
          <cell r="C113" t="str">
            <v>03105MA_C1_MySQL_DB2_CCEJ_TZKTSD0042</v>
          </cell>
          <cell r="AY113" t="str">
            <v>Transactional</v>
          </cell>
          <cell r="BA113">
            <v>10</v>
          </cell>
          <cell r="BG113" t="str">
            <v>/CCEJ/TZKTSD0042</v>
          </cell>
        </row>
        <row r="114">
          <cell r="C114" t="str">
            <v>03106MA_C1_MySQL_DB2_CCEJ_TZKTSD0106</v>
          </cell>
          <cell r="AY114" t="str">
            <v>Transactional</v>
          </cell>
          <cell r="BA114">
            <v>0</v>
          </cell>
          <cell r="BG114" t="str">
            <v>/CCEJ/TZKTSD0106</v>
          </cell>
        </row>
        <row r="115">
          <cell r="C115" t="str">
            <v>03107MA_C1_MySQL_DB2_CCEJ_ZKTSD0084</v>
          </cell>
          <cell r="AY115" t="str">
            <v>Transactional</v>
          </cell>
          <cell r="BA115">
            <v>0</v>
          </cell>
          <cell r="BG115" t="str">
            <v>/CCEJ/TZKTSD0084</v>
          </cell>
        </row>
        <row r="116">
          <cell r="C116" t="str">
            <v>03108MA_C1_MySQL_DB2_CCEJ_ZKTSD0104</v>
          </cell>
          <cell r="AY116" t="str">
            <v>Transactional</v>
          </cell>
          <cell r="BA116">
            <v>0</v>
          </cell>
          <cell r="BG116" t="str">
            <v>/CCEJ/ZKTSD0104</v>
          </cell>
        </row>
        <row r="117">
          <cell r="C117" t="str">
            <v>03109MA_C1_MySQL_DB2_CCEJ_TZKTSD0003</v>
          </cell>
          <cell r="AY117" t="str">
            <v>Transactional</v>
          </cell>
          <cell r="BA117">
            <v>0</v>
          </cell>
          <cell r="BG117" t="str">
            <v>/CCEJ/TZKTSD0003</v>
          </cell>
        </row>
        <row r="118">
          <cell r="C118" t="str">
            <v>03110MA_C1_MySQL_DB2_CCEJ_TZKTSD0005</v>
          </cell>
          <cell r="AY118" t="str">
            <v>Transactional</v>
          </cell>
          <cell r="BA118">
            <v>46</v>
          </cell>
          <cell r="BG118" t="str">
            <v>/CCEJ/TZKTSD0005</v>
          </cell>
        </row>
        <row r="119">
          <cell r="C119" t="str">
            <v>03111MA_C1_MySQL_DB2_CCEJ_B_FS_CUST</v>
          </cell>
          <cell r="AY119" t="str">
            <v>Transactional</v>
          </cell>
          <cell r="BA119">
            <v>0</v>
          </cell>
          <cell r="BG119" t="str">
            <v>/CCEJ/B_FS_CUST</v>
          </cell>
        </row>
        <row r="120">
          <cell r="C120" t="str">
            <v>03112MA_C1_MySQL_DB2_CCEJ_B_RS_CUST</v>
          </cell>
          <cell r="AY120" t="str">
            <v>Transactional</v>
          </cell>
          <cell r="BA120">
            <v>0</v>
          </cell>
          <cell r="BG120" t="str">
            <v>/CCEJ/B_RS_CUST</v>
          </cell>
        </row>
        <row r="121">
          <cell r="C121" t="str">
            <v>03113MA_C1_MySQL_DB2_CCEJ_H_KNVV</v>
          </cell>
          <cell r="AY121" t="str">
            <v>Transactional</v>
          </cell>
          <cell r="BA121">
            <v>42</v>
          </cell>
          <cell r="BG121" t="str">
            <v>/CCEJ/H_KNVV</v>
          </cell>
        </row>
        <row r="122">
          <cell r="C122" t="str">
            <v>03117MA_C1_MySQL_DB2_CCEJ_T_CUSBRID</v>
          </cell>
          <cell r="AY122" t="str">
            <v>Transactional</v>
          </cell>
          <cell r="BA122">
            <v>0</v>
          </cell>
          <cell r="BG122" t="str">
            <v>/CCEJ/T_CUSBRID</v>
          </cell>
        </row>
        <row r="123">
          <cell r="C123" t="str">
            <v>03118MA_C1_MySQL_DB2_CCEJ_TZKTFI0003</v>
          </cell>
          <cell r="AY123" t="str">
            <v>Transactional</v>
          </cell>
          <cell r="BA123">
            <v>27</v>
          </cell>
          <cell r="BG123" t="str">
            <v>/CCEJ/ZKTFI0003</v>
          </cell>
        </row>
        <row r="124">
          <cell r="C124" t="str">
            <v>03124MA_C1_MySQL_DB2_CCEJ_TKTSD0081</v>
          </cell>
          <cell r="AY124" t="str">
            <v>Transactional</v>
          </cell>
          <cell r="BA124">
            <v>0</v>
          </cell>
          <cell r="BG124" t="str">
            <v>/CCEJ/T_KTSD0081</v>
          </cell>
        </row>
        <row r="125">
          <cell r="C125" t="str">
            <v>03125MA_C1_MySQL_DB2_CCEJ_T_PLNT_DET</v>
          </cell>
          <cell r="AY125" t="str">
            <v>Transactional</v>
          </cell>
          <cell r="BA125">
            <v>14</v>
          </cell>
          <cell r="BG125" t="str">
            <v>/CCEJ/T_PLNT_DET</v>
          </cell>
        </row>
        <row r="126">
          <cell r="C126" t="str">
            <v>03126MA_C1_MySQL_DB2_CCEJ_T_PLNTD_FS</v>
          </cell>
          <cell r="AY126" t="str">
            <v>Transactional</v>
          </cell>
          <cell r="BA126">
            <v>0</v>
          </cell>
          <cell r="BG126" t="str">
            <v>/CCEJ/T_PLNTD_FS</v>
          </cell>
        </row>
        <row r="127">
          <cell r="C127" t="str">
            <v>03127MA_C1_MySQL_DB2_CCEJ_TZKTSD0004</v>
          </cell>
          <cell r="AY127" t="str">
            <v>Transactional</v>
          </cell>
          <cell r="BA127">
            <v>22</v>
          </cell>
          <cell r="BG127" t="str">
            <v>/CCEJ/TZKTSD0004</v>
          </cell>
        </row>
        <row r="128">
          <cell r="C128" t="str">
            <v>03129MA_C1_MySQL_DB2_CCEJ_B_MATERIAL</v>
          </cell>
          <cell r="AY128" t="str">
            <v>Transactional</v>
          </cell>
          <cell r="BA128">
            <v>0</v>
          </cell>
          <cell r="BG128" t="str">
            <v>/CCEJ/B_MATERIAL</v>
          </cell>
        </row>
        <row r="129">
          <cell r="C129" t="str">
            <v>03130MA_C1_MySQL_DB2_CCEJ_TZKTSD0107</v>
          </cell>
          <cell r="AY129" t="str">
            <v>Transactional</v>
          </cell>
          <cell r="BA129">
            <v>0</v>
          </cell>
          <cell r="BG129" t="str">
            <v>/CCEJ/TZKTSD0107</v>
          </cell>
        </row>
        <row r="130">
          <cell r="C130" t="str">
            <v>03131MA_C1_MySQL_DB2_CCEJ_TZKTFI0005</v>
          </cell>
          <cell r="AY130" t="str">
            <v>Transactional</v>
          </cell>
          <cell r="BA130">
            <v>0</v>
          </cell>
          <cell r="BG130" t="str">
            <v>/CCEJ/TZKTFI0005</v>
          </cell>
        </row>
        <row r="131">
          <cell r="C131" t="str">
            <v>03132MA_C1_MySQL_DB2_CCEJ_TZKTFI0090</v>
          </cell>
          <cell r="AY131" t="str">
            <v>Transactional</v>
          </cell>
          <cell r="BA131">
            <v>0</v>
          </cell>
          <cell r="BG131" t="str">
            <v>/CCEJ/TZKTFI0090</v>
          </cell>
        </row>
        <row r="132">
          <cell r="C132" t="str">
            <v>03151TA_C1_MySQL_Monitoring_Tool_Shipment_Idoc_Compare</v>
          </cell>
          <cell r="AY132" t="str">
            <v>Transactional</v>
          </cell>
          <cell r="BA132">
            <v>552</v>
          </cell>
          <cell r="BG132" t="str">
            <v>EDIDC
BasicType=/CCEJ/SD_BL_PROF_IDOC_CCEJ
MsgType=/CCEJ/OTC_BL_PROFORMA_INV</v>
          </cell>
        </row>
        <row r="133">
          <cell r="C133" t="str">
            <v>03152MD_C1_MySQL_DB2_EQUI_FINAL</v>
          </cell>
          <cell r="AY133" t="str">
            <v>Master</v>
          </cell>
          <cell r="BA133">
            <v>1812433</v>
          </cell>
          <cell r="BG133" t="str">
            <v>EQUI</v>
          </cell>
        </row>
        <row r="134">
          <cell r="C134" t="str">
            <v>04210MA_C1_MySQL_FF_DB2_CUSTMST</v>
          </cell>
          <cell r="AY134" t="str">
            <v>Master</v>
          </cell>
          <cell r="BA134">
            <v>168</v>
          </cell>
          <cell r="BG134" t="str">
            <v>ADR6
ADRC
KNVA
KNB1
KNA1
KNVP
KNVK
KNVI
KNVV</v>
          </cell>
        </row>
        <row r="135">
          <cell r="C135" t="str">
            <v>04211MD_C1_MySQL_FF_DB2_TZKTFI0006</v>
          </cell>
          <cell r="AY135" t="str">
            <v>Master</v>
          </cell>
          <cell r="BA135">
            <v>322</v>
          </cell>
          <cell r="BG135" t="str">
            <v>/CCEJ/TZKTFI0006</v>
          </cell>
        </row>
        <row r="136">
          <cell r="C136" t="str">
            <v>04212MD_C1_MySQL_FF_DB2_TZKTSD0035</v>
          </cell>
          <cell r="AY136" t="str">
            <v>Master</v>
          </cell>
          <cell r="BA136">
            <v>481</v>
          </cell>
          <cell r="BG136" t="str">
            <v>/CCEJ/TZKTSD0035</v>
          </cell>
        </row>
        <row r="137">
          <cell r="C137" t="str">
            <v>04213MD_C1_MySQL_FF_DB2_TZKTSD0100</v>
          </cell>
          <cell r="AY137" t="str">
            <v>Master</v>
          </cell>
          <cell r="BA137">
            <v>109</v>
          </cell>
          <cell r="BG137" t="str">
            <v>/CCEJ/TZKTFI0006</v>
          </cell>
        </row>
        <row r="138">
          <cell r="C138" t="str">
            <v>05113MD_C1_MySQL_InvoiceNumber</v>
          </cell>
          <cell r="AY138" t="str">
            <v>Transactional</v>
          </cell>
          <cell r="BA138">
            <v>30334</v>
          </cell>
          <cell r="BG138" t="str">
            <v>/CCBJI/T_JCTINVR</v>
          </cell>
        </row>
        <row r="139">
          <cell r="C139" t="str">
            <v>05228MD_NationalTaxAgency_C1_InvoiceNumber_CheckModify</v>
          </cell>
          <cell r="AY139" t="str">
            <v>Transactional</v>
          </cell>
          <cell r="BG139" t="str">
            <v>/CCBJI/T_JCTINVR</v>
          </cell>
        </row>
        <row r="140">
          <cell r="C140" t="str">
            <v>05236MD_SAP_MySQL_DB2_CEPCT</v>
          </cell>
          <cell r="AY140" t="str">
            <v>Master</v>
          </cell>
          <cell r="BA140">
            <v>21832</v>
          </cell>
          <cell r="BG140" t="str">
            <v>CEPCT</v>
          </cell>
        </row>
        <row r="141">
          <cell r="C141" t="str">
            <v>05237MD_SAP_MySQL_DB2_CEPC_BUKRS</v>
          </cell>
          <cell r="AY141" t="str">
            <v>Master</v>
          </cell>
          <cell r="BA141">
            <v>10895</v>
          </cell>
          <cell r="BG141" t="str">
            <v>CEPC_BUKRS</v>
          </cell>
        </row>
        <row r="142">
          <cell r="C142" t="str">
            <v>05238MD_SAP_MySQL_DB2_CEPC</v>
          </cell>
          <cell r="AY142" t="str">
            <v>Master</v>
          </cell>
          <cell r="BA142">
            <v>10922</v>
          </cell>
          <cell r="BG142" t="str">
            <v>CEPC</v>
          </cell>
        </row>
        <row r="143">
          <cell r="C143" t="str">
            <v>05241MD_SAP_MySQL_DB2_PRPS</v>
          </cell>
          <cell r="AY143" t="str">
            <v>Master</v>
          </cell>
          <cell r="BA143">
            <v>14358</v>
          </cell>
          <cell r="BG143" t="str">
            <v>PRPS</v>
          </cell>
        </row>
        <row r="144">
          <cell r="C144" t="str">
            <v>05260MD_SAP_MySQL_DB2_T134T_prdabnap03</v>
          </cell>
          <cell r="AY144" t="str">
            <v>Master</v>
          </cell>
          <cell r="BA144">
            <v>535</v>
          </cell>
          <cell r="BG144" t="str">
            <v>T134T</v>
          </cell>
        </row>
        <row r="145">
          <cell r="C145" t="str">
            <v>05261MD_SAP_MySQL_DB2_SCL_OCT_SUBCAT_prdabnap03</v>
          </cell>
          <cell r="AY145" t="str">
            <v>Master</v>
          </cell>
          <cell r="BA145">
            <v>13</v>
          </cell>
          <cell r="BG145" t="str">
            <v>/SCL/OTC_SUBCAT</v>
          </cell>
        </row>
        <row r="146">
          <cell r="C146" t="str">
            <v>05262MD_SAP_MySQL_DB2_SCL_TMDM_BCAT_prdabnap03</v>
          </cell>
          <cell r="AY146" t="str">
            <v>Master</v>
          </cell>
          <cell r="BA146">
            <v>46</v>
          </cell>
          <cell r="BG146" t="str">
            <v>/SCL/TMDM_BCAT</v>
          </cell>
        </row>
        <row r="147">
          <cell r="C147" t="str">
            <v>05263MD_SAP_MySQL_DB2_ZAPO_WTADDI_prdabnap03</v>
          </cell>
          <cell r="AY147" t="str">
            <v>Master</v>
          </cell>
          <cell r="BA147">
            <v>28520</v>
          </cell>
          <cell r="BG147" t="str">
            <v>ZAPO_WTADDI</v>
          </cell>
        </row>
        <row r="148">
          <cell r="C148" t="str">
            <v>05265MD_SAP_MySQL_DB2_SCL_TMDM_BCATT_prdabnap03</v>
          </cell>
          <cell r="AY148" t="str">
            <v>Master</v>
          </cell>
          <cell r="BA148">
            <v>183</v>
          </cell>
          <cell r="BG148" t="str">
            <v>T134T</v>
          </cell>
        </row>
        <row r="149">
          <cell r="C149" t="str">
            <v>05425MD_SAP_MySQL_DB2_PLKO_prdabnap03</v>
          </cell>
          <cell r="AY149" t="str">
            <v>Master</v>
          </cell>
          <cell r="BA149">
            <v>46854</v>
          </cell>
          <cell r="BG149" t="str">
            <v>PLKO</v>
          </cell>
        </row>
        <row r="150">
          <cell r="C150" t="str">
            <v>05426MD_SAP_MySQL_DB2_STKO_prdabnap03</v>
          </cell>
          <cell r="AY150" t="str">
            <v>Master</v>
          </cell>
          <cell r="BA150">
            <v>72806</v>
          </cell>
          <cell r="BG150" t="str">
            <v>STKO</v>
          </cell>
        </row>
        <row r="151">
          <cell r="C151" t="str">
            <v>05427MD_SAP_MySQL_DB2_STPO_prdabnap03</v>
          </cell>
          <cell r="AY151" t="str">
            <v>Master</v>
          </cell>
          <cell r="BA151">
            <v>353320</v>
          </cell>
          <cell r="BG151" t="str">
            <v>STPO</v>
          </cell>
        </row>
        <row r="152">
          <cell r="C152" t="str">
            <v>05428MD_SAP_MySQL_DB2_TVK7_Prdabnap03</v>
          </cell>
          <cell r="AY152" t="str">
            <v>Master</v>
          </cell>
          <cell r="BA152">
            <v>45</v>
          </cell>
          <cell r="BG152" t="str">
            <v>TVK7</v>
          </cell>
        </row>
        <row r="153">
          <cell r="C153" t="str">
            <v>05429MD_SAP_MySQL_DB2_TVK6_prdabnap03</v>
          </cell>
          <cell r="AY153" t="str">
            <v>Master</v>
          </cell>
          <cell r="BA153">
            <v>20</v>
          </cell>
          <cell r="BG153" t="str">
            <v>TVK6</v>
          </cell>
        </row>
        <row r="154">
          <cell r="C154" t="str">
            <v>05430MD_SAP_MySQL_DB2_TVK1_prdabnap03</v>
          </cell>
          <cell r="AY154" t="str">
            <v>Master</v>
          </cell>
          <cell r="BA154">
            <v>16</v>
          </cell>
          <cell r="BG154" t="str">
            <v>TVK1</v>
          </cell>
        </row>
        <row r="155">
          <cell r="C155" t="str">
            <v>05431MD_SAP_MySQL_DB2_TVK7T_prdabnap03</v>
          </cell>
          <cell r="AY155" t="str">
            <v>Master</v>
          </cell>
          <cell r="BA155">
            <v>126</v>
          </cell>
          <cell r="BG155" t="str">
            <v>TVK7T</v>
          </cell>
        </row>
        <row r="156">
          <cell r="C156" t="str">
            <v>05432MD_SAP_MySQL_DB2_TVK6T_prdabnap03</v>
          </cell>
          <cell r="AY156" t="str">
            <v>Master</v>
          </cell>
          <cell r="BA156">
            <v>48</v>
          </cell>
          <cell r="BG156" t="str">
            <v>TVK6T</v>
          </cell>
        </row>
        <row r="157">
          <cell r="C157" t="str">
            <v>05433MD_SAP_MySQL_DB2_TVK1T_prdabnap03</v>
          </cell>
          <cell r="AY157" t="str">
            <v>Master</v>
          </cell>
          <cell r="BA157">
            <v>38</v>
          </cell>
          <cell r="BG157" t="str">
            <v>TVK1T</v>
          </cell>
        </row>
        <row r="158">
          <cell r="C158" t="str">
            <v>AB_JOBREQ_9090
AB_JOBREQ_9091
⇒BST_Azure_JRWB_006.plan</v>
          </cell>
          <cell r="BG158" t="str">
            <v>In the new list shared on 22-Apr, these interfaces were descoped by Terasaka-san. Hence marking them as "Not in Scope"</v>
          </cell>
        </row>
        <row r="159">
          <cell r="C159" t="str">
            <v>AB_JOBREQ_9090
AB_JOBREQ_9091
⇒BST_Azure_JRWB_007.plan</v>
          </cell>
          <cell r="BG159" t="str">
            <v>In the new list shared on 22-Apr, these interfaces were descoped by Terasaka-san. Hence marking them as "Not in Scope"</v>
          </cell>
        </row>
        <row r="160">
          <cell r="C160" t="str">
            <v>AB_JOBREQ_9090
AB_JOBREQ_9091
⇒BST_Azure_JRWB_008.plan</v>
          </cell>
          <cell r="BG160" t="str">
            <v>In the new list shared on 22-Apr, these interfaces were descoped by Terasaka-san. Hence marking them as "Not in Scope"</v>
          </cell>
        </row>
        <row r="161">
          <cell r="C161" t="str">
            <v>AB_JOBREQ_9090
AB_JOBREQ_9091
⇒BST_Azure_jrwb_tran_001.mp</v>
          </cell>
          <cell r="BG161" t="str">
            <v>In the new list shared on 22-Apr, these interfaces were descoped by Terasaka-san. Hence marking them as "Not in Scope"</v>
          </cell>
        </row>
        <row r="162">
          <cell r="C162" t="str">
            <v>AB_JOBREQ_9090
AB_JOBREQ_9091
⇒BST_Azure_jrwb_tran_002.mp</v>
          </cell>
          <cell r="BG162" t="str">
            <v>In the new list shared on 22-Apr, these interfaces were descoped by Terasaka-san. Hence marking them as "Not in Scope"</v>
          </cell>
        </row>
        <row r="163">
          <cell r="C163" t="str">
            <v>AB_JOBREQ_9090
AB_JOBREQ_9091
⇒BST_Azure_jrwb_tran_005.mp</v>
          </cell>
          <cell r="BG163" t="str">
            <v>In the new list shared on 22-Apr, these interfaces were descoped by Terasaka-san. Hence marking them as "Not in Scope"</v>
          </cell>
        </row>
        <row r="164">
          <cell r="C164" t="str">
            <v>AB_JOBREQ_9090
AB_JOBREQ_9091
⇒BST_C1Ph2_RTR_002.plan</v>
          </cell>
          <cell r="BG164" t="str">
            <v>In the new list shared on 22-Apr, these interfaces were descoped by Terasaka-san. Hence marking them as "Not in Scope"</v>
          </cell>
        </row>
        <row r="165">
          <cell r="C165" t="str">
            <v>AB_JOBREQ_9090
AB_JOBREQ_9091
⇒BST_C1Ph2_RTR_006.mp</v>
          </cell>
          <cell r="BG165" t="str">
            <v>In the new list shared on 22-Apr, these interfaces were descoped by Terasaka-san. Hence marking them as "Not in Scope"</v>
          </cell>
        </row>
        <row r="166">
          <cell r="C166" t="str">
            <v>AB_JOBREQ_9090
AB_JOBREQ_9091
⇒BST_HRM_Master_maintain.mp</v>
          </cell>
          <cell r="BG166" t="str">
            <v>In the new list shared on 22-Apr, these interfaces were descoped by Terasaka-san. Hence marking them as "Not in Scope"</v>
          </cell>
        </row>
        <row r="167">
          <cell r="C167" t="str">
            <v>AB_JOBREQ_9090
AB_JOBREQ_9091
⇒BST_HRM_Master_maintain.plan</v>
          </cell>
          <cell r="BG167" t="str">
            <v>In the new list shared on 22-Apr, these interfaces were descoped by Terasaka-san. Hence marking them as "Not in Scope"</v>
          </cell>
        </row>
        <row r="168">
          <cell r="C168" t="str">
            <v>AB_JOBREQ_9090
AB_JOBREQ_9091
⇒BST_HRM_Master_maintain_EMPJOB.mp</v>
          </cell>
          <cell r="BG168" t="str">
            <v>In the new list shared on 22-Apr, these interfaces were descoped by Terasaka-san. Hence marking them as "Not in Scope"</v>
          </cell>
        </row>
        <row r="169">
          <cell r="C169" t="str">
            <v>AB_JOBREQ_9090
AB_JOBREQ_9091
⇒BST_HRM_Master_maintain_EMPJOB.plan</v>
          </cell>
          <cell r="BG169" t="str">
            <v>In the new list shared on 22-Apr, these interfaces were descoped by Terasaka-san. Hence marking them as "Not in Scope"</v>
          </cell>
        </row>
        <row r="170">
          <cell r="C170" t="str">
            <v>AB_JOBREQ_9090
AB_JOBREQ_9091
⇒BST_JRWB_006.plan</v>
          </cell>
          <cell r="BG170" t="str">
            <v>In the new list shared on 22-Apr, these interfaces were descoped by Terasaka-san. Hence marking them as "Not in Scope"</v>
          </cell>
        </row>
        <row r="171">
          <cell r="C171" t="str">
            <v>AB_JOBREQ_9090
AB_JOBREQ_9091
⇒BST_JRWB_007.plan</v>
          </cell>
          <cell r="BG171" t="str">
            <v>In the new list shared on 22-Apr, these interfaces were descoped by Terasaka-san. Hence marking them as "Not in Scope"</v>
          </cell>
        </row>
        <row r="172">
          <cell r="C172" t="str">
            <v>AB_JOBREQ_9090
AB_JOBREQ_9091
⇒BST_JRWB_008.plan</v>
          </cell>
          <cell r="BG172" t="str">
            <v>In the new list shared on 22-Apr, these interfaces were descoped by Terasaka-san. Hence marking them as "Not in Scope"</v>
          </cell>
        </row>
        <row r="173">
          <cell r="C173" t="str">
            <v>AB_JOBREQ_9090
AB_JOBREQ_9091
⇒BST_SEND_MAIL_001.mp</v>
          </cell>
          <cell r="BG173" t="str">
            <v>In the new list shared on 22-Apr, these interfaces were descoped by Terasaka-san. Hence marking them as "Not in Scope"</v>
          </cell>
        </row>
        <row r="174">
          <cell r="C174" t="str">
            <v>AB_JOBREQ_9090
AB_JOBREQ_9091
⇒BST_jrwb_master_001.mp</v>
          </cell>
          <cell r="BG174" t="str">
            <v>In the new list shared on 22-Apr, these interfaces were descoped by Terasaka-san. Hence marking them as "Not in Scope"</v>
          </cell>
        </row>
        <row r="175">
          <cell r="C175" t="str">
            <v>AB_JOBREQ_9090
AB_JOBREQ_9091
⇒BST_jrwb_master_002.mp</v>
          </cell>
          <cell r="BG175" t="str">
            <v>In the new list shared on 22-Apr, these interfaces were descoped by Terasaka-san. Hence marking them as "Not in Scope"</v>
          </cell>
        </row>
        <row r="176">
          <cell r="C176" t="str">
            <v>AB_JOBREQ_9090
AB_JOBREQ_9091
⇒BST_jrwb_send_mail_001.mp</v>
          </cell>
          <cell r="BG176" t="str">
            <v>In the new list shared on 22-Apr, these interfaces were descoped by Terasaka-san. Hence marking them as "Not in Scope"</v>
          </cell>
        </row>
        <row r="177">
          <cell r="C177" t="str">
            <v>AB_JOBREQ_9090
AB_JOBREQ_9091
⇒BST_jrwb_send_mail_002.mp</v>
          </cell>
          <cell r="BG177" t="str">
            <v>In the new list shared on 22-Apr, these interfaces were descoped by Terasaka-san. Hence marking them as "Not in Scope"</v>
          </cell>
        </row>
        <row r="178">
          <cell r="C178" t="str">
            <v>AB_JOBREQ_Report_9097_prdabnap03
AB_JOBREQ_Report_9197_prdabnap03
⇒BST_Asset_Management_004.mp</v>
          </cell>
          <cell r="BG178" t="str">
            <v>In the new list shared on 22-Apr, these interfaces were descoped by Terasaka-san. Hence marking them as "Not in Scope"</v>
          </cell>
        </row>
        <row r="179">
          <cell r="C179" t="str">
            <v>AB_JOBREQ_Report_9097_prdabnap03
AB_JOBREQ_Report_9197_prdabnap03
⇒BST_Azure_Asset_Management_003.mp</v>
          </cell>
          <cell r="BG179" t="str">
            <v>In the new list shared on 22-Apr, these interfaces were descoped by Terasaka-san. Hence marking them as "Not in Scope"</v>
          </cell>
        </row>
        <row r="180">
          <cell r="C180" t="str">
            <v>05434MD_SAP_MySQL_DB2_PLAS_prdabnap03</v>
          </cell>
          <cell r="AY180" t="str">
            <v>Master</v>
          </cell>
          <cell r="BA180">
            <v>177328</v>
          </cell>
          <cell r="BG180" t="str">
            <v>PLAS</v>
          </cell>
        </row>
        <row r="181">
          <cell r="C181" t="str">
            <v>AB_JOBREQ_Report_9097_prdabnap03
AB_JOBREQ_Report_9197_prdabnap03
⇒BST_Azure_Coreto_002.mp</v>
          </cell>
          <cell r="BG181" t="str">
            <v>In the new list shared on 22-Apr, these interfaces were descoped by Terasaka-san. Hence marking them as "Not in Scope"</v>
          </cell>
        </row>
        <row r="182">
          <cell r="C182" t="str">
            <v>AB_JOBREQ_Report_9097_prdabnap03
AB_JOBREQ_Report_9197_prdabnap03
⇒BST_Azure_Coreto_002.plan</v>
          </cell>
          <cell r="BG182" t="str">
            <v>In the new list shared on 22-Apr, these interfaces were descoped by Terasaka-san. Hence marking them as "Not in Scope"</v>
          </cell>
        </row>
        <row r="183">
          <cell r="C183" t="str">
            <v>AB_JOBREQ_Report_9097_prdabnap03
AB_JOBREQ_Report_9197_prdabnap03
⇒BST_Azure_Coreto_004.plan</v>
          </cell>
          <cell r="BG183" t="str">
            <v>In the new list shared on 22-Apr, these interfaces were descoped by Terasaka-san. Hence marking them as "Not in Scope"</v>
          </cell>
        </row>
        <row r="184">
          <cell r="C184" t="str">
            <v>AB_JOBREQ_Report_9097_prdabnap03
AB_JOBREQ_Report_9197_prdabnap03
⇒BST_Azure_Coreto_005_folder_check.mp</v>
          </cell>
          <cell r="BG184" t="str">
            <v>In the new list shared on 22-Apr, these interfaces were descoped by Terasaka-san. Hence marking them as "Not in Scope"</v>
          </cell>
        </row>
        <row r="185">
          <cell r="C185" t="str">
            <v>AB_JOBREQ_Report_9097_prdabnap03
AB_JOBREQ_Report_9197_prdabnap03
⇒BST_Coreto_003.mp</v>
          </cell>
          <cell r="BG185" t="str">
            <v>In the new list shared on 22-Apr, these interfaces were descoped by Terasaka-san. Hence marking them as "Not in Scope"</v>
          </cell>
        </row>
        <row r="186">
          <cell r="C186" t="str">
            <v>05435MD_SAP_MySQL_DB2_PLPO_prdabnap03</v>
          </cell>
          <cell r="AY186" t="str">
            <v>Master</v>
          </cell>
          <cell r="BA186">
            <v>177033</v>
          </cell>
          <cell r="BG186" t="str">
            <v>PLPO</v>
          </cell>
        </row>
        <row r="187">
          <cell r="C187" t="str">
            <v>05436MD_SAP_MySQL_DB2_MAST_prdabnap03</v>
          </cell>
          <cell r="AY187" t="str">
            <v>Master</v>
          </cell>
          <cell r="BA187">
            <v>70581</v>
          </cell>
          <cell r="BG187" t="str">
            <v>MAST</v>
          </cell>
        </row>
        <row r="188">
          <cell r="C188" t="str">
            <v>05437MD_SAP_MySQL_DB2_STAS_prdabnap03</v>
          </cell>
          <cell r="AY188" t="str">
            <v>Master</v>
          </cell>
          <cell r="BA188">
            <v>359117</v>
          </cell>
          <cell r="BG188" t="str">
            <v>STAS</v>
          </cell>
        </row>
        <row r="189">
          <cell r="C189" t="str">
            <v>05440MD_SAP_MySQL_DB2_CRHD_prdabnap03</v>
          </cell>
          <cell r="AY189" t="str">
            <v>Master</v>
          </cell>
          <cell r="BA189">
            <v>12473</v>
          </cell>
          <cell r="BG189" t="str">
            <v>CRHD</v>
          </cell>
        </row>
        <row r="190">
          <cell r="C190" t="str">
            <v>05442MD_SAP_MySQL_DB2_CCBJI_T_JDCDATA_prdabnap03</v>
          </cell>
          <cell r="AY190" t="str">
            <v>Master</v>
          </cell>
          <cell r="BA190">
            <v>119</v>
          </cell>
          <cell r="BG190" t="str">
            <v>/CCBJI/T_JDCDATA</v>
          </cell>
        </row>
        <row r="191">
          <cell r="C191" t="str">
            <v>05457MD_SAP_MySQL_DB2_T001W_prdabnap03</v>
          </cell>
          <cell r="AY191" t="str">
            <v>Master</v>
          </cell>
          <cell r="BA191">
            <v>2180</v>
          </cell>
          <cell r="BG191" t="str">
            <v>T001W</v>
          </cell>
        </row>
        <row r="192">
          <cell r="C192" t="str">
            <v>10021MD_C1S_Azure_bsak_txt_p_prdabnap03</v>
          </cell>
          <cell r="AY192" t="str">
            <v>Master</v>
          </cell>
          <cell r="BA192">
            <v>30222</v>
          </cell>
          <cell r="BG192" t="str">
            <v>BSAK</v>
          </cell>
        </row>
        <row r="193">
          <cell r="C193" t="str">
            <v>10023MD_C1S_Azure_eban_txt_p_prdabnap03</v>
          </cell>
          <cell r="AY193" t="str">
            <v>Master</v>
          </cell>
          <cell r="BA193">
            <v>90823</v>
          </cell>
          <cell r="BG193" t="str">
            <v>EBAN</v>
          </cell>
        </row>
        <row r="194">
          <cell r="C194" t="str">
            <v>IDOC_Receiver_prdabnap03</v>
          </cell>
          <cell r="BG194" t="str">
            <v>ABI_RFC2宛のIDOC全て</v>
          </cell>
        </row>
        <row r="195">
          <cell r="C195" t="str">
            <v>10024MD_C1S_Azure_ebkn_txt_p_prdabnap03</v>
          </cell>
          <cell r="AY195" t="str">
            <v>Master</v>
          </cell>
          <cell r="BA195">
            <v>3500</v>
          </cell>
          <cell r="BG195" t="str">
            <v>EBKN</v>
          </cell>
        </row>
        <row r="196">
          <cell r="C196" t="str">
            <v>10025MD_C1S_Azure_ekko_txt_p_prdabnap03</v>
          </cell>
          <cell r="AY196" t="str">
            <v>Master</v>
          </cell>
          <cell r="BA196">
            <v>15496</v>
          </cell>
          <cell r="BG196" t="str">
            <v>EKKO</v>
          </cell>
        </row>
        <row r="197">
          <cell r="C197" t="str">
            <v>10026MD_C1S_Azure_ekpo_txt_p_prdabnap03</v>
          </cell>
          <cell r="AY197" t="str">
            <v>Master</v>
          </cell>
          <cell r="BA197">
            <v>71670</v>
          </cell>
          <cell r="BG197" t="str">
            <v>EKPO</v>
          </cell>
        </row>
        <row r="198">
          <cell r="C198" t="str">
            <v>10031MD_C1S_Azure_mkpf_txt_p_prdabnap03</v>
          </cell>
          <cell r="AY198" t="str">
            <v>Master</v>
          </cell>
          <cell r="BA198">
            <v>315575</v>
          </cell>
          <cell r="BG198" t="str">
            <v>MKPF</v>
          </cell>
        </row>
        <row r="199">
          <cell r="C199" t="str">
            <v>10033MD_C1S_Azure_rbkp_txt_p_prdabnap03</v>
          </cell>
          <cell r="AY199" t="str">
            <v>Master</v>
          </cell>
          <cell r="BA199">
            <v>10542</v>
          </cell>
          <cell r="BG199" t="str">
            <v>RBKP</v>
          </cell>
        </row>
        <row r="200">
          <cell r="C200" t="str">
            <v>10036MD_C1S_Azure_rseg_txt_p_prdabnap03</v>
          </cell>
          <cell r="AY200" t="str">
            <v>Master</v>
          </cell>
          <cell r="BA200">
            <v>17091</v>
          </cell>
          <cell r="BG200" t="str">
            <v>RSEG</v>
          </cell>
        </row>
        <row r="201">
          <cell r="C201" t="str">
            <v>10037MD_C1S_Azure_vbak_txt_p_prdabnap03</v>
          </cell>
          <cell r="AY201" t="str">
            <v>Master</v>
          </cell>
          <cell r="BA201">
            <v>3785680</v>
          </cell>
          <cell r="BG201" t="str">
            <v>VBAK</v>
          </cell>
        </row>
        <row r="202">
          <cell r="C202" t="str">
            <v>10038MD_C1S_Azure_vbkd_txt_p_prdabnap03</v>
          </cell>
          <cell r="AY202" t="str">
            <v>Master</v>
          </cell>
          <cell r="BA202">
            <v>3758331</v>
          </cell>
          <cell r="BG202" t="str">
            <v>VBKD</v>
          </cell>
        </row>
        <row r="203">
          <cell r="C203" t="str">
            <v>10039MD_C1S_Azure_vbpa_txt_p_prdabnap03</v>
          </cell>
          <cell r="AY203" t="str">
            <v>Master</v>
          </cell>
          <cell r="BA203">
            <v>3055797</v>
          </cell>
          <cell r="BG203" t="str">
            <v>VBPA</v>
          </cell>
        </row>
        <row r="204">
          <cell r="C204" t="str">
            <v>10040MD_C1S_Azure_vbrk_txt_p_prdabnap03</v>
          </cell>
          <cell r="AY204" t="str">
            <v>Master</v>
          </cell>
          <cell r="BA204">
            <v>430512</v>
          </cell>
          <cell r="BG204" t="str">
            <v>VBRK</v>
          </cell>
        </row>
        <row r="205">
          <cell r="C205" t="str">
            <v>10041MD_C1S_Azure_vbrp_txt_p_prdabnap03</v>
          </cell>
          <cell r="AY205" t="str">
            <v>Master</v>
          </cell>
          <cell r="BA205">
            <v>3758433</v>
          </cell>
          <cell r="BG205" t="str">
            <v>VBRP</v>
          </cell>
        </row>
        <row r="206">
          <cell r="C206" t="str">
            <v>AB_JOBREQ_Report_9097_prdabnap03
AB_JOBREQ_Report_9197_prdabnap03
⇒BST_Azure_Assetmanagement_002.plan</v>
          </cell>
          <cell r="BG206" t="str">
            <v>Table Name: ANEA,ANEP,ANKT,ANLA,ANLB,ANLBZA,ANLC,ANLZ,CSKT,T087T,T093B,TABA,TABW,TFKBT</v>
          </cell>
        </row>
        <row r="207">
          <cell r="C207" t="str">
            <v>H00001D_SIHANA_v_c1_sr_bill_doc</v>
          </cell>
          <cell r="AY207" t="str">
            <v>Transactional</v>
          </cell>
          <cell r="BA207">
            <v>850750</v>
          </cell>
          <cell r="BG207" t="str">
            <v>VBRK, join VBRP, join MARA
SALESREPORT."ccbji.zj_sales.salesreport.md.data_load_view::ABI_v_c1_sr_bill_doc"
SALESREPORT."ccbji.zj_sales.salesreport.md.data_load_view::ABI_v_c1_sr_bill_doc"</v>
          </cell>
        </row>
        <row r="208">
          <cell r="C208" t="str">
            <v>H00003D_SIHANA_v_c1_sr_employee</v>
          </cell>
          <cell r="AY208" t="str">
            <v>Transactional</v>
          </cell>
          <cell r="BA208">
            <v>39013</v>
          </cell>
          <cell r="BG208" t="str">
            <v>KNA1
SALESREPORT."ccbji.zj_sales.salesreport.md.data_load_view::ABI_v_c1_sr_employee"</v>
          </cell>
        </row>
        <row r="209">
          <cell r="C209" t="str">
            <v>H00005D_SIHANA_v_c1_sr_route_extension_prdabnap03</v>
          </cell>
          <cell r="AY209" t="str">
            <v>Master</v>
          </cell>
          <cell r="BA209">
            <v>5030</v>
          </cell>
          <cell r="BG209" t="str">
            <v>CCEJ_TROUTEEXT, join CCEJ_TLOGIHIERAL
SALESREPORT."ccbji.zj_sales.salesreport.md.data_load_view::ABI_v_c1_sr_route_extension"</v>
          </cell>
        </row>
        <row r="210">
          <cell r="C210" t="str">
            <v>H00006D_SIHANA_v_cokeone_marm_txt_p</v>
          </cell>
          <cell r="AY210" t="str">
            <v>Master</v>
          </cell>
          <cell r="BA210">
            <v>754263</v>
          </cell>
          <cell r="BG210" t="str">
            <v>MARM
SALESREPORT."ccbji.zj_sales.salesreport.md.data_load_view::ABI_v_cokeone_marm_txt_p"</v>
          </cell>
        </row>
        <row r="211">
          <cell r="C211" t="str">
            <v>R00003D_Azure_ASSET_MANAGEMENT_REPORT</v>
          </cell>
          <cell r="AY211" t="str">
            <v>Master</v>
          </cell>
          <cell r="BA211">
            <v>25916277</v>
          </cell>
          <cell r="BG211" t="str">
            <v>ANLA, ANLB, ANLZ, ANLBZA, TFKBT, ANKT, CSKT, T093B, T087T, ANLC, TABA, ANEP, ANEA, TABW</v>
          </cell>
        </row>
        <row r="212">
          <cell r="C212" t="str">
            <v>R00015D_SUPER_DAIWA_SALES_REPORT</v>
          </cell>
          <cell r="AY212" t="str">
            <v>Transactional</v>
          </cell>
          <cell r="BA212">
            <v>127752</v>
          </cell>
          <cell r="BG212" t="str">
            <v>VBRK, join VBRP, join VBAK, join VBPA</v>
          </cell>
        </row>
        <row r="213">
          <cell r="C213" t="str">
            <v>03198MD_SuperDAIWA_ECC_C1_Incoming_order_interface</v>
          </cell>
          <cell r="AY213" t="str">
            <v>Transactional</v>
          </cell>
          <cell r="BA213">
            <v>0</v>
          </cell>
          <cell r="BG213" t="str">
            <v>BasicType=/CCEJ/SALESORDER_CREATEFROMDAT
MsgType=/CCEJ/SALESORDER_CREATE</v>
          </cell>
        </row>
        <row r="214">
          <cell r="C214" t="str">
            <v>R00094D_Azure_EDI_INVOICE_SENDAI</v>
          </cell>
          <cell r="AY214" t="str">
            <v>Transactional</v>
          </cell>
          <cell r="BA214">
            <v>10698382</v>
          </cell>
          <cell r="BG214" t="str">
            <v>VBAK
VBKD, join VBAK</v>
          </cell>
        </row>
        <row r="215">
          <cell r="C215" t="str">
            <v>R00030A_Azure_EDI_INVOICE_REPORT_prdabnap03</v>
          </cell>
          <cell r="AY215" t="str">
            <v>Master</v>
          </cell>
          <cell r="BA215">
            <v>8992675</v>
          </cell>
          <cell r="BG215" t="str">
            <v>KNVV, VBAK</v>
          </cell>
        </row>
        <row r="216">
          <cell r="C216" t="str">
            <v>BST_C1Ph2_IOM_001.plan</v>
          </cell>
          <cell r="AY216" t="str">
            <v>Transactional</v>
          </cell>
        </row>
        <row r="217">
          <cell r="C217" t="str">
            <v>BST_C1Ph2_IOM_002.plan</v>
          </cell>
          <cell r="AY217" t="str">
            <v>Transactional</v>
          </cell>
        </row>
        <row r="218">
          <cell r="C218" t="str">
            <v>BST_C1Ph2_IOM_003.plan</v>
          </cell>
          <cell r="AY218" t="str">
            <v>Transactional</v>
          </cell>
        </row>
        <row r="219">
          <cell r="C219" t="str">
            <v>BST_C1Ph2_FTD_001.plan</v>
          </cell>
          <cell r="AY219" t="str">
            <v>Transactional</v>
          </cell>
          <cell r="BA219">
            <v>200000</v>
          </cell>
        </row>
        <row r="220">
          <cell r="C220" t="str">
            <v>DME_Fscommission</v>
          </cell>
          <cell r="AY220" t="str">
            <v>Transactional</v>
          </cell>
        </row>
        <row r="221">
          <cell r="C221" t="str">
            <v>110_READ_EOSGAI_JISHA</v>
          </cell>
          <cell r="AY221" t="str">
            <v>Transactional</v>
          </cell>
          <cell r="BG221" t="str">
            <v>Job that is within the scope of this investigation, the destination is Ab Initio; 
however, in subsequent jobs, the data is sent to Denpatsu Meijin</v>
          </cell>
        </row>
        <row r="222">
          <cell r="C222" t="str">
            <v>310_READ_FS</v>
          </cell>
          <cell r="AY222" t="str">
            <v>Transactional</v>
          </cell>
          <cell r="BG222" t="str">
            <v>Job that is within the scope of this investigation, the destination is Ab Initio; 
however, in subsequent jobs, the data is sent to Denpatsu Meijin</v>
          </cell>
        </row>
        <row r="223">
          <cell r="C223" t="str">
            <v>00105D_APEX_ECC_APMACHINEBRIDGE</v>
          </cell>
          <cell r="AY223" t="str">
            <v>Master</v>
          </cell>
          <cell r="BG223" t="e">
            <v>#VALUE!</v>
          </cell>
        </row>
        <row r="224">
          <cell r="C224" t="str">
            <v>MDM_HINMOKU_PROCESS</v>
          </cell>
          <cell r="AY224" t="str">
            <v>Master</v>
          </cell>
          <cell r="BG224" t="e">
            <v>#VALUE!</v>
          </cell>
        </row>
        <row r="225">
          <cell r="C225" t="str">
            <v>GR_CAM_Hokkaido</v>
          </cell>
          <cell r="AY225" t="str">
            <v>Transactional</v>
          </cell>
        </row>
        <row r="226">
          <cell r="C226" t="str">
            <v>GR_CAM_Hokuriku</v>
          </cell>
          <cell r="AY226" t="str">
            <v>Transactional</v>
          </cell>
        </row>
        <row r="227">
          <cell r="C227" t="str">
            <v>GR_CAM_Michinoku</v>
          </cell>
          <cell r="AY227" t="str">
            <v>Transactional</v>
          </cell>
        </row>
        <row r="228">
          <cell r="C228" t="str">
            <v>GR_CAM_Okinawa</v>
          </cell>
          <cell r="AY228" t="str">
            <v>Transactional</v>
          </cell>
        </row>
        <row r="229">
          <cell r="C229" t="str">
            <v>GR_Material_Hokkaido</v>
          </cell>
          <cell r="AY229" t="str">
            <v>Transactional</v>
          </cell>
        </row>
        <row r="230">
          <cell r="C230" t="str">
            <v>GR_Material_Hokuriku</v>
          </cell>
          <cell r="AY230" t="str">
            <v>Transactional</v>
          </cell>
        </row>
        <row r="231">
          <cell r="C231" t="str">
            <v>GR_Material_Michinoku</v>
          </cell>
          <cell r="AY231" t="str">
            <v>Transactional</v>
          </cell>
        </row>
        <row r="232">
          <cell r="C232" t="str">
            <v>GR_Material_Okinawa</v>
          </cell>
          <cell r="AY232" t="str">
            <v>Transactional</v>
          </cell>
        </row>
        <row r="233">
          <cell r="C233" t="str">
            <v>PO_CAM_Hokkaido</v>
          </cell>
          <cell r="AY233" t="str">
            <v>Transactional</v>
          </cell>
        </row>
        <row r="234">
          <cell r="C234" t="str">
            <v>PO_CAM_Hokuriku</v>
          </cell>
          <cell r="AY234" t="str">
            <v>Transactional</v>
          </cell>
        </row>
        <row r="235">
          <cell r="C235" t="str">
            <v>PO_CAM_Michinoku</v>
          </cell>
          <cell r="AY235" t="str">
            <v>Transactional</v>
          </cell>
        </row>
        <row r="236">
          <cell r="C236" t="str">
            <v>PO_CAM_Okinawa</v>
          </cell>
          <cell r="AY236" t="str">
            <v>Transactional</v>
          </cell>
        </row>
        <row r="237">
          <cell r="C237" t="str">
            <v>PO_Material_Hokkaido</v>
          </cell>
          <cell r="AY237" t="str">
            <v>Transactional</v>
          </cell>
        </row>
        <row r="238">
          <cell r="C238" t="str">
            <v>PO_Material_Hokuriku</v>
          </cell>
          <cell r="AY238" t="str">
            <v>Transactional</v>
          </cell>
        </row>
        <row r="239">
          <cell r="C239" t="str">
            <v>PO_Material_Michinoku</v>
          </cell>
          <cell r="AY239" t="str">
            <v>Transactional</v>
          </cell>
        </row>
        <row r="240">
          <cell r="C240" t="str">
            <v>PO_Material_Okinawa</v>
          </cell>
          <cell r="AY240" t="str">
            <v>Transactional</v>
          </cell>
        </row>
        <row r="241">
          <cell r="C241" t="str">
            <v>from_idoc</v>
          </cell>
          <cell r="BG241" t="str">
            <v>Same as no.246 and no.247</v>
          </cell>
        </row>
        <row r="242">
          <cell r="C242" t="str">
            <v>ProductAutoRelase2</v>
          </cell>
          <cell r="BG242" t="str">
            <v>Same as no.249</v>
          </cell>
        </row>
        <row r="243">
          <cell r="C243" t="str">
            <v>充填指図</v>
          </cell>
          <cell r="AY243" t="str">
            <v>Transactional</v>
          </cell>
        </row>
        <row r="244">
          <cell r="C244" t="str">
            <v>品目マスター</v>
          </cell>
          <cell r="AY244" t="str">
            <v>Master</v>
          </cell>
        </row>
        <row r="245">
          <cell r="C245" t="str">
            <v>パレット種別マスター</v>
          </cell>
          <cell r="AY245" t="str">
            <v>Master</v>
          </cell>
        </row>
        <row r="246">
          <cell r="C246" t="str">
            <v>工場ラインマスター</v>
          </cell>
          <cell r="AY246" t="str">
            <v>Master</v>
          </cell>
        </row>
        <row r="247">
          <cell r="C247" t="str">
            <v>製造実績</v>
          </cell>
          <cell r="AY247" t="str">
            <v>Transactional</v>
          </cell>
        </row>
        <row r="248">
          <cell r="C248" t="str">
            <v>生産計画</v>
          </cell>
          <cell r="AY248" t="str">
            <v>Transactional</v>
          </cell>
        </row>
        <row r="249">
          <cell r="C249" t="str">
            <v>製造実績</v>
          </cell>
          <cell r="AY249" t="str">
            <v>Transactional</v>
          </cell>
        </row>
        <row r="250">
          <cell r="C250" t="str">
            <v>10030MD_C1S_Azure_likp_txt_p_prdabnap03</v>
          </cell>
          <cell r="AY250" t="str">
            <v>Master</v>
          </cell>
          <cell r="BA250">
            <v>327953</v>
          </cell>
          <cell r="BG250" t="str">
            <v>LIKP</v>
          </cell>
        </row>
        <row r="251">
          <cell r="C251" t="str">
            <v>原液購入計画</v>
          </cell>
          <cell r="AY251" t="str">
            <v>Transactional</v>
          </cell>
        </row>
        <row r="252">
          <cell r="C252" t="str">
            <v>原液発注データ</v>
          </cell>
          <cell r="AY252" t="str">
            <v>Transactional</v>
          </cell>
        </row>
        <row r="253">
          <cell r="C253" t="str">
            <v>月次在庫情報</v>
          </cell>
          <cell r="AY253" t="str">
            <v>Transactional</v>
          </cell>
        </row>
        <row r="254">
          <cell r="C254" t="str">
            <v>製造実績(指図別)</v>
          </cell>
          <cell r="AY254" t="str">
            <v>Transactional</v>
          </cell>
        </row>
        <row r="255">
          <cell r="C255" t="str">
            <v>製造実績(ロット別)</v>
          </cell>
          <cell r="AY255" t="str">
            <v>Transactional</v>
          </cell>
        </row>
        <row r="256">
          <cell r="C256" t="str">
            <v>充填指図</v>
          </cell>
          <cell r="AY256" t="str">
            <v>Transactional</v>
          </cell>
        </row>
        <row r="257">
          <cell r="C257" t="str">
            <v>品目ロット別利用可能日</v>
          </cell>
          <cell r="AY257" t="str">
            <v>Transactional</v>
          </cell>
        </row>
        <row r="258">
          <cell r="C258" t="str">
            <v>製品移動履歴(CCBJI製造分)</v>
          </cell>
          <cell r="AY258" t="str">
            <v>Transactional</v>
          </cell>
        </row>
        <row r="259">
          <cell r="C259" t="str">
            <v>製品移動履歴(他ボトラー製造分)</v>
          </cell>
          <cell r="AY259" t="str">
            <v>Transactional</v>
          </cell>
        </row>
        <row r="260">
          <cell r="C260" t="str">
            <v>出荷制限(CCBJI製造分)</v>
          </cell>
          <cell r="AY260" t="str">
            <v>Transactional</v>
          </cell>
        </row>
        <row r="261">
          <cell r="C261" t="str">
            <v>出荷制限(他ボトラー製造分)</v>
          </cell>
          <cell r="AY261" t="str">
            <v>Transactional</v>
          </cell>
        </row>
        <row r="262">
          <cell r="C262" t="str">
            <v>出荷制限(他ボトラー製造分)</v>
          </cell>
          <cell r="AY262" t="str">
            <v>Transactional</v>
          </cell>
        </row>
        <row r="263">
          <cell r="C263" t="str">
            <v>出荷制限(CCBJI製造分)</v>
          </cell>
          <cell r="AY263" t="str">
            <v>Transactional</v>
          </cell>
        </row>
        <row r="264">
          <cell r="C264" t="str">
            <v>TD01_URRY_C1_Order_Shipping</v>
          </cell>
        </row>
        <row r="265">
          <cell r="C265" t="str">
            <v>MD03_MySQL_URRY_Price</v>
          </cell>
        </row>
        <row r="266">
          <cell r="C266" t="str">
            <v>AB_JOBREQ_VMA_9060</v>
          </cell>
          <cell r="AY266" t="str">
            <v>N/A</v>
          </cell>
        </row>
        <row r="267">
          <cell r="C267" t="str">
            <v>AB_JOBREQ_VMA_9160</v>
          </cell>
          <cell r="AY267" t="str">
            <v>N/A</v>
          </cell>
        </row>
        <row r="268">
          <cell r="C268" t="str">
            <v>DWO_C1_KQ_A305</v>
          </cell>
          <cell r="AY268" t="str">
            <v>Master</v>
          </cell>
        </row>
        <row r="269">
          <cell r="C269" t="str">
            <v>DWO_C1_KQ_A305_SUN</v>
          </cell>
          <cell r="AY269" t="str">
            <v>Master</v>
          </cell>
        </row>
        <row r="270">
          <cell r="C270" t="str">
            <v>DWO_C1_KQ_EINA</v>
          </cell>
          <cell r="AY270" t="str">
            <v>Master</v>
          </cell>
        </row>
        <row r="271">
          <cell r="C271" t="str">
            <v>DWO_C1_KQ_EINA_SUN</v>
          </cell>
          <cell r="AY271" t="str">
            <v>Master</v>
          </cell>
        </row>
        <row r="272">
          <cell r="C272" t="str">
            <v>DWO_C1_KQ_EINE</v>
          </cell>
          <cell r="AY272" t="str">
            <v>Master</v>
          </cell>
        </row>
        <row r="273">
          <cell r="C273" t="str">
            <v>DWO_C1_KQ_EINE_SUN</v>
          </cell>
          <cell r="AY273" t="str">
            <v>Master</v>
          </cell>
        </row>
        <row r="274">
          <cell r="C274" t="str">
            <v>DWO_C1_KQ_GoodsReceiptReturn</v>
          </cell>
          <cell r="AY274" t="str">
            <v>Transactional</v>
          </cell>
        </row>
        <row r="275">
          <cell r="C275" t="str">
            <v>DWO_C1_KQ_GoodsReceiptReturn_First</v>
          </cell>
          <cell r="AY275" t="str">
            <v>Transactional</v>
          </cell>
        </row>
        <row r="276">
          <cell r="C276" t="str">
            <v>DWO_C1_KQ_GoodsReceiptReturn_First_SUN</v>
          </cell>
          <cell r="AY276" t="str">
            <v>Transactional</v>
          </cell>
        </row>
        <row r="277">
          <cell r="C277" t="str">
            <v>DWO_C1_KQ_GoodsReceiptReturn_SUN_1</v>
          </cell>
          <cell r="AY277" t="str">
            <v>Transactional</v>
          </cell>
        </row>
        <row r="278">
          <cell r="C278" t="str">
            <v>DWO_C1_KQ_KONP</v>
          </cell>
          <cell r="AY278" t="str">
            <v>Master</v>
          </cell>
        </row>
        <row r="279">
          <cell r="C279" t="str">
            <v>DWO_C1_KQ_KONP_SUN</v>
          </cell>
          <cell r="AY279" t="str">
            <v>Master</v>
          </cell>
        </row>
        <row r="280">
          <cell r="C280" t="str">
            <v>DWO_C1_KQ_MBEW</v>
          </cell>
          <cell r="AY280" t="str">
            <v>Master</v>
          </cell>
        </row>
        <row r="281">
          <cell r="C281" t="str">
            <v>DWO_C1_KQ_MBEW_SUN_1</v>
          </cell>
          <cell r="AY281" t="str">
            <v>Master</v>
          </cell>
        </row>
        <row r="282">
          <cell r="C282" t="str">
            <v>DWO_C1_KQ_MBEW_SUN_2</v>
          </cell>
          <cell r="AY282" t="str">
            <v>Master</v>
          </cell>
        </row>
        <row r="283">
          <cell r="C283" t="str">
            <v>DWO_C1_KQ_T_CAMBKTYP</v>
          </cell>
          <cell r="AY283" t="str">
            <v>Master</v>
          </cell>
        </row>
        <row r="284">
          <cell r="C284" t="str">
            <v>DWO_C1_KQ_T_CAMBKTYP_SUN</v>
          </cell>
          <cell r="AY284" t="str">
            <v>Master</v>
          </cell>
        </row>
        <row r="285">
          <cell r="C285" t="str">
            <v>DWO_C1_KQ_T_CAMTASK</v>
          </cell>
          <cell r="AY285" t="str">
            <v>Master</v>
          </cell>
        </row>
        <row r="286">
          <cell r="C286" t="str">
            <v>DWO_C1_KQ_T_CAMTASK_SUN</v>
          </cell>
          <cell r="AY286" t="str">
            <v>Master</v>
          </cell>
        </row>
        <row r="287">
          <cell r="C287" t="str">
            <v>DWO_C1_KQ_T_CAMWRKCT</v>
          </cell>
          <cell r="AY287" t="str">
            <v>Master</v>
          </cell>
        </row>
        <row r="288">
          <cell r="C288" t="str">
            <v>DWO_C1_KQ_T_CAMWRKCT_SUN</v>
          </cell>
          <cell r="AY288" t="str">
            <v>Master</v>
          </cell>
        </row>
        <row r="289">
          <cell r="C289" t="str">
            <v>DWO_CMOR&amp;Error</v>
          </cell>
          <cell r="AY289" t="str">
            <v>Transactional</v>
          </cell>
        </row>
        <row r="290">
          <cell r="C290" t="str">
            <v>DWO_CMOR&amp;Error_SUN1</v>
          </cell>
          <cell r="AY290" t="str">
            <v>Transactional</v>
          </cell>
        </row>
        <row r="291">
          <cell r="C291" t="str">
            <v>DWO_CMOR&amp;Error_SUN2</v>
          </cell>
          <cell r="AY291" t="str">
            <v>Transactional</v>
          </cell>
        </row>
        <row r="292">
          <cell r="C292" t="str">
            <v>DWO_CreateChange&amp;Return</v>
          </cell>
          <cell r="AY292" t="str">
            <v>Transactional</v>
          </cell>
        </row>
        <row r="293">
          <cell r="C293" t="str">
            <v>DWO_CreateChange&amp;Return_SUN_1</v>
          </cell>
          <cell r="AY293" t="str">
            <v>Transactional</v>
          </cell>
        </row>
        <row r="294">
          <cell r="C294" t="str">
            <v>DWO_CreateChange&amp;Return_SUN_２</v>
          </cell>
          <cell r="AY294" t="str">
            <v>Transactional</v>
          </cell>
        </row>
        <row r="295">
          <cell r="C295" t="str">
            <v>DWO_KQ_C1_GoodsReceipt</v>
          </cell>
          <cell r="AY295" t="str">
            <v>Transactional</v>
          </cell>
        </row>
        <row r="296">
          <cell r="C296" t="str">
            <v>DWO_KQ_C1_GoodsReceipt_First</v>
          </cell>
          <cell r="AY296" t="str">
            <v>Transactional</v>
          </cell>
        </row>
        <row r="297">
          <cell r="C297" t="str">
            <v>DWO_KQ_C1_GoodsReceipt_First_SUN</v>
          </cell>
          <cell r="AY297" t="str">
            <v>Transactional</v>
          </cell>
        </row>
        <row r="298">
          <cell r="C298" t="str">
            <v>DWO_KQ_C1_GoodsReceipt_Second_SUN</v>
          </cell>
          <cell r="AY298" t="str">
            <v>Transactional</v>
          </cell>
        </row>
        <row r="299">
          <cell r="C299" t="str">
            <v>DWO_KQ_C1_GoodsReceipt_SUN_1</v>
          </cell>
          <cell r="AY299" t="str">
            <v>Transactional</v>
          </cell>
        </row>
        <row r="300">
          <cell r="C300" t="str">
            <v>DWO_KQ_C1_GoodsReceipt_SUN_2</v>
          </cell>
          <cell r="AY300" t="str">
            <v>Transactional</v>
          </cell>
        </row>
        <row r="301">
          <cell r="C301" t="str">
            <v>DWO_WO&amp;AD_First</v>
          </cell>
          <cell r="AY301" t="str">
            <v>Transactional</v>
          </cell>
        </row>
        <row r="302">
          <cell r="C302" t="str">
            <v>DWO_WO&amp;AD_First_SUN</v>
          </cell>
          <cell r="AY302" t="str">
            <v>Transactional</v>
          </cell>
        </row>
        <row r="303">
          <cell r="C303" t="str">
            <v>DWO_WO&amp;AD_Second_SUN</v>
          </cell>
          <cell r="AY303" t="str">
            <v>Transactional</v>
          </cell>
        </row>
        <row r="304">
          <cell r="C304" t="str">
            <v>EQA_C1_KQ_Disposal_Dates</v>
          </cell>
          <cell r="AY304" t="str">
            <v>Master</v>
          </cell>
        </row>
        <row r="305">
          <cell r="C305" t="str">
            <v>EQA_C1_KQ_Disposal_Dates_SUN</v>
          </cell>
          <cell r="AY305" t="str">
            <v>Master</v>
          </cell>
        </row>
        <row r="306">
          <cell r="C306" t="str">
            <v>EQA_C1_KQ_Manufacturer_name</v>
          </cell>
          <cell r="AY306" t="str">
            <v>Master</v>
          </cell>
        </row>
        <row r="307">
          <cell r="C307" t="str">
            <v>EQA_C1_KQ_Manufacturer_name_SUN</v>
          </cell>
          <cell r="AY307" t="str">
            <v>Master</v>
          </cell>
        </row>
        <row r="308">
          <cell r="C308" t="str">
            <v>IVP_CokeON_Wallet_GetSAPData</v>
          </cell>
          <cell r="AY308" t="str">
            <v>N/A</v>
          </cell>
        </row>
        <row r="309">
          <cell r="C309" t="str">
            <v>IVP_EMO_Get_SAPData</v>
          </cell>
          <cell r="AY309" t="str">
            <v>N/A</v>
          </cell>
        </row>
        <row r="310">
          <cell r="C310" t="str">
            <v>REG_Add_Address</v>
          </cell>
          <cell r="AY310" t="str">
            <v>N/A</v>
          </cell>
        </row>
        <row r="311">
          <cell r="C311" t="str">
            <v>RGJ016_CustomerRegistration</v>
          </cell>
          <cell r="AY311" t="str">
            <v>N/A</v>
          </cell>
        </row>
        <row r="312">
          <cell r="C312" t="str">
            <v>Spare Parts Planning Interface</v>
          </cell>
          <cell r="AY312" t="str">
            <v>Transactional</v>
          </cell>
        </row>
        <row r="313">
          <cell r="C313" t="str">
            <v>Spare Parts Planning Interface_SUN</v>
          </cell>
          <cell r="AY313" t="str">
            <v>Transactional</v>
          </cell>
        </row>
        <row r="314">
          <cell r="C314" t="str">
            <v>DWO_C1_KQ_CAMERR_First</v>
          </cell>
          <cell r="AY314" t="str">
            <v>Transactional</v>
          </cell>
        </row>
        <row r="315">
          <cell r="C315" t="str">
            <v>DWO_C1_KQ_CMOR_HDR_First</v>
          </cell>
          <cell r="AY315" t="str">
            <v>Transactional</v>
          </cell>
        </row>
        <row r="316">
          <cell r="C316" t="str">
            <v>DWO_C1_KQ_CMOR_COM_First</v>
          </cell>
          <cell r="AY316" t="str">
            <v>Transactional</v>
          </cell>
        </row>
        <row r="317">
          <cell r="C317" t="str">
            <v>DWO_C1_KQ_CMOR_TSK_First</v>
          </cell>
          <cell r="AY317" t="str">
            <v>Transactional</v>
          </cell>
        </row>
        <row r="318">
          <cell r="C318" t="str">
            <v>DWO_C1_KQ_CAMERR</v>
          </cell>
          <cell r="AY318" t="str">
            <v>Transactional</v>
          </cell>
        </row>
        <row r="319">
          <cell r="C319" t="str">
            <v>DWO_C1_KQ_CMOR_HDR</v>
          </cell>
          <cell r="AY319" t="str">
            <v>Transactional</v>
          </cell>
        </row>
        <row r="320">
          <cell r="C320" t="str">
            <v>DWO_C1_KQ_CMOR_COM</v>
          </cell>
          <cell r="AY320" t="str">
            <v>Transactional</v>
          </cell>
        </row>
        <row r="321">
          <cell r="C321" t="str">
            <v>DWO_C1_KQ_CMOR_TSK</v>
          </cell>
          <cell r="AY321" t="str">
            <v>Transactional</v>
          </cell>
        </row>
        <row r="322">
          <cell r="C322" t="str">
            <v>DWO_KQ_C1_InventoryTransfer_First</v>
          </cell>
          <cell r="AY322" t="str">
            <v>Transactional</v>
          </cell>
        </row>
        <row r="323">
          <cell r="C323" t="str">
            <v>DWO_KQ_C1_InventoryTransfer</v>
          </cell>
          <cell r="AY323" t="str">
            <v>Transactional</v>
          </cell>
        </row>
        <row r="324">
          <cell r="C324" t="str">
            <v>DWO_C1_KQ_InventoryTransferReturn_First</v>
          </cell>
          <cell r="AY324" t="str">
            <v>Transactional</v>
          </cell>
        </row>
        <row r="325">
          <cell r="C325" t="str">
            <v>DWO_C1_KQ_InventoryTransferReturn</v>
          </cell>
          <cell r="AY325" t="str">
            <v>Transactional</v>
          </cell>
        </row>
        <row r="326">
          <cell r="C326" t="str">
            <v>DWO_C1_KQ_Equipment</v>
          </cell>
          <cell r="AY326" t="str">
            <v>Master</v>
          </cell>
        </row>
        <row r="327">
          <cell r="C327" t="str">
            <v>DWO_C1_KQ_Parts</v>
          </cell>
          <cell r="AY327" t="str">
            <v>Master</v>
          </cell>
        </row>
        <row r="328">
          <cell r="C328" t="str">
            <v>DWO_C1_KQ_SPinventory_First</v>
          </cell>
          <cell r="AY328" t="str">
            <v>Master</v>
          </cell>
        </row>
        <row r="329">
          <cell r="C329" t="str">
            <v>DWO_C1_KQ_SPinventory</v>
          </cell>
          <cell r="AY329" t="str">
            <v>Master</v>
          </cell>
        </row>
        <row r="330">
          <cell r="C330" t="str">
            <v>DWO_C1_KQ_CAMERR_First_SUN</v>
          </cell>
          <cell r="AY330" t="str">
            <v>Transactional</v>
          </cell>
        </row>
        <row r="331">
          <cell r="C331" t="str">
            <v>DWO_C1_KQ_CAMERR_SUN_1</v>
          </cell>
          <cell r="AY331" t="str">
            <v>Transactional</v>
          </cell>
        </row>
        <row r="332">
          <cell r="C332" t="str">
            <v>DWO_C1_KQ_CAMERR_SUN_2</v>
          </cell>
          <cell r="AY332" t="str">
            <v>Transactional</v>
          </cell>
        </row>
        <row r="333">
          <cell r="C333" t="str">
            <v>DWO_C1_KQ_CMOR_HDR_First_SUN</v>
          </cell>
          <cell r="AY333" t="str">
            <v>Transactional</v>
          </cell>
        </row>
        <row r="334">
          <cell r="C334" t="str">
            <v>DWO_C1_KQ_CMOR_HDR_SUN_1</v>
          </cell>
          <cell r="AY334" t="str">
            <v>Transactional</v>
          </cell>
        </row>
        <row r="335">
          <cell r="C335" t="str">
            <v>DWO_C1_KQ_CMOR_HDR_SUN_2</v>
          </cell>
          <cell r="AY335" t="str">
            <v>Transactional</v>
          </cell>
        </row>
        <row r="336">
          <cell r="C336" t="str">
            <v>DWO_C1_KQ_CMOR_COM_First_SUN</v>
          </cell>
          <cell r="AY336" t="str">
            <v>Transactional</v>
          </cell>
        </row>
        <row r="337">
          <cell r="C337" t="str">
            <v>DWO_C1_KQ_CMOR_COM_SUN_1</v>
          </cell>
          <cell r="AY337" t="str">
            <v>Transactional</v>
          </cell>
        </row>
        <row r="338">
          <cell r="C338" t="str">
            <v>DWO_C1_KQ_CMOR_COM_SUN_2</v>
          </cell>
          <cell r="AY338" t="str">
            <v>Transactional</v>
          </cell>
        </row>
        <row r="339">
          <cell r="C339" t="str">
            <v>DWO_C1_KQ_CMOR_TSK_First_SUN</v>
          </cell>
          <cell r="AY339" t="str">
            <v>Transactional</v>
          </cell>
        </row>
        <row r="340">
          <cell r="C340" t="str">
            <v>DWO_C1_KQ_CMOR_TSK_SUN_1</v>
          </cell>
          <cell r="AY340" t="str">
            <v>Transactional</v>
          </cell>
        </row>
        <row r="341">
          <cell r="C341" t="str">
            <v>DWO_C1_KQ_CMOR_TSK_SUN_2</v>
          </cell>
          <cell r="AY341" t="str">
            <v>Transactional</v>
          </cell>
        </row>
        <row r="342">
          <cell r="C342" t="str">
            <v>DWO_KQ_C1_InventoryTransfer_First_SUN</v>
          </cell>
          <cell r="AY342" t="str">
            <v>Transactional</v>
          </cell>
        </row>
        <row r="343">
          <cell r="C343" t="str">
            <v>DWO_KQ_C1_InventoryTransfer_Second_SUN</v>
          </cell>
          <cell r="AY343" t="str">
            <v>Transactional</v>
          </cell>
        </row>
        <row r="344">
          <cell r="C344" t="str">
            <v>DWO_KQ_C1_InventoryTransfer_SUN_1</v>
          </cell>
          <cell r="AY344" t="str">
            <v>Transactional</v>
          </cell>
        </row>
        <row r="345">
          <cell r="C345" t="str">
            <v>DWO_KQ_C1_InventoryTransfer_SUN_2</v>
          </cell>
          <cell r="AY345" t="str">
            <v>Transactional</v>
          </cell>
        </row>
        <row r="346">
          <cell r="C346" t="str">
            <v>DWO_C1_KQ_InventoryTransferReturn_First_SUN</v>
          </cell>
          <cell r="AY346" t="str">
            <v>Transactional</v>
          </cell>
        </row>
        <row r="347">
          <cell r="C347" t="str">
            <v>DWO_C1_KQ_InventoryTransferReturn_SUN_1</v>
          </cell>
          <cell r="AY347" t="str">
            <v>Transactional</v>
          </cell>
        </row>
        <row r="348">
          <cell r="C348" t="str">
            <v>DWO_C1_KQ_InventoryTransferReturn_SUN_2</v>
          </cell>
          <cell r="AY348" t="str">
            <v>Transactional</v>
          </cell>
        </row>
        <row r="349">
          <cell r="C349" t="str">
            <v>DWO_C1_KQ_GoodsReceiptReturn_SUN_2</v>
          </cell>
          <cell r="AY349" t="str">
            <v>Transactional</v>
          </cell>
        </row>
        <row r="350">
          <cell r="C350" t="str">
            <v>DWO_C1_KQ_MBEW_Rec</v>
          </cell>
          <cell r="AY350" t="str">
            <v>Master</v>
          </cell>
        </row>
        <row r="351">
          <cell r="C351" t="str">
            <v>DWO_C1_KQ_Equipment_SUN</v>
          </cell>
          <cell r="AY351" t="str">
            <v>Master</v>
          </cell>
        </row>
        <row r="352">
          <cell r="C352" t="str">
            <v>DWO_C1_KQ_Parts_SUN</v>
          </cell>
          <cell r="AY352" t="str">
            <v>Master</v>
          </cell>
        </row>
        <row r="353">
          <cell r="C353" t="str">
            <v>DWO_C1_KQ_SPinventory_First_SUN</v>
          </cell>
          <cell r="AY353" t="str">
            <v>Master</v>
          </cell>
        </row>
        <row r="354">
          <cell r="C354" t="str">
            <v>DWO_C1_KQ_SPinventory_SUN</v>
          </cell>
          <cell r="AY354" t="str">
            <v>Master</v>
          </cell>
        </row>
        <row r="355">
          <cell r="C355" t="str">
            <v>DWO_CMOR&amp;Error_Manual</v>
          </cell>
          <cell r="AY355" t="str">
            <v>Transactional</v>
          </cell>
        </row>
        <row r="356">
          <cell r="C356" t="str">
            <v>DWO_C1_KQ_EINA_Manual</v>
          </cell>
          <cell r="AY356" t="str">
            <v>Master</v>
          </cell>
        </row>
        <row r="357">
          <cell r="C357" t="str">
            <v>DWO_C1_KQ_EINE_Manual</v>
          </cell>
          <cell r="AY357" t="str">
            <v>Master</v>
          </cell>
        </row>
        <row r="358">
          <cell r="C358" t="str">
            <v>DWO_CreateChange&amp;Return_Manual</v>
          </cell>
          <cell r="AY358" t="str">
            <v>Transactional</v>
          </cell>
        </row>
        <row r="359">
          <cell r="C359" t="str">
            <v>DWO_WO&amp;AD_Manual</v>
          </cell>
          <cell r="AY359" t="str">
            <v>Transactional</v>
          </cell>
        </row>
        <row r="360">
          <cell r="C360" t="str">
            <v>CAM_C1_MySQL_AUSP</v>
          </cell>
          <cell r="AY360" t="str">
            <v>Master</v>
          </cell>
        </row>
        <row r="361">
          <cell r="C361" t="str">
            <v>In_AccountMaster</v>
          </cell>
          <cell r="AY361" t="str">
            <v>Master</v>
          </cell>
        </row>
        <row r="362">
          <cell r="C362" t="str">
            <v>In_RegionMaster</v>
          </cell>
          <cell r="AY362" t="str">
            <v>Master</v>
          </cell>
        </row>
        <row r="363">
          <cell r="C363" t="str">
            <v>In_PnLMaster</v>
          </cell>
          <cell r="AY363" t="str">
            <v>Master</v>
          </cell>
        </row>
        <row r="364">
          <cell r="C364" t="str">
            <v>In_ResourceMaster</v>
          </cell>
          <cell r="AY364" t="str">
            <v>Master</v>
          </cell>
        </row>
        <row r="365">
          <cell r="C365" t="str">
            <v>In_SupplierMaster</v>
          </cell>
          <cell r="AY365" t="str">
            <v>Master</v>
          </cell>
        </row>
        <row r="366">
          <cell r="C366" t="str">
            <v>In_ERPItemLocationMaster</v>
          </cell>
          <cell r="AY366" t="str">
            <v>Master</v>
          </cell>
        </row>
        <row r="367">
          <cell r="C367" t="str">
            <v>In_BODLaneMaster</v>
          </cell>
          <cell r="AY367" t="str">
            <v>Master</v>
          </cell>
        </row>
        <row r="368">
          <cell r="C368" t="str">
            <v>In_RoutingResCons</v>
          </cell>
          <cell r="AY368" t="str">
            <v>Master</v>
          </cell>
        </row>
        <row r="369">
          <cell r="C369" t="str">
            <v>In_RoutingDetails</v>
          </cell>
          <cell r="AY369" t="str">
            <v>Master</v>
          </cell>
        </row>
        <row r="370">
          <cell r="C370" t="str">
            <v>In_RoutingParameters</v>
          </cell>
          <cell r="AY370" t="str">
            <v>Master</v>
          </cell>
        </row>
        <row r="371">
          <cell r="C371" t="str">
            <v>In_BOMConsumed</v>
          </cell>
          <cell r="AY371" t="str">
            <v>Master</v>
          </cell>
        </row>
        <row r="372">
          <cell r="C372" t="str">
            <v>In_BOMParameters</v>
          </cell>
          <cell r="AY372" t="str">
            <v>Master</v>
          </cell>
        </row>
        <row r="373">
          <cell r="C373" t="str">
            <v>In_BOMProduced</v>
          </cell>
          <cell r="AY373" t="str">
            <v>Master</v>
          </cell>
        </row>
        <row r="374">
          <cell r="C374" t="str">
            <v>In_ItemBOMRouting</v>
          </cell>
          <cell r="AY374" t="str">
            <v>Master</v>
          </cell>
        </row>
        <row r="375">
          <cell r="C375" t="str">
            <v>In_UOMConversion</v>
          </cell>
          <cell r="AY375" t="str">
            <v>Master</v>
          </cell>
        </row>
        <row r="376">
          <cell r="C376" t="str">
            <v>In_UOMConversionDP</v>
          </cell>
          <cell r="AY376" t="str">
            <v>Master</v>
          </cell>
        </row>
        <row r="377">
          <cell r="C377" t="str">
            <v>In_ZZWeather_DailyActual</v>
          </cell>
          <cell r="AY377" t="str">
            <v>Master</v>
          </cell>
        </row>
        <row r="378">
          <cell r="C378" t="str">
            <v>In_ZZCoverage</v>
          </cell>
          <cell r="AY378" t="str">
            <v>Master</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77016-108B-4A1E-A42D-C12C5D715739}">
  <dimension ref="A1:M310"/>
  <sheetViews>
    <sheetView tabSelected="1" zoomScale="64" zoomScaleNormal="70" workbookViewId="0">
      <selection activeCell="A9" sqref="A9"/>
    </sheetView>
  </sheetViews>
  <sheetFormatPr defaultColWidth="8.7109375" defaultRowHeight="12.95"/>
  <cols>
    <col min="1" max="1" width="60.140625" style="7" customWidth="1"/>
    <col min="2" max="2" width="15.28515625" style="7" customWidth="1"/>
    <col min="3" max="3" width="21.7109375" style="7" customWidth="1"/>
    <col min="4" max="4" width="16.5703125" style="7" customWidth="1"/>
    <col min="5" max="5" width="20.42578125" style="8" customWidth="1"/>
    <col min="6" max="6" width="41.5703125" style="14" customWidth="1"/>
    <col min="7" max="7" width="42.85546875" style="14" customWidth="1"/>
    <col min="8" max="8" width="32.42578125" style="7" customWidth="1"/>
    <col min="9" max="9" width="24.42578125" style="7" customWidth="1"/>
    <col min="10" max="10" width="28.140625" style="7" customWidth="1"/>
    <col min="11" max="11" width="28.85546875" style="7" customWidth="1"/>
    <col min="12" max="12" width="81.140625" style="14" customWidth="1"/>
    <col min="13" max="13" width="30.7109375" style="7" customWidth="1"/>
    <col min="14" max="16384" width="8.7109375" style="7"/>
  </cols>
  <sheetData>
    <row r="1" spans="1:13" ht="16.5" customHeight="1">
      <c r="B1" s="10" t="s">
        <v>0</v>
      </c>
      <c r="C1" s="13"/>
      <c r="H1" s="12"/>
      <c r="L1" s="27"/>
    </row>
    <row r="2" spans="1:13" s="1" customFormat="1" ht="26.1" customHeight="1">
      <c r="A2" s="2" t="s">
        <v>1</v>
      </c>
      <c r="B2" s="2" t="s">
        <v>2</v>
      </c>
      <c r="C2" s="2" t="s">
        <v>3</v>
      </c>
      <c r="D2" s="2" t="s">
        <v>4</v>
      </c>
      <c r="E2" s="11" t="s">
        <v>5</v>
      </c>
      <c r="F2" s="15" t="s">
        <v>6</v>
      </c>
      <c r="G2" s="3" t="s">
        <v>7</v>
      </c>
      <c r="H2" s="4" t="s">
        <v>8</v>
      </c>
      <c r="I2" s="4" t="s">
        <v>9</v>
      </c>
      <c r="J2" s="3" t="s">
        <v>10</v>
      </c>
      <c r="K2" s="3" t="s">
        <v>11</v>
      </c>
      <c r="L2" s="3" t="s">
        <v>12</v>
      </c>
      <c r="M2" s="4" t="s">
        <v>13</v>
      </c>
    </row>
    <row r="3" spans="1:13">
      <c r="A3" s="17" t="s">
        <v>14</v>
      </c>
      <c r="B3" s="7" t="s">
        <v>15</v>
      </c>
      <c r="C3" s="7" t="s">
        <v>16</v>
      </c>
      <c r="D3" s="7" t="str">
        <f>_xlfn.LET(_xlpm.x,_xlfn.XLOOKUP(A3,'[1]2. Abinitio IF'!$C:$C,'[1]2. Abinitio IF'!$AY:$AY," "), IF(_xlpm.x=0," ",_xlpm.x))</f>
        <v>Transactional</v>
      </c>
      <c r="E3" s="8" t="str">
        <f>_xlfn.LET(_xlpm.x,_xlfn.XLOOKUP($A3,'[1]2. Abinitio IF'!$C:$C,'[1]2. Abinitio IF'!$BA:$BA," "), IF(_xlpm.x=0," ",_xlpm.x))</f>
        <v xml:space="preserve"> </v>
      </c>
      <c r="F3" s="7" t="str">
        <f>_xlfn.LET(_xlpm.x,_xlfn.XLOOKUP($A3,'[1]2. Abinitio IF'!$C:$C,'[1]2. Abinitio IF'!$BG:$BG," "),IF(_xlpm.x=0," ",_xlpm.x))</f>
        <v xml:space="preserve"> </v>
      </c>
      <c r="G3" s="7"/>
      <c r="L3" s="7"/>
    </row>
    <row r="4" spans="1:13">
      <c r="A4" s="5" t="s">
        <v>17</v>
      </c>
      <c r="B4" s="7" t="s">
        <v>18</v>
      </c>
      <c r="D4" s="7" t="str">
        <f>_xlfn.LET(_xlpm.x,_xlfn.XLOOKUP(A4,'[1]2. Abinitio IF'!$C:$C,'[1]2. Abinitio IF'!$AY:$AY," "), IF(_xlpm.x=0," ",_xlpm.x))</f>
        <v>Transactional</v>
      </c>
      <c r="E4" s="8" t="str">
        <f>_xlfn.LET(_xlpm.x,_xlfn.XLOOKUP($A4,'[1]2. Abinitio IF'!$C:$C,'[1]2. Abinitio IF'!$BA:$BA," "), IF(_xlpm.x=0," ",_xlpm.x))</f>
        <v xml:space="preserve"> </v>
      </c>
      <c r="F4" s="7" t="str">
        <f>_xlfn.LET(_xlpm.x,_xlfn.XLOOKUP($A4,'[1]2. Abinitio IF'!$C:$C,'[1]2. Abinitio IF'!$BG:$BG," "),IF(_xlpm.x=0," ",_xlpm.x))</f>
        <v>/CCBJI/T_FLD_VAL</v>
      </c>
      <c r="G4" s="7"/>
      <c r="L4" s="7"/>
    </row>
    <row r="5" spans="1:13">
      <c r="A5" s="5" t="s">
        <v>19</v>
      </c>
      <c r="B5" s="7" t="s">
        <v>20</v>
      </c>
      <c r="D5" s="7" t="str">
        <f>_xlfn.LET(_xlpm.x,_xlfn.XLOOKUP(A5,'[1]2. Abinitio IF'!$C:$C,'[1]2. Abinitio IF'!$AY:$AY," "), IF(_xlpm.x=0," ",_xlpm.x))</f>
        <v>Transactional</v>
      </c>
      <c r="E5" s="8" t="str">
        <f>_xlfn.LET(_xlpm.x,_xlfn.XLOOKUP($A5,'[1]2. Abinitio IF'!$C:$C,'[1]2. Abinitio IF'!$BA:$BA," "), IF(_xlpm.x=0," ",_xlpm.x))</f>
        <v xml:space="preserve"> </v>
      </c>
      <c r="F5" s="7" t="str">
        <f>_xlfn.LET(_xlpm.x,_xlfn.XLOOKUP($A5,'[1]2. Abinitio IF'!$C:$C,'[1]2. Abinitio IF'!$BG:$BG," "),IF(_xlpm.x=0," ",_xlpm.x))</f>
        <v>EDIDC/EDID4
BasicType=ORDERS02
Extension=/CCEJ/ORDERS02_FVC
MsgType=/CCEJ/ORDERS_FVC</v>
      </c>
      <c r="G5" s="7"/>
      <c r="L5" s="7"/>
    </row>
    <row r="6" spans="1:13">
      <c r="A6" s="5" t="s">
        <v>21</v>
      </c>
      <c r="B6" s="7" t="s">
        <v>20</v>
      </c>
      <c r="D6" s="7" t="str">
        <f>_xlfn.LET(_xlpm.x,_xlfn.XLOOKUP(A6,'[1]2. Abinitio IF'!$C:$C,'[1]2. Abinitio IF'!$AY:$AY," "), IF(_xlpm.x=0," ",_xlpm.x))</f>
        <v>Transactional</v>
      </c>
      <c r="E6" s="8" t="str">
        <f>_xlfn.LET(_xlpm.x,_xlfn.XLOOKUP($A6,'[1]2. Abinitio IF'!$C:$C,'[1]2. Abinitio IF'!$BA:$BA," "), IF(_xlpm.x=0," ",_xlpm.x))</f>
        <v xml:space="preserve"> </v>
      </c>
      <c r="F6" s="7" t="str">
        <f>_xlfn.LET(_xlpm.x,_xlfn.XLOOKUP($A6,'[1]2. Abinitio IF'!$C:$C,'[1]2. Abinitio IF'!$BG:$BG," "),IF(_xlpm.x=0," ",_xlpm.x))</f>
        <v>EDIDC/EDID4
BasicType=/CCEJ/WMMBID02_FVC1
MsgType=/CCEJ/GR_FVC</v>
      </c>
      <c r="G6" s="7"/>
      <c r="L6" s="7"/>
    </row>
    <row r="7" spans="1:13">
      <c r="A7" s="5" t="s">
        <v>22</v>
      </c>
      <c r="B7" s="7" t="s">
        <v>20</v>
      </c>
      <c r="D7" s="7" t="str">
        <f>_xlfn.LET(_xlpm.x,_xlfn.XLOOKUP(A7,'[1]2. Abinitio IF'!$C:$C,'[1]2. Abinitio IF'!$AY:$AY," "), IF(_xlpm.x=0," ",_xlpm.x))</f>
        <v>Transactional</v>
      </c>
      <c r="E7" s="8" t="str">
        <f>_xlfn.LET(_xlpm.x,_xlfn.XLOOKUP($A7,'[1]2. Abinitio IF'!$C:$C,'[1]2. Abinitio IF'!$BA:$BA," "), IF(_xlpm.x=0," ",_xlpm.x))</f>
        <v xml:space="preserve"> </v>
      </c>
      <c r="F7" s="7" t="str">
        <f>_xlfn.LET(_xlpm.x,_xlfn.XLOOKUP($A7,'[1]2. Abinitio IF'!$C:$C,'[1]2. Abinitio IF'!$BG:$BG," "),IF(_xlpm.x=0," ",_xlpm.x))</f>
        <v>EDIDC/EDID4
BasicType=/CCEJ/WMMBID02_FVC_RET
MsgType=/CCEJ/RETURN_FVC</v>
      </c>
      <c r="G7" s="7"/>
      <c r="L7" s="7"/>
    </row>
    <row r="8" spans="1:13" ht="21.95" customHeight="1">
      <c r="A8" s="6" t="s">
        <v>23</v>
      </c>
      <c r="B8" s="9" t="s">
        <v>24</v>
      </c>
      <c r="C8" s="9" t="s">
        <v>25</v>
      </c>
      <c r="D8" s="7" t="str">
        <f>_xlfn.LET(_xlpm.x,_xlfn.XLOOKUP(A8,'[1]2. Abinitio IF'!$C:$C,'[1]2. Abinitio IF'!$AY:$AY," "), IF(_xlpm.x=0," ",_xlpm.x))</f>
        <v xml:space="preserve"> </v>
      </c>
      <c r="E8" s="8" t="str">
        <f>_xlfn.LET(_xlpm.x,_xlfn.XLOOKUP($A8,'[1]2. Abinitio IF'!$C:$C,'[1]2. Abinitio IF'!$BA:$BA," "), IF(_xlpm.x=0," ",_xlpm.x))</f>
        <v xml:space="preserve"> </v>
      </c>
      <c r="F8" s="7" t="str">
        <f>_xlfn.LET(_xlpm.x,_xlfn.XLOOKUP($A8,'[1]2. Abinitio IF'!$C:$C,'[1]2. Abinitio IF'!$BG:$BG," "),IF(_xlpm.x=0," ",_xlpm.x))</f>
        <v>Table Name: ANEA,ANEP,ANKT,ANLA,ANLB,ANLBZA,ANLC,ANLZ,CSKT,T087T,T093B,TABA,TABW,TFKBT</v>
      </c>
      <c r="G8" s="7" t="s">
        <v>26</v>
      </c>
      <c r="L8" s="14" t="s">
        <v>27</v>
      </c>
    </row>
    <row r="9" spans="1:13" ht="48" customHeight="1">
      <c r="A9" s="5" t="s">
        <v>28</v>
      </c>
      <c r="B9" s="7" t="s">
        <v>18</v>
      </c>
      <c r="D9" s="7" t="str">
        <f>_xlfn.LET(_xlpm.x,_xlfn.XLOOKUP(A9,'[1]2. Abinitio IF'!$C:$C,'[1]2. Abinitio IF'!$AY:$AY," "), IF(_xlpm.x=0," ",_xlpm.x))</f>
        <v>Transactional</v>
      </c>
      <c r="E9" s="8" t="str">
        <f>_xlfn.LET(_xlpm.x,_xlfn.XLOOKUP($A9,'[1]2. Abinitio IF'!$C:$C,'[1]2. Abinitio IF'!$BA:$BA," "), IF(_xlpm.x=0," ",_xlpm.x))</f>
        <v xml:space="preserve"> </v>
      </c>
      <c r="F9" s="7" t="str">
        <f>_xlfn.LET(_xlpm.x,_xlfn.XLOOKUP($A9,'[1]2. Abinitio IF'!$C:$C,'[1]2. Abinitio IF'!$BG:$BG," "),IF(_xlpm.x=0," ",_xlpm.x))</f>
        <v>BasicType=/CCEJ/HHTINB01_CORR
MsgType=/CCEJ/HHTINB_CORRECTION
BasicType=/CCEJ/ADD_LOAD
MsgType=/CCEJ/ADDITIONAL_LOAD
BasicType=/CCEJ/HHTINB01
MsgType=/CCEJ/HHTINB</v>
      </c>
      <c r="G9" s="7"/>
      <c r="L9" s="7"/>
    </row>
    <row r="10" spans="1:13">
      <c r="A10" s="5" t="s">
        <v>29</v>
      </c>
      <c r="B10" s="7" t="s">
        <v>18</v>
      </c>
      <c r="D10" s="7" t="str">
        <f>_xlfn.LET(_xlpm.x,_xlfn.XLOOKUP(A10,'[1]2. Abinitio IF'!$C:$C,'[1]2. Abinitio IF'!$AY:$AY," "), IF(_xlpm.x=0," ",_xlpm.x))</f>
        <v>Transactional</v>
      </c>
      <c r="E10" s="8" t="str">
        <f>_xlfn.LET(_xlpm.x,_xlfn.XLOOKUP($A10,'[1]2. Abinitio IF'!$C:$C,'[1]2. Abinitio IF'!$BA:$BA," "), IF(_xlpm.x=0," ",_xlpm.x))</f>
        <v xml:space="preserve"> </v>
      </c>
      <c r="F10" s="7" t="str">
        <f>_xlfn.LET(_xlpm.x,_xlfn.XLOOKUP($A10,'[1]2. Abinitio IF'!$C:$C,'[1]2. Abinitio IF'!$BG:$BG," "),IF(_xlpm.x=0," ",_xlpm.x))</f>
        <v>EDIDC/EDID4
BasicType=ORDERS05
Extension=/CCEJ/ORDERS05_01
MsgType=/CCEJ/OTC_ORDRSP</v>
      </c>
      <c r="G10" s="7"/>
      <c r="L10" s="7"/>
    </row>
    <row r="11" spans="1:13">
      <c r="A11" s="5" t="s">
        <v>30</v>
      </c>
      <c r="B11" s="7" t="s">
        <v>18</v>
      </c>
      <c r="D11" s="7" t="str">
        <f>_xlfn.LET(_xlpm.x,_xlfn.XLOOKUP(A11,'[1]2. Abinitio IF'!$C:$C,'[1]2. Abinitio IF'!$AY:$AY," "), IF(_xlpm.x=0," ",_xlpm.x))</f>
        <v>Transactional</v>
      </c>
      <c r="E11" s="8" t="str">
        <f>_xlfn.LET(_xlpm.x,_xlfn.XLOOKUP($A11,'[1]2. Abinitio IF'!$C:$C,'[1]2. Abinitio IF'!$BA:$BA," "), IF(_xlpm.x=0," ",_xlpm.x))</f>
        <v xml:space="preserve"> </v>
      </c>
      <c r="F11" s="7" t="str">
        <f>_xlfn.LET(_xlpm.x,_xlfn.XLOOKUP($A11,'[1]2. Abinitio IF'!$C:$C,'[1]2. Abinitio IF'!$BG:$BG," "),IF(_xlpm.x=0," ",_xlpm.x))</f>
        <v>EDIDC/EDID4
BasicType=/CCEJ/WMMBID02_FVC_RET
MsgType=/CCEJ/RETURN_FVC</v>
      </c>
      <c r="G11" s="7"/>
      <c r="L11" s="7"/>
    </row>
    <row r="12" spans="1:13">
      <c r="A12" s="5" t="s">
        <v>31</v>
      </c>
      <c r="B12" s="7" t="s">
        <v>18</v>
      </c>
      <c r="D12" s="7" t="str">
        <f>_xlfn.LET(_xlpm.x,_xlfn.XLOOKUP(A12,'[1]2. Abinitio IF'!$C:$C,'[1]2. Abinitio IF'!$AY:$AY," "), IF(_xlpm.x=0," ",_xlpm.x))</f>
        <v>Transactional</v>
      </c>
      <c r="E12" s="8" t="str">
        <f>_xlfn.LET(_xlpm.x,_xlfn.XLOOKUP($A12,'[1]2. Abinitio IF'!$C:$C,'[1]2. Abinitio IF'!$BA:$BA," "), IF(_xlpm.x=0," ",_xlpm.x))</f>
        <v xml:space="preserve"> </v>
      </c>
      <c r="F12" s="7" t="str">
        <f>_xlfn.LET(_xlpm.x,_xlfn.XLOOKUP($A12,'[1]2. Abinitio IF'!$C:$C,'[1]2. Abinitio IF'!$BG:$BG," "),IF(_xlpm.x=0," ",_xlpm.x))</f>
        <v>AcctngDocument.Check
AcctngDocument.Post</v>
      </c>
      <c r="G12" s="7"/>
      <c r="L12" s="7"/>
    </row>
    <row r="13" spans="1:13">
      <c r="A13" s="5" t="s">
        <v>32</v>
      </c>
      <c r="B13" s="7" t="s">
        <v>18</v>
      </c>
      <c r="D13" s="7" t="str">
        <f>_xlfn.LET(_xlpm.x,_xlfn.XLOOKUP(A13,'[1]2. Abinitio IF'!$C:$C,'[1]2. Abinitio IF'!$AY:$AY," "), IF(_xlpm.x=0," ",_xlpm.x))</f>
        <v>Transactional</v>
      </c>
      <c r="E13" s="8" t="str">
        <f>_xlfn.LET(_xlpm.x,_xlfn.XLOOKUP($A13,'[1]2. Abinitio IF'!$C:$C,'[1]2. Abinitio IF'!$BA:$BA," "), IF(_xlpm.x=0," ",_xlpm.x))</f>
        <v xml:space="preserve"> </v>
      </c>
      <c r="F13" s="7" t="str">
        <f>_xlfn.LET(_xlpm.x,_xlfn.XLOOKUP($A13,'[1]2. Abinitio IF'!$C:$C,'[1]2. Abinitio IF'!$BG:$BG," "),IF(_xlpm.x=0," ",_xlpm.x))</f>
        <v>FI_DOCUMENT_READ
AcctngDocument.Check
AcctngDocument.Post
AcctngDocument.CheckReversal</v>
      </c>
      <c r="G13" s="7"/>
      <c r="L13" s="7"/>
    </row>
    <row r="14" spans="1:13">
      <c r="A14" s="5" t="s">
        <v>33</v>
      </c>
      <c r="B14" s="7" t="s">
        <v>18</v>
      </c>
      <c r="D14" s="7" t="str">
        <f>_xlfn.LET(_xlpm.x,_xlfn.XLOOKUP(A14,'[1]2. Abinitio IF'!$C:$C,'[1]2. Abinitio IF'!$AY:$AY," "), IF(_xlpm.x=0," ",_xlpm.x))</f>
        <v>Transactional</v>
      </c>
      <c r="E14" s="8" t="str">
        <f>_xlfn.LET(_xlpm.x,_xlfn.XLOOKUP($A14,'[1]2. Abinitio IF'!$C:$C,'[1]2. Abinitio IF'!$BA:$BA," "), IF(_xlpm.x=0," ",_xlpm.x))</f>
        <v xml:space="preserve"> </v>
      </c>
      <c r="F14" s="7" t="str">
        <f>_xlfn.LET(_xlpm.x,_xlfn.XLOOKUP($A14,'[1]2. Abinitio IF'!$C:$C,'[1]2. Abinitio IF'!$BG:$BG," "),IF(_xlpm.x=0," ",_xlpm.x))</f>
        <v>RFC_READ_TABLE</v>
      </c>
      <c r="G14" s="7"/>
      <c r="L14" s="7"/>
    </row>
    <row r="15" spans="1:13">
      <c r="A15" s="5" t="s">
        <v>34</v>
      </c>
      <c r="B15" s="7" t="s">
        <v>18</v>
      </c>
      <c r="D15" s="7" t="str">
        <f>_xlfn.LET(_xlpm.x,_xlfn.XLOOKUP(A15,'[1]2. Abinitio IF'!$C:$C,'[1]2. Abinitio IF'!$AY:$AY," "), IF(_xlpm.x=0," ",_xlpm.x))</f>
        <v>Transactional</v>
      </c>
      <c r="E15" s="8" t="str">
        <f>_xlfn.LET(_xlpm.x,_xlfn.XLOOKUP($A15,'[1]2. Abinitio IF'!$C:$C,'[1]2. Abinitio IF'!$BA:$BA," "), IF(_xlpm.x=0," ",_xlpm.x))</f>
        <v xml:space="preserve"> </v>
      </c>
      <c r="F15" s="7" t="str">
        <f>_xlfn.LET(_xlpm.x,_xlfn.XLOOKUP($A15,'[1]2. Abinitio IF'!$C:$C,'[1]2. Abinitio IF'!$BG:$BG," "),IF(_xlpm.x=0," ",_xlpm.x))</f>
        <v>BAPI_SALESDOCU_CREATEFROMDATA1</v>
      </c>
      <c r="G15" s="7"/>
      <c r="L15" s="7"/>
    </row>
    <row r="16" spans="1:13">
      <c r="A16" s="5" t="s">
        <v>35</v>
      </c>
      <c r="B16" s="7" t="s">
        <v>18</v>
      </c>
      <c r="D16" s="7" t="str">
        <f>_xlfn.LET(_xlpm.x,_xlfn.XLOOKUP(A16,'[1]2. Abinitio IF'!$C:$C,'[1]2. Abinitio IF'!$AY:$AY," "), IF(_xlpm.x=0," ",_xlpm.x))</f>
        <v>Transactional</v>
      </c>
      <c r="E16" s="8" t="str">
        <f>_xlfn.LET(_xlpm.x,_xlfn.XLOOKUP($A16,'[1]2. Abinitio IF'!$C:$C,'[1]2. Abinitio IF'!$BA:$BA," "), IF(_xlpm.x=0," ",_xlpm.x))</f>
        <v xml:space="preserve"> </v>
      </c>
      <c r="F16" s="7" t="str">
        <f>_xlfn.LET(_xlpm.x,_xlfn.XLOOKUP($A16,'[1]2. Abinitio IF'!$C:$C,'[1]2. Abinitio IF'!$BG:$BG," "),IF(_xlpm.x=0," ",_xlpm.x))</f>
        <v>/CCEJ/TZKTSD0042</v>
      </c>
      <c r="G16" s="7"/>
      <c r="L16" s="7"/>
    </row>
    <row r="17" spans="1:12">
      <c r="A17" s="5" t="s">
        <v>36</v>
      </c>
      <c r="B17" s="9" t="s">
        <v>24</v>
      </c>
      <c r="C17" s="9" t="s">
        <v>25</v>
      </c>
      <c r="D17" s="7" t="str">
        <f>_xlfn.LET(_xlpm.x,_xlfn.XLOOKUP(A17,'[1]2. Abinitio IF'!$C:$C,'[1]2. Abinitio IF'!$AY:$AY," "), IF(_xlpm.x=0," ",_xlpm.x))</f>
        <v>Transactional</v>
      </c>
      <c r="E17" s="8" t="str">
        <f>_xlfn.LET(_xlpm.x,_xlfn.XLOOKUP($A17,'[1]2. Abinitio IF'!$C:$C,'[1]2. Abinitio IF'!$BA:$BA," "), IF(_xlpm.x=0," ",_xlpm.x))</f>
        <v xml:space="preserve"> </v>
      </c>
      <c r="F17" s="7" t="str">
        <f>_xlfn.LET(_xlpm.x,_xlfn.XLOOKUP($A17,'[1]2. Abinitio IF'!$C:$C,'[1]2. Abinitio IF'!$BG:$BG," "),IF(_xlpm.x=0," ",_xlpm.x))</f>
        <v>/CCBJI/T_JCTINVR</v>
      </c>
      <c r="G17" s="7"/>
    </row>
    <row r="18" spans="1:12">
      <c r="A18" s="5" t="s">
        <v>37</v>
      </c>
      <c r="B18" s="7" t="s">
        <v>15</v>
      </c>
      <c r="C18" s="7" t="s">
        <v>16</v>
      </c>
      <c r="D18" s="7" t="str">
        <f>_xlfn.LET(_xlpm.x,_xlfn.XLOOKUP(A18,'[1]2. Abinitio IF'!$C:$C,'[1]2. Abinitio IF'!$AY:$AY," "), IF(_xlpm.x=0," ",_xlpm.x))</f>
        <v>Transactional</v>
      </c>
      <c r="E18" s="8" t="str">
        <f>_xlfn.LET(_xlpm.x,_xlfn.XLOOKUP($A18,'[1]2. Abinitio IF'!$C:$C,'[1]2. Abinitio IF'!$BA:$BA," "), IF(_xlpm.x=0," ",_xlpm.x))</f>
        <v xml:space="preserve"> </v>
      </c>
      <c r="F18" s="7" t="str">
        <f>_xlfn.LET(_xlpm.x,_xlfn.XLOOKUP($A18,'[1]2. Abinitio IF'!$C:$C,'[1]2. Abinitio IF'!$BG:$BG," "),IF(_xlpm.x=0," ",_xlpm.x))</f>
        <v>BAPI_SALESORDER_SIMULATE</v>
      </c>
      <c r="G18" s="7"/>
      <c r="L18" s="7"/>
    </row>
    <row r="19" spans="1:12">
      <c r="A19" s="5" t="s">
        <v>38</v>
      </c>
      <c r="B19" s="7" t="s">
        <v>39</v>
      </c>
      <c r="C19" s="7" t="s">
        <v>16</v>
      </c>
      <c r="D19" s="7" t="str">
        <f>_xlfn.LET(_xlpm.x,_xlfn.XLOOKUP(A19,'[1]2. Abinitio IF'!$C:$C,'[1]2. Abinitio IF'!$AY:$AY," "), IF(_xlpm.x=0," ",_xlpm.x))</f>
        <v>Transactional</v>
      </c>
      <c r="E19" s="8" t="str">
        <f>_xlfn.LET(_xlpm.x,_xlfn.XLOOKUP($A19,'[1]2. Abinitio IF'!$C:$C,'[1]2. Abinitio IF'!$BA:$BA," "), IF(_xlpm.x=0," ",_xlpm.x))</f>
        <v xml:space="preserve"> </v>
      </c>
      <c r="F19" s="7" t="str">
        <f>_xlfn.LET(_xlpm.x,_xlfn.XLOOKUP($A19,'[1]2. Abinitio IF'!$C:$C,'[1]2. Abinitio IF'!$BG:$BG," "),IF(_xlpm.x=0," ",_xlpm.x))</f>
        <v>AcctngDocument.Check
AcctngDocument.Post</v>
      </c>
      <c r="G19" s="7"/>
      <c r="L19" s="7"/>
    </row>
    <row r="20" spans="1:12">
      <c r="A20" s="5" t="s">
        <v>40</v>
      </c>
      <c r="B20" s="7" t="s">
        <v>39</v>
      </c>
      <c r="C20" s="7" t="s">
        <v>16</v>
      </c>
      <c r="D20" s="7" t="str">
        <f>_xlfn.LET(_xlpm.x,_xlfn.XLOOKUP(A20,'[1]2. Abinitio IF'!$C:$C,'[1]2. Abinitio IF'!$AY:$AY," "), IF(_xlpm.x=0," ",_xlpm.x))</f>
        <v>Transactional</v>
      </c>
      <c r="E20" s="8" t="str">
        <f>_xlfn.LET(_xlpm.x,_xlfn.XLOOKUP($A20,'[1]2. Abinitio IF'!$C:$C,'[1]2. Abinitio IF'!$BA:$BA," "), IF(_xlpm.x=0," ",_xlpm.x))</f>
        <v xml:space="preserve"> </v>
      </c>
      <c r="F20" s="7" t="str">
        <f>_xlfn.LET(_xlpm.x,_xlfn.XLOOKUP($A20,'[1]2. Abinitio IF'!$C:$C,'[1]2. Abinitio IF'!$BG:$BG," "),IF(_xlpm.x=0," ",_xlpm.x))</f>
        <v>FI_DOCUMENT_READ
AcctngDocument.Check
AcctngDocument.Post
AcctngDocument.CheckReversal</v>
      </c>
      <c r="G20" s="7"/>
      <c r="L20" s="7"/>
    </row>
    <row r="21" spans="1:12" ht="26.1">
      <c r="A21" s="6" t="s">
        <v>41</v>
      </c>
      <c r="B21" s="7" t="s">
        <v>39</v>
      </c>
      <c r="C21" s="7" t="s">
        <v>16</v>
      </c>
      <c r="D21" s="7" t="str">
        <f>_xlfn.LET(_xlpm.x,_xlfn.XLOOKUP(A21,'[1]2. Abinitio IF'!$C:$C,'[1]2. Abinitio IF'!$AY:$AY," "), IF(_xlpm.x=0," ",_xlpm.x))</f>
        <v>Transactional</v>
      </c>
      <c r="E21" s="8" t="str">
        <f>_xlfn.LET(_xlpm.x,_xlfn.XLOOKUP($A21,'[1]2. Abinitio IF'!$C:$C,'[1]2. Abinitio IF'!$BA:$BA," "), IF(_xlpm.x=0," ",_xlpm.x))</f>
        <v xml:space="preserve"> </v>
      </c>
      <c r="F21" s="7" t="str">
        <f>_xlfn.LET(_xlpm.x,_xlfn.XLOOKUP($A21,'[1]2. Abinitio IF'!$C:$C,'[1]2. Abinitio IF'!$BG:$BG," "),IF(_xlpm.x=0," ",_xlpm.x))</f>
        <v>BAPI_SALESDOCU_CREATEFROMDATA1</v>
      </c>
      <c r="G21" s="7"/>
      <c r="L21" s="7"/>
    </row>
    <row r="22" spans="1:12">
      <c r="A22" s="5" t="s">
        <v>42</v>
      </c>
      <c r="B22" s="7" t="s">
        <v>15</v>
      </c>
      <c r="C22" s="7" t="s">
        <v>16</v>
      </c>
      <c r="D22" s="7" t="str">
        <f>_xlfn.LET(_xlpm.x,_xlfn.XLOOKUP(A22,'[1]2. Abinitio IF'!$C:$C,'[1]2. Abinitio IF'!$AY:$AY," "), IF(_xlpm.x=0," ",_xlpm.x))</f>
        <v>Transactional</v>
      </c>
      <c r="E22" s="8" t="str">
        <f>_xlfn.LET(_xlpm.x,_xlfn.XLOOKUP($A22,'[1]2. Abinitio IF'!$C:$C,'[1]2. Abinitio IF'!$BA:$BA," "), IF(_xlpm.x=0," ",_xlpm.x))</f>
        <v xml:space="preserve"> </v>
      </c>
      <c r="F22" s="7" t="str">
        <f>_xlfn.LET(_xlpm.x,_xlfn.XLOOKUP($A22,'[1]2. Abinitio IF'!$C:$C,'[1]2. Abinitio IF'!$BG:$BG," "),IF(_xlpm.x=0," ",_xlpm.x))</f>
        <v>BasicType=/CCEJ/HHTINB01_CORR
MsgType=/CCEJ/HHTINB_CORRECTION
BasicType=/CCEJ/ADD_LOAD
MsgType=/CCEJ/ADDITIONAL_LOAD
BasicType=/CCEJ/HHTINB01
MsgType=/CCEJ/HHTINB</v>
      </c>
      <c r="G22" s="7"/>
      <c r="L22" s="7"/>
    </row>
    <row r="23" spans="1:12">
      <c r="A23" s="5" t="s">
        <v>43</v>
      </c>
      <c r="B23" s="7" t="s">
        <v>39</v>
      </c>
      <c r="C23" s="7" t="s">
        <v>16</v>
      </c>
      <c r="D23" s="7" t="str">
        <f>_xlfn.LET(_xlpm.x,_xlfn.XLOOKUP(A23,'[1]2. Abinitio IF'!$C:$C,'[1]2. Abinitio IF'!$AY:$AY," "), IF(_xlpm.x=0," ",_xlpm.x))</f>
        <v xml:space="preserve"> </v>
      </c>
      <c r="E23" s="8" t="str">
        <f>_xlfn.LET(_xlpm.x,_xlfn.XLOOKUP($A23,'[1]2. Abinitio IF'!$C:$C,'[1]2. Abinitio IF'!$BA:$BA," "), IF(_xlpm.x=0," ",_xlpm.x))</f>
        <v xml:space="preserve"> </v>
      </c>
      <c r="F23" s="7" t="str">
        <f>_xlfn.LET(_xlpm.x,_xlfn.XLOOKUP($A23,'[1]2. Abinitio IF'!$C:$C,'[1]2. Abinitio IF'!$BG:$BG," "),IF(_xlpm.x=0," ",_xlpm.x))</f>
        <v>EDIDC/EDID4
BasicType=/CCEJ/AP_INFO_SUB
MsgType=/CCEJ/AP_INFO_SUB</v>
      </c>
      <c r="G23" s="7"/>
      <c r="L23" s="7"/>
    </row>
    <row r="24" spans="1:12">
      <c r="A24" s="5" t="s">
        <v>44</v>
      </c>
      <c r="B24" s="7" t="s">
        <v>15</v>
      </c>
      <c r="C24" s="7" t="s">
        <v>16</v>
      </c>
      <c r="D24" s="7" t="str">
        <f>_xlfn.LET(_xlpm.x,_xlfn.XLOOKUP(A24,'[1]2. Abinitio IF'!$C:$C,'[1]2. Abinitio IF'!$AY:$AY," "), IF(_xlpm.x=0," ",_xlpm.x))</f>
        <v xml:space="preserve"> </v>
      </c>
      <c r="E24" s="8" t="str">
        <f>_xlfn.LET(_xlpm.x,_xlfn.XLOOKUP($A24,'[1]2. Abinitio IF'!$C:$C,'[1]2. Abinitio IF'!$BA:$BA," "), IF(_xlpm.x=0," ",_xlpm.x))</f>
        <v xml:space="preserve"> </v>
      </c>
      <c r="F24" s="7" t="str">
        <f>_xlfn.LET(_xlpm.x,_xlfn.XLOOKUP($A24,'[1]2. Abinitio IF'!$C:$C,'[1]2. Abinitio IF'!$BG:$BG," "),IF(_xlpm.x=0," ",_xlpm.x))</f>
        <v>KNA1</v>
      </c>
      <c r="G24" s="7"/>
      <c r="L24" s="7"/>
    </row>
    <row r="25" spans="1:12" ht="12" customHeight="1">
      <c r="A25" s="6" t="s">
        <v>45</v>
      </c>
      <c r="B25" s="7" t="s">
        <v>18</v>
      </c>
      <c r="D25" s="7" t="str">
        <f>_xlfn.LET(_xlpm.x,_xlfn.XLOOKUP(A25,'[1]2. Abinitio IF'!$C:$C,'[1]2. Abinitio IF'!$AY:$AY," "), IF(_xlpm.x=0," ",_xlpm.x))</f>
        <v xml:space="preserve"> </v>
      </c>
      <c r="E25" s="8" t="str">
        <f>_xlfn.LET(_xlpm.x,_xlfn.XLOOKUP($A25,'[1]2. Abinitio IF'!$C:$C,'[1]2. Abinitio IF'!$BA:$BA," "), IF(_xlpm.x=0," ",_xlpm.x))</f>
        <v xml:space="preserve"> </v>
      </c>
      <c r="F25" s="7" t="str">
        <f>_xlfn.LET(_xlpm.x,_xlfn.XLOOKUP($A25,'[1]2. Abinitio IF'!$C:$C,'[1]2. Abinitio IF'!$BG:$BG," "),IF(_xlpm.x=0," ",_xlpm.x))</f>
        <v xml:space="preserve"> </v>
      </c>
      <c r="G25" s="7"/>
      <c r="L25" s="7"/>
    </row>
    <row r="26" spans="1:12">
      <c r="A26" s="5" t="s">
        <v>46</v>
      </c>
      <c r="B26" s="7" t="s">
        <v>18</v>
      </c>
      <c r="D26" s="7" t="str">
        <f>_xlfn.LET(_xlpm.x,_xlfn.XLOOKUP(A26,'[1]2. Abinitio IF'!$C:$C,'[1]2. Abinitio IF'!$AY:$AY," "), IF(_xlpm.x=0," ",_xlpm.x))</f>
        <v>Transactional</v>
      </c>
      <c r="E26" s="8" t="str">
        <f>_xlfn.LET(_xlpm.x,_xlfn.XLOOKUP($A26,'[1]2. Abinitio IF'!$C:$C,'[1]2. Abinitio IF'!$BA:$BA," "), IF(_xlpm.x=0," ",_xlpm.x))</f>
        <v xml:space="preserve"> </v>
      </c>
      <c r="F26" s="7" t="str">
        <f>_xlfn.LET(_xlpm.x,_xlfn.XLOOKUP($A26,'[1]2. Abinitio IF'!$C:$C,'[1]2. Abinitio IF'!$BG:$BG," "),IF(_xlpm.x=0," ",_xlpm.x))</f>
        <v>/CCEJ/TZKTMM0107</v>
      </c>
      <c r="G26" s="7"/>
      <c r="L26" s="7"/>
    </row>
    <row r="27" spans="1:12">
      <c r="A27" s="5" t="s">
        <v>47</v>
      </c>
      <c r="B27" s="7" t="s">
        <v>18</v>
      </c>
      <c r="D27" s="7" t="str">
        <f>_xlfn.LET(_xlpm.x,_xlfn.XLOOKUP(A27,'[1]2. Abinitio IF'!$C:$C,'[1]2. Abinitio IF'!$AY:$AY," "), IF(_xlpm.x=0," ",_xlpm.x))</f>
        <v>Transactional</v>
      </c>
      <c r="E27" s="8" t="str">
        <f>_xlfn.LET(_xlpm.x,_xlfn.XLOOKUP($A27,'[1]2. Abinitio IF'!$C:$C,'[1]2. Abinitio IF'!$BA:$BA," "), IF(_xlpm.x=0," ",_xlpm.x))</f>
        <v xml:space="preserve"> </v>
      </c>
      <c r="F27" s="7" t="str">
        <f>_xlfn.LET(_xlpm.x,_xlfn.XLOOKUP($A27,'[1]2. Abinitio IF'!$C:$C,'[1]2. Abinitio IF'!$BG:$BG," "),IF(_xlpm.x=0," ",_xlpm.x))</f>
        <v>/CCEJ/TZKTSD0106</v>
      </c>
      <c r="G27" s="7"/>
      <c r="L27" s="7"/>
    </row>
    <row r="28" spans="1:12">
      <c r="A28" s="5" t="s">
        <v>48</v>
      </c>
      <c r="B28" s="7" t="s">
        <v>18</v>
      </c>
      <c r="D28" s="7" t="str">
        <f>_xlfn.LET(_xlpm.x,_xlfn.XLOOKUP(A28,'[1]2. Abinitio IF'!$C:$C,'[1]2. Abinitio IF'!$AY:$AY," "), IF(_xlpm.x=0," ",_xlpm.x))</f>
        <v>Transactional</v>
      </c>
      <c r="E28" s="8" t="str">
        <f>_xlfn.LET(_xlpm.x,_xlfn.XLOOKUP($A28,'[1]2. Abinitio IF'!$C:$C,'[1]2. Abinitio IF'!$BA:$BA," "), IF(_xlpm.x=0," ",_xlpm.x))</f>
        <v xml:space="preserve"> </v>
      </c>
      <c r="F28" s="7" t="str">
        <f>_xlfn.LET(_xlpm.x,_xlfn.XLOOKUP($A28,'[1]2. Abinitio IF'!$C:$C,'[1]2. Abinitio IF'!$BG:$BG," "),IF(_xlpm.x=0," ",_xlpm.x))</f>
        <v>/CCEJ/TZKTSD0084</v>
      </c>
      <c r="G28" s="7"/>
      <c r="L28" s="7"/>
    </row>
    <row r="29" spans="1:12">
      <c r="A29" s="5" t="s">
        <v>49</v>
      </c>
      <c r="B29" s="7" t="s">
        <v>18</v>
      </c>
      <c r="D29" s="7" t="str">
        <f>_xlfn.LET(_xlpm.x,_xlfn.XLOOKUP(A29,'[1]2. Abinitio IF'!$C:$C,'[1]2. Abinitio IF'!$AY:$AY," "), IF(_xlpm.x=0," ",_xlpm.x))</f>
        <v>Transactional</v>
      </c>
      <c r="E29" s="8" t="str">
        <f>_xlfn.LET(_xlpm.x,_xlfn.XLOOKUP($A29,'[1]2. Abinitio IF'!$C:$C,'[1]2. Abinitio IF'!$BA:$BA," "), IF(_xlpm.x=0," ",_xlpm.x))</f>
        <v xml:space="preserve"> </v>
      </c>
      <c r="F29" s="7" t="str">
        <f>_xlfn.LET(_xlpm.x,_xlfn.XLOOKUP($A29,'[1]2. Abinitio IF'!$C:$C,'[1]2. Abinitio IF'!$BG:$BG," "),IF(_xlpm.x=0," ",_xlpm.x))</f>
        <v>/CCEJ/ZKTSD0104</v>
      </c>
      <c r="G29" s="7"/>
      <c r="L29" s="7"/>
    </row>
    <row r="30" spans="1:12">
      <c r="A30" s="5" t="s">
        <v>50</v>
      </c>
      <c r="B30" s="7" t="s">
        <v>18</v>
      </c>
      <c r="D30" s="7" t="str">
        <f>_xlfn.LET(_xlpm.x,_xlfn.XLOOKUP(A30,'[1]2. Abinitio IF'!$C:$C,'[1]2. Abinitio IF'!$AY:$AY," "), IF(_xlpm.x=0," ",_xlpm.x))</f>
        <v>Transactional</v>
      </c>
      <c r="E30" s="8" t="str">
        <f>_xlfn.LET(_xlpm.x,_xlfn.XLOOKUP($A30,'[1]2. Abinitio IF'!$C:$C,'[1]2. Abinitio IF'!$BA:$BA," "), IF(_xlpm.x=0," ",_xlpm.x))</f>
        <v xml:space="preserve"> </v>
      </c>
      <c r="F30" s="7" t="str">
        <f>_xlfn.LET(_xlpm.x,_xlfn.XLOOKUP($A30,'[1]2. Abinitio IF'!$C:$C,'[1]2. Abinitio IF'!$BG:$BG," "),IF(_xlpm.x=0," ",_xlpm.x))</f>
        <v>/CCEJ/TZKTSD0003</v>
      </c>
      <c r="G30" s="7"/>
      <c r="L30" s="7"/>
    </row>
    <row r="31" spans="1:12">
      <c r="A31" s="5" t="s">
        <v>51</v>
      </c>
      <c r="B31" s="7" t="s">
        <v>18</v>
      </c>
      <c r="D31" s="7" t="str">
        <f>_xlfn.LET(_xlpm.x,_xlfn.XLOOKUP(A31,'[1]2. Abinitio IF'!$C:$C,'[1]2. Abinitio IF'!$AY:$AY," "), IF(_xlpm.x=0," ",_xlpm.x))</f>
        <v>Transactional</v>
      </c>
      <c r="E31" s="8" t="str">
        <f>_xlfn.LET(_xlpm.x,_xlfn.XLOOKUP($A31,'[1]2. Abinitio IF'!$C:$C,'[1]2. Abinitio IF'!$BA:$BA," "), IF(_xlpm.x=0," ",_xlpm.x))</f>
        <v xml:space="preserve"> </v>
      </c>
      <c r="F31" s="7" t="str">
        <f>_xlfn.LET(_xlpm.x,_xlfn.XLOOKUP($A31,'[1]2. Abinitio IF'!$C:$C,'[1]2. Abinitio IF'!$BG:$BG," "),IF(_xlpm.x=0," ",_xlpm.x))</f>
        <v>/CCEJ/B_FS_CUST</v>
      </c>
      <c r="G31" s="7"/>
      <c r="L31" s="7"/>
    </row>
    <row r="32" spans="1:12">
      <c r="A32" s="5" t="s">
        <v>52</v>
      </c>
      <c r="B32" s="7" t="s">
        <v>18</v>
      </c>
      <c r="D32" s="7" t="str">
        <f>_xlfn.LET(_xlpm.x,_xlfn.XLOOKUP(A32,'[1]2. Abinitio IF'!$C:$C,'[1]2. Abinitio IF'!$AY:$AY," "), IF(_xlpm.x=0," ",_xlpm.x))</f>
        <v>Transactional</v>
      </c>
      <c r="E32" s="8" t="str">
        <f>_xlfn.LET(_xlpm.x,_xlfn.XLOOKUP($A32,'[1]2. Abinitio IF'!$C:$C,'[1]2. Abinitio IF'!$BA:$BA," "), IF(_xlpm.x=0," ",_xlpm.x))</f>
        <v xml:space="preserve"> </v>
      </c>
      <c r="F32" s="7" t="str">
        <f>_xlfn.LET(_xlpm.x,_xlfn.XLOOKUP($A32,'[1]2. Abinitio IF'!$C:$C,'[1]2. Abinitio IF'!$BG:$BG," "),IF(_xlpm.x=0," ",_xlpm.x))</f>
        <v>/CCEJ/B_RS_CUST</v>
      </c>
      <c r="G32" s="7"/>
      <c r="L32" s="7"/>
    </row>
    <row r="33" spans="1:12">
      <c r="A33" s="5" t="s">
        <v>53</v>
      </c>
      <c r="B33" s="7" t="s">
        <v>18</v>
      </c>
      <c r="D33" s="7" t="str">
        <f>_xlfn.LET(_xlpm.x,_xlfn.XLOOKUP(A33,'[1]2. Abinitio IF'!$C:$C,'[1]2. Abinitio IF'!$AY:$AY," "), IF(_xlpm.x=0," ",_xlpm.x))</f>
        <v>Transactional</v>
      </c>
      <c r="E33" s="8" t="str">
        <f>_xlfn.LET(_xlpm.x,_xlfn.XLOOKUP($A33,'[1]2. Abinitio IF'!$C:$C,'[1]2. Abinitio IF'!$BA:$BA," "), IF(_xlpm.x=0," ",_xlpm.x))</f>
        <v xml:space="preserve"> </v>
      </c>
      <c r="F33" s="7" t="str">
        <f>_xlfn.LET(_xlpm.x,_xlfn.XLOOKUP($A33,'[1]2. Abinitio IF'!$C:$C,'[1]2. Abinitio IF'!$BG:$BG," "),IF(_xlpm.x=0," ",_xlpm.x))</f>
        <v>/CCEJ/T_CUSBRID</v>
      </c>
      <c r="G33" s="7"/>
      <c r="L33" s="7"/>
    </row>
    <row r="34" spans="1:12">
      <c r="A34" s="5" t="s">
        <v>54</v>
      </c>
      <c r="B34" s="7" t="s">
        <v>18</v>
      </c>
      <c r="D34" s="7" t="str">
        <f>_xlfn.LET(_xlpm.x,_xlfn.XLOOKUP(A34,'[1]2. Abinitio IF'!$C:$C,'[1]2. Abinitio IF'!$AY:$AY," "), IF(_xlpm.x=0," ",_xlpm.x))</f>
        <v>Transactional</v>
      </c>
      <c r="E34" s="8" t="str">
        <f>_xlfn.LET(_xlpm.x,_xlfn.XLOOKUP($A34,'[1]2. Abinitio IF'!$C:$C,'[1]2. Abinitio IF'!$BA:$BA," "), IF(_xlpm.x=0," ",_xlpm.x))</f>
        <v xml:space="preserve"> </v>
      </c>
      <c r="F34" s="7" t="str">
        <f>_xlfn.LET(_xlpm.x,_xlfn.XLOOKUP($A34,'[1]2. Abinitio IF'!$C:$C,'[1]2. Abinitio IF'!$BG:$BG," "),IF(_xlpm.x=0," ",_xlpm.x))</f>
        <v>/CCEJ/T_KTSD0081</v>
      </c>
      <c r="G34" s="7"/>
      <c r="L34" s="7"/>
    </row>
    <row r="35" spans="1:12">
      <c r="A35" s="5" t="s">
        <v>55</v>
      </c>
      <c r="B35" s="7" t="s">
        <v>18</v>
      </c>
      <c r="D35" s="7" t="str">
        <f>_xlfn.LET(_xlpm.x,_xlfn.XLOOKUP(A35,'[1]2. Abinitio IF'!$C:$C,'[1]2. Abinitio IF'!$AY:$AY," "), IF(_xlpm.x=0," ",_xlpm.x))</f>
        <v>Transactional</v>
      </c>
      <c r="E35" s="8" t="str">
        <f>_xlfn.LET(_xlpm.x,_xlfn.XLOOKUP($A35,'[1]2. Abinitio IF'!$C:$C,'[1]2. Abinitio IF'!$BA:$BA," "), IF(_xlpm.x=0," ",_xlpm.x))</f>
        <v xml:space="preserve"> </v>
      </c>
      <c r="F35" s="7" t="str">
        <f>_xlfn.LET(_xlpm.x,_xlfn.XLOOKUP($A35,'[1]2. Abinitio IF'!$C:$C,'[1]2. Abinitio IF'!$BG:$BG," "),IF(_xlpm.x=0," ",_xlpm.x))</f>
        <v>/CCEJ/T_PLNTD_FS</v>
      </c>
      <c r="G35" s="7"/>
      <c r="L35" s="7"/>
    </row>
    <row r="36" spans="1:12">
      <c r="A36" s="5" t="s">
        <v>56</v>
      </c>
      <c r="B36" s="7" t="s">
        <v>18</v>
      </c>
      <c r="D36" s="7" t="str">
        <f>_xlfn.LET(_xlpm.x,_xlfn.XLOOKUP(A36,'[1]2. Abinitio IF'!$C:$C,'[1]2. Abinitio IF'!$AY:$AY," "), IF(_xlpm.x=0," ",_xlpm.x))</f>
        <v>Transactional</v>
      </c>
      <c r="E36" s="8" t="str">
        <f>_xlfn.LET(_xlpm.x,_xlfn.XLOOKUP($A36,'[1]2. Abinitio IF'!$C:$C,'[1]2. Abinitio IF'!$BA:$BA," "), IF(_xlpm.x=0," ",_xlpm.x))</f>
        <v xml:space="preserve"> </v>
      </c>
      <c r="F36" s="7" t="str">
        <f>_xlfn.LET(_xlpm.x,_xlfn.XLOOKUP($A36,'[1]2. Abinitio IF'!$C:$C,'[1]2. Abinitio IF'!$BG:$BG," "),IF(_xlpm.x=0," ",_xlpm.x))</f>
        <v>/CCEJ/B_MATERIAL</v>
      </c>
      <c r="G36" s="7"/>
      <c r="L36" s="7"/>
    </row>
    <row r="37" spans="1:12">
      <c r="A37" s="5" t="s">
        <v>57</v>
      </c>
      <c r="B37" s="7" t="s">
        <v>18</v>
      </c>
      <c r="D37" s="7" t="str">
        <f>_xlfn.LET(_xlpm.x,_xlfn.XLOOKUP(A37,'[1]2. Abinitio IF'!$C:$C,'[1]2. Abinitio IF'!$AY:$AY," "), IF(_xlpm.x=0," ",_xlpm.x))</f>
        <v>Transactional</v>
      </c>
      <c r="E37" s="8" t="str">
        <f>_xlfn.LET(_xlpm.x,_xlfn.XLOOKUP($A37,'[1]2. Abinitio IF'!$C:$C,'[1]2. Abinitio IF'!$BA:$BA," "), IF(_xlpm.x=0," ",_xlpm.x))</f>
        <v xml:space="preserve"> </v>
      </c>
      <c r="F37" s="7" t="str">
        <f>_xlfn.LET(_xlpm.x,_xlfn.XLOOKUP($A37,'[1]2. Abinitio IF'!$C:$C,'[1]2. Abinitio IF'!$BG:$BG," "),IF(_xlpm.x=0," ",_xlpm.x))</f>
        <v>/CCEJ/TZKTSD0107</v>
      </c>
      <c r="G37" s="7"/>
      <c r="L37" s="7"/>
    </row>
    <row r="38" spans="1:12">
      <c r="A38" s="5" t="s">
        <v>58</v>
      </c>
      <c r="B38" s="7" t="s">
        <v>18</v>
      </c>
      <c r="D38" s="7" t="str">
        <f>_xlfn.LET(_xlpm.x,_xlfn.XLOOKUP(A38,'[1]2. Abinitio IF'!$C:$C,'[1]2. Abinitio IF'!$AY:$AY," "), IF(_xlpm.x=0," ",_xlpm.x))</f>
        <v>Transactional</v>
      </c>
      <c r="E38" s="8" t="str">
        <f>_xlfn.LET(_xlpm.x,_xlfn.XLOOKUP($A38,'[1]2. Abinitio IF'!$C:$C,'[1]2. Abinitio IF'!$BA:$BA," "), IF(_xlpm.x=0," ",_xlpm.x))</f>
        <v xml:space="preserve"> </v>
      </c>
      <c r="F38" s="7" t="str">
        <f>_xlfn.LET(_xlpm.x,_xlfn.XLOOKUP($A38,'[1]2. Abinitio IF'!$C:$C,'[1]2. Abinitio IF'!$BG:$BG," "),IF(_xlpm.x=0," ",_xlpm.x))</f>
        <v>/CCEJ/TZKTFI0005</v>
      </c>
      <c r="G38" s="7"/>
      <c r="L38" s="7"/>
    </row>
    <row r="39" spans="1:12" ht="20.45" customHeight="1">
      <c r="A39" s="5" t="s">
        <v>59</v>
      </c>
      <c r="B39" s="7" t="s">
        <v>18</v>
      </c>
      <c r="D39" s="7" t="str">
        <f>_xlfn.LET(_xlpm.x,_xlfn.XLOOKUP(A39,'[1]2. Abinitio IF'!$C:$C,'[1]2. Abinitio IF'!$AY:$AY," "), IF(_xlpm.x=0," ",_xlpm.x))</f>
        <v>Transactional</v>
      </c>
      <c r="E39" s="8" t="str">
        <f>_xlfn.LET(_xlpm.x,_xlfn.XLOOKUP($A39,'[1]2. Abinitio IF'!$C:$C,'[1]2. Abinitio IF'!$BA:$BA," "), IF(_xlpm.x=0," ",_xlpm.x))</f>
        <v xml:space="preserve"> </v>
      </c>
      <c r="F39" s="7" t="str">
        <f>_xlfn.LET(_xlpm.x,_xlfn.XLOOKUP($A39,'[1]2. Abinitio IF'!$C:$C,'[1]2. Abinitio IF'!$BG:$BG," "),IF(_xlpm.x=0," ",_xlpm.x))</f>
        <v>/CCEJ/TZKTFI0090</v>
      </c>
      <c r="G39" s="7"/>
      <c r="L39" s="7"/>
    </row>
    <row r="40" spans="1:12" ht="39">
      <c r="A40" s="5" t="s">
        <v>60</v>
      </c>
      <c r="B40" s="9" t="s">
        <v>24</v>
      </c>
      <c r="C40" s="9" t="s">
        <v>25</v>
      </c>
      <c r="D40" s="7" t="str">
        <f>_xlfn.LET(_xlpm.x,_xlfn.XLOOKUP(A40,'[1]2. Abinitio IF'!$C:$C,'[1]2. Abinitio IF'!$AY:$AY," "), IF(_xlpm.x=0," ",_xlpm.x))</f>
        <v>Transactional</v>
      </c>
      <c r="E40" s="8" t="str">
        <f>_xlfn.LET(_xlpm.x,_xlfn.XLOOKUP($A40,'[1]2. Abinitio IF'!$C:$C,'[1]2. Abinitio IF'!$BA:$BA," "), IF(_xlpm.x=0," ",_xlpm.x))</f>
        <v xml:space="preserve"> </v>
      </c>
      <c r="F40" s="7" t="str">
        <f>_xlfn.LET(_xlpm.x,_xlfn.XLOOKUP($A40,'[1]2. Abinitio IF'!$C:$C,'[1]2. Abinitio IF'!$BG:$BG," "),IF(_xlpm.x=0," ",_xlpm.x))</f>
        <v>/CCBJI/T_JCTINVR</v>
      </c>
      <c r="G40" s="7"/>
      <c r="L40" s="14" t="s">
        <v>61</v>
      </c>
    </row>
    <row r="41" spans="1:12">
      <c r="A41" s="5" t="s">
        <v>62</v>
      </c>
      <c r="B41" s="7" t="s">
        <v>15</v>
      </c>
      <c r="C41" s="7" t="s">
        <v>16</v>
      </c>
      <c r="D41" s="7" t="str">
        <f>_xlfn.LET(_xlpm.x,_xlfn.XLOOKUP(A41,'[1]2. Abinitio IF'!$C:$C,'[1]2. Abinitio IF'!$AY:$AY," "), IF(_xlpm.x=0," ",_xlpm.x))</f>
        <v>Transactional</v>
      </c>
      <c r="E41" s="8" t="str">
        <f>_xlfn.LET(_xlpm.x,_xlfn.XLOOKUP($A41,'[1]2. Abinitio IF'!$C:$C,'[1]2. Abinitio IF'!$BA:$BA," "), IF(_xlpm.x=0," ",_xlpm.x))</f>
        <v xml:space="preserve"> </v>
      </c>
      <c r="F41" s="7" t="str">
        <f>_xlfn.LET(_xlpm.x,_xlfn.XLOOKUP($A41,'[1]2. Abinitio IF'!$C:$C,'[1]2. Abinitio IF'!$BG:$BG," "),IF(_xlpm.x=0," ",_xlpm.x))</f>
        <v>BasicType=/CCEJ/SALESORDER_CREATEFROMDAT
MsgType=/CCEJ/SALESORDER_CREATE</v>
      </c>
      <c r="G41" s="7"/>
      <c r="L41" s="7"/>
    </row>
    <row r="42" spans="1:12" ht="12.95" customHeight="1">
      <c r="A42" s="5" t="s">
        <v>63</v>
      </c>
      <c r="B42" s="7" t="s">
        <v>15</v>
      </c>
      <c r="C42" s="7" t="s">
        <v>16</v>
      </c>
      <c r="D42" s="7" t="str">
        <f>_xlfn.LET(_xlpm.x,_xlfn.XLOOKUP(A42,'[1]2. Abinitio IF'!$C:$C,'[1]2. Abinitio IF'!$AY:$AY," "), IF(_xlpm.x=0," ",_xlpm.x))</f>
        <v>Transactional</v>
      </c>
      <c r="E42" s="8" t="str">
        <f>_xlfn.LET(_xlpm.x,_xlfn.XLOOKUP($A42,'[1]2. Abinitio IF'!$C:$C,'[1]2. Abinitio IF'!$BA:$BA," "), IF(_xlpm.x=0," ",_xlpm.x))</f>
        <v xml:space="preserve"> </v>
      </c>
      <c r="F42" s="7" t="str">
        <f>_xlfn.LET(_xlpm.x,_xlfn.XLOOKUP($A42,'[1]2. Abinitio IF'!$C:$C,'[1]2. Abinitio IF'!$BG:$BG," "),IF(_xlpm.x=0," ",_xlpm.x))</f>
        <v xml:space="preserve"> </v>
      </c>
      <c r="G42" s="7"/>
      <c r="H42" s="30" t="s">
        <v>64</v>
      </c>
      <c r="L42" s="7"/>
    </row>
    <row r="43" spans="1:12" ht="12.95" customHeight="1">
      <c r="A43" s="5" t="s">
        <v>65</v>
      </c>
      <c r="B43" s="7" t="s">
        <v>15</v>
      </c>
      <c r="C43" s="7" t="s">
        <v>16</v>
      </c>
      <c r="D43" s="7" t="str">
        <f>_xlfn.LET(_xlpm.x,_xlfn.XLOOKUP(A43,'[1]2. Abinitio IF'!$C:$C,'[1]2. Abinitio IF'!$AY:$AY," "), IF(_xlpm.x=0," ",_xlpm.x))</f>
        <v>Transactional</v>
      </c>
      <c r="E43" s="8" t="str">
        <f>_xlfn.LET(_xlpm.x,_xlfn.XLOOKUP($A43,'[1]2. Abinitio IF'!$C:$C,'[1]2. Abinitio IF'!$BA:$BA," "), IF(_xlpm.x=0," ",_xlpm.x))</f>
        <v xml:space="preserve"> </v>
      </c>
      <c r="F43" s="7" t="str">
        <f>_xlfn.LET(_xlpm.x,_xlfn.XLOOKUP($A43,'[1]2. Abinitio IF'!$C:$C,'[1]2. Abinitio IF'!$BG:$BG," "),IF(_xlpm.x=0," ",_xlpm.x))</f>
        <v xml:space="preserve"> </v>
      </c>
      <c r="G43" s="7"/>
      <c r="H43" s="31"/>
      <c r="L43" s="7"/>
    </row>
    <row r="44" spans="1:12" ht="12.95" customHeight="1">
      <c r="A44" s="5" t="s">
        <v>66</v>
      </c>
      <c r="B44" s="7" t="s">
        <v>15</v>
      </c>
      <c r="C44" s="7" t="s">
        <v>16</v>
      </c>
      <c r="D44" s="7" t="str">
        <f>_xlfn.LET(_xlpm.x,_xlfn.XLOOKUP(A44,'[1]2. Abinitio IF'!$C:$C,'[1]2. Abinitio IF'!$AY:$AY," "), IF(_xlpm.x=0," ",_xlpm.x))</f>
        <v>Transactional</v>
      </c>
      <c r="E44" s="8" t="str">
        <f>_xlfn.LET(_xlpm.x,_xlfn.XLOOKUP($A44,'[1]2. Abinitio IF'!$C:$C,'[1]2. Abinitio IF'!$BA:$BA," "), IF(_xlpm.x=0," ",_xlpm.x))</f>
        <v xml:space="preserve"> </v>
      </c>
      <c r="F44" s="7" t="str">
        <f>_xlfn.LET(_xlpm.x,_xlfn.XLOOKUP($A44,'[1]2. Abinitio IF'!$C:$C,'[1]2. Abinitio IF'!$BG:$BG," "),IF(_xlpm.x=0," ",_xlpm.x))</f>
        <v xml:space="preserve"> </v>
      </c>
      <c r="G44" s="7"/>
      <c r="H44" s="31"/>
      <c r="L44" s="7"/>
    </row>
    <row r="45" spans="1:12" ht="12.95" customHeight="1">
      <c r="A45" s="5" t="s">
        <v>67</v>
      </c>
      <c r="B45" s="7" t="s">
        <v>15</v>
      </c>
      <c r="C45" s="7" t="s">
        <v>16</v>
      </c>
      <c r="D45" s="7" t="str">
        <f>_xlfn.LET(_xlpm.x,_xlfn.XLOOKUP(A45,'[1]2. Abinitio IF'!$C:$C,'[1]2. Abinitio IF'!$AY:$AY," "), IF(_xlpm.x=0," ",_xlpm.x))</f>
        <v>Transactional</v>
      </c>
      <c r="E45" s="8" t="str">
        <f>_xlfn.LET(_xlpm.x,_xlfn.XLOOKUP($A45,'[1]2. Abinitio IF'!$C:$C,'[1]2. Abinitio IF'!$BA:$BA," "), IF(_xlpm.x=0," ",_xlpm.x))</f>
        <v xml:space="preserve"> </v>
      </c>
      <c r="F45" s="7" t="str">
        <f>_xlfn.LET(_xlpm.x,_xlfn.XLOOKUP($A45,'[1]2. Abinitio IF'!$C:$C,'[1]2. Abinitio IF'!$BG:$BG," "),IF(_xlpm.x=0," ",_xlpm.x))</f>
        <v xml:space="preserve"> </v>
      </c>
      <c r="G45" s="7"/>
      <c r="H45" s="31"/>
      <c r="L45" s="7"/>
    </row>
    <row r="46" spans="1:12" ht="12.95" customHeight="1">
      <c r="A46" s="5" t="s">
        <v>68</v>
      </c>
      <c r="B46" s="7" t="s">
        <v>15</v>
      </c>
      <c r="C46" s="7" t="s">
        <v>16</v>
      </c>
      <c r="D46" s="7" t="str">
        <f>_xlfn.LET(_xlpm.x,_xlfn.XLOOKUP(A46,'[1]2. Abinitio IF'!$C:$C,'[1]2. Abinitio IF'!$AY:$AY," "), IF(_xlpm.x=0," ",_xlpm.x))</f>
        <v>Transactional</v>
      </c>
      <c r="E46" s="8" t="str">
        <f>_xlfn.LET(_xlpm.x,_xlfn.XLOOKUP($A46,'[1]2. Abinitio IF'!$C:$C,'[1]2. Abinitio IF'!$BA:$BA," "), IF(_xlpm.x=0," ",_xlpm.x))</f>
        <v xml:space="preserve"> </v>
      </c>
      <c r="F46" s="7" t="str">
        <f>_xlfn.LET(_xlpm.x,_xlfn.XLOOKUP($A46,'[1]2. Abinitio IF'!$C:$C,'[1]2. Abinitio IF'!$BG:$BG," "),IF(_xlpm.x=0," ",_xlpm.x))</f>
        <v>Job that is within the scope of this investigation, the destination is Ab Initio; 
however, in subsequent jobs, the data is sent to Denpatsu Meijin</v>
      </c>
      <c r="G46" s="7"/>
      <c r="H46" s="31"/>
      <c r="L46" s="7"/>
    </row>
    <row r="47" spans="1:12" ht="12.95" customHeight="1">
      <c r="A47" s="5" t="s">
        <v>69</v>
      </c>
      <c r="B47" s="7" t="s">
        <v>15</v>
      </c>
      <c r="C47" s="7" t="s">
        <v>16</v>
      </c>
      <c r="D47" s="7" t="str">
        <f>_xlfn.LET(_xlpm.x,_xlfn.XLOOKUP(A47,'[1]2. Abinitio IF'!$C:$C,'[1]2. Abinitio IF'!$AY:$AY," "), IF(_xlpm.x=0," ",_xlpm.x))</f>
        <v>Transactional</v>
      </c>
      <c r="E47" s="8" t="str">
        <f>_xlfn.LET(_xlpm.x,_xlfn.XLOOKUP($A47,'[1]2. Abinitio IF'!$C:$C,'[1]2. Abinitio IF'!$BA:$BA," "), IF(_xlpm.x=0," ",_xlpm.x))</f>
        <v xml:space="preserve"> </v>
      </c>
      <c r="F47" s="7" t="str">
        <f>_xlfn.LET(_xlpm.x,_xlfn.XLOOKUP($A47,'[1]2. Abinitio IF'!$C:$C,'[1]2. Abinitio IF'!$BG:$BG," "),IF(_xlpm.x=0," ",_xlpm.x))</f>
        <v>Job that is within the scope of this investigation, the destination is Ab Initio; 
however, in subsequent jobs, the data is sent to Denpatsu Meijin</v>
      </c>
      <c r="G47" s="7"/>
      <c r="H47" s="31"/>
      <c r="L47" s="7"/>
    </row>
    <row r="48" spans="1:12" ht="12.95" customHeight="1">
      <c r="A48" s="5" t="s">
        <v>70</v>
      </c>
      <c r="B48" s="7" t="s">
        <v>15</v>
      </c>
      <c r="C48" s="7" t="s">
        <v>16</v>
      </c>
      <c r="D48" s="7" t="str">
        <f>_xlfn.LET(_xlpm.x,_xlfn.XLOOKUP(A48,'[1]2. Abinitio IF'!$C:$C,'[1]2. Abinitio IF'!$AY:$AY," "), IF(_xlpm.x=0," ",_xlpm.x))</f>
        <v>Master</v>
      </c>
      <c r="E48" s="8" t="str">
        <f>_xlfn.LET(_xlpm.x,_xlfn.XLOOKUP($A48,'[1]2. Abinitio IF'!$C:$C,'[1]2. Abinitio IF'!$BA:$BA," "), IF(_xlpm.x=0," ",_xlpm.x))</f>
        <v xml:space="preserve"> </v>
      </c>
      <c r="F48" s="7" t="str">
        <f>_xlfn.LET(_xlpm.x,_xlfn.XLOOKUP($A48,'[1]2. Abinitio IF'!$C:$C,'[1]2. Abinitio IF'!$BG:$BG," "),IF(_xlpm.x=0," ",_xlpm.x))</f>
        <v>“APMachinBridge” is sent from APEX to abinitio. Using that information, abinitio then updates “ZKTSD0005” in SAP (DB2). In conclusion, from SAP’s perspective, the source of the transmission is abinitio.
The SAP DB2 is updated using the “Update Table” component.</v>
      </c>
      <c r="G48" s="7"/>
      <c r="H48" s="31"/>
      <c r="L48" s="7"/>
    </row>
    <row r="49" spans="1:8" s="7" customFormat="1" ht="12.95" customHeight="1">
      <c r="A49" s="5" t="s">
        <v>71</v>
      </c>
      <c r="B49" s="7" t="s">
        <v>15</v>
      </c>
      <c r="C49" s="7" t="s">
        <v>16</v>
      </c>
      <c r="D49" s="7" t="str">
        <f>_xlfn.LET(_xlpm.x,_xlfn.XLOOKUP(A49,'[1]2. Abinitio IF'!$C:$C,'[1]2. Abinitio IF'!$AY:$AY," "), IF(_xlpm.x=0," ",_xlpm.x))</f>
        <v>Transactional</v>
      </c>
      <c r="E49" s="8" t="str">
        <f>_xlfn.LET(_xlpm.x,_xlfn.XLOOKUP($A49,'[1]2. Abinitio IF'!$C:$C,'[1]2. Abinitio IF'!$BA:$BA," "), IF(_xlpm.x=0," ",_xlpm.x))</f>
        <v xml:space="preserve"> </v>
      </c>
      <c r="F49" s="7" t="str">
        <f>_xlfn.LET(_xlpm.x,_xlfn.XLOOKUP($A49,'[1]2. Abinitio IF'!$C:$C,'[1]2. Abinitio IF'!$BG:$BG," "),IF(_xlpm.x=0," ",_xlpm.x))</f>
        <v xml:space="preserve"> </v>
      </c>
      <c r="H49" s="31"/>
    </row>
    <row r="50" spans="1:8" s="7" customFormat="1" ht="12.95" customHeight="1">
      <c r="A50" s="5" t="s">
        <v>72</v>
      </c>
      <c r="B50" s="7" t="s">
        <v>15</v>
      </c>
      <c r="C50" s="7" t="s">
        <v>16</v>
      </c>
      <c r="D50" s="7" t="str">
        <f>_xlfn.LET(_xlpm.x,_xlfn.XLOOKUP(A50,'[1]2. Abinitio IF'!$C:$C,'[1]2. Abinitio IF'!$AY:$AY," "), IF(_xlpm.x=0," ",_xlpm.x))</f>
        <v>Transactional</v>
      </c>
      <c r="E50" s="8" t="str">
        <f>_xlfn.LET(_xlpm.x,_xlfn.XLOOKUP($A50,'[1]2. Abinitio IF'!$C:$C,'[1]2. Abinitio IF'!$BA:$BA," "), IF(_xlpm.x=0," ",_xlpm.x))</f>
        <v xml:space="preserve"> </v>
      </c>
      <c r="F50" s="7" t="str">
        <f>_xlfn.LET(_xlpm.x,_xlfn.XLOOKUP($A50,'[1]2. Abinitio IF'!$C:$C,'[1]2. Abinitio IF'!$BG:$BG," "),IF(_xlpm.x=0," ",_xlpm.x))</f>
        <v xml:space="preserve"> </v>
      </c>
      <c r="H50" s="31"/>
    </row>
    <row r="51" spans="1:8" s="7" customFormat="1" ht="12.95" customHeight="1">
      <c r="A51" s="5" t="s">
        <v>73</v>
      </c>
      <c r="B51" s="7" t="s">
        <v>15</v>
      </c>
      <c r="C51" s="7" t="s">
        <v>16</v>
      </c>
      <c r="D51" s="7" t="str">
        <f>_xlfn.LET(_xlpm.x,_xlfn.XLOOKUP(A51,'[1]2. Abinitio IF'!$C:$C,'[1]2. Abinitio IF'!$AY:$AY," "), IF(_xlpm.x=0," ",_xlpm.x))</f>
        <v>Transactional</v>
      </c>
      <c r="E51" s="8" t="str">
        <f>_xlfn.LET(_xlpm.x,_xlfn.XLOOKUP($A51,'[1]2. Abinitio IF'!$C:$C,'[1]2. Abinitio IF'!$BA:$BA," "), IF(_xlpm.x=0," ",_xlpm.x))</f>
        <v xml:space="preserve"> </v>
      </c>
      <c r="F51" s="7" t="str">
        <f>_xlfn.LET(_xlpm.x,_xlfn.XLOOKUP($A51,'[1]2. Abinitio IF'!$C:$C,'[1]2. Abinitio IF'!$BG:$BG," "),IF(_xlpm.x=0," ",_xlpm.x))</f>
        <v xml:space="preserve"> </v>
      </c>
      <c r="H51" s="31"/>
    </row>
    <row r="52" spans="1:8" s="7" customFormat="1" ht="12.95" customHeight="1">
      <c r="A52" s="5" t="s">
        <v>74</v>
      </c>
      <c r="B52" s="7" t="s">
        <v>15</v>
      </c>
      <c r="C52" s="7" t="s">
        <v>16</v>
      </c>
      <c r="D52" s="7" t="str">
        <f>_xlfn.LET(_xlpm.x,_xlfn.XLOOKUP(A52,'[1]2. Abinitio IF'!$C:$C,'[1]2. Abinitio IF'!$AY:$AY," "), IF(_xlpm.x=0," ",_xlpm.x))</f>
        <v>Transactional</v>
      </c>
      <c r="E52" s="8" t="str">
        <f>_xlfn.LET(_xlpm.x,_xlfn.XLOOKUP($A52,'[1]2. Abinitio IF'!$C:$C,'[1]2. Abinitio IF'!$BA:$BA," "), IF(_xlpm.x=0," ",_xlpm.x))</f>
        <v xml:space="preserve"> </v>
      </c>
      <c r="F52" s="7" t="str">
        <f>_xlfn.LET(_xlpm.x,_xlfn.XLOOKUP($A52,'[1]2. Abinitio IF'!$C:$C,'[1]2. Abinitio IF'!$BG:$BG," "),IF(_xlpm.x=0," ",_xlpm.x))</f>
        <v xml:space="preserve"> </v>
      </c>
      <c r="H52" s="31"/>
    </row>
    <row r="53" spans="1:8" s="7" customFormat="1">
      <c r="A53" s="5" t="s">
        <v>75</v>
      </c>
      <c r="B53" s="7" t="s">
        <v>76</v>
      </c>
      <c r="C53" s="7" t="s">
        <v>77</v>
      </c>
      <c r="D53" s="7" t="str">
        <f>_xlfn.LET(_xlpm.x,_xlfn.XLOOKUP(A53,'[1]2. Abinitio IF'!$C:$C,'[1]2. Abinitio IF'!$AY:$AY," "), IF(_xlpm.x=0," ",_xlpm.x))</f>
        <v>Transactional</v>
      </c>
      <c r="E53" s="8" t="str">
        <f>_xlfn.LET(_xlpm.x,_xlfn.XLOOKUP($A53,'[1]2. Abinitio IF'!$C:$C,'[1]2. Abinitio IF'!$BA:$BA," "), IF(_xlpm.x=0," ",_xlpm.x))</f>
        <v xml:space="preserve"> </v>
      </c>
      <c r="F53" s="7" t="str">
        <f>_xlfn.LET(_xlpm.x,_xlfn.XLOOKUP($A53,'[1]2. Abinitio IF'!$C:$C,'[1]2. Abinitio IF'!$BG:$BG," "),IF(_xlpm.x=0," ",_xlpm.x))</f>
        <v xml:space="preserve"> </v>
      </c>
    </row>
    <row r="54" spans="1:8" s="7" customFormat="1">
      <c r="A54" s="5" t="s">
        <v>78</v>
      </c>
      <c r="B54" s="7" t="s">
        <v>76</v>
      </c>
      <c r="C54" s="7" t="s">
        <v>77</v>
      </c>
      <c r="D54" s="7" t="str">
        <f>_xlfn.LET(_xlpm.x,_xlfn.XLOOKUP(A54,'[1]2. Abinitio IF'!$C:$C,'[1]2. Abinitio IF'!$AY:$AY," "), IF(_xlpm.x=0," ",_xlpm.x))</f>
        <v>Transactional</v>
      </c>
      <c r="E54" s="8" t="str">
        <f>_xlfn.LET(_xlpm.x,_xlfn.XLOOKUP($A54,'[1]2. Abinitio IF'!$C:$C,'[1]2. Abinitio IF'!$BA:$BA," "), IF(_xlpm.x=0," ",_xlpm.x))</f>
        <v xml:space="preserve"> </v>
      </c>
      <c r="F54" s="7" t="str">
        <f>_xlfn.LET(_xlpm.x,_xlfn.XLOOKUP($A54,'[1]2. Abinitio IF'!$C:$C,'[1]2. Abinitio IF'!$BG:$BG," "),IF(_xlpm.x=0," ",_xlpm.x))</f>
        <v xml:space="preserve"> </v>
      </c>
    </row>
    <row r="55" spans="1:8" s="7" customFormat="1">
      <c r="A55" s="5" t="s">
        <v>79</v>
      </c>
      <c r="B55" s="7" t="s">
        <v>76</v>
      </c>
      <c r="C55" s="7" t="s">
        <v>77</v>
      </c>
      <c r="D55" s="7" t="str">
        <f>_xlfn.LET(_xlpm.x,_xlfn.XLOOKUP(A55,'[1]2. Abinitio IF'!$C:$C,'[1]2. Abinitio IF'!$AY:$AY," "), IF(_xlpm.x=0," ",_xlpm.x))</f>
        <v>Transactional</v>
      </c>
      <c r="E55" s="8" t="str">
        <f>_xlfn.LET(_xlpm.x,_xlfn.XLOOKUP($A55,'[1]2. Abinitio IF'!$C:$C,'[1]2. Abinitio IF'!$BA:$BA," "), IF(_xlpm.x=0," ",_xlpm.x))</f>
        <v xml:space="preserve"> </v>
      </c>
      <c r="F55" s="7" t="str">
        <f>_xlfn.LET(_xlpm.x,_xlfn.XLOOKUP($A55,'[1]2. Abinitio IF'!$C:$C,'[1]2. Abinitio IF'!$BG:$BG," "),IF(_xlpm.x=0," ",_xlpm.x))</f>
        <v xml:space="preserve"> </v>
      </c>
    </row>
    <row r="56" spans="1:8" s="7" customFormat="1">
      <c r="A56" s="5" t="s">
        <v>80</v>
      </c>
      <c r="B56" s="7" t="s">
        <v>76</v>
      </c>
      <c r="C56" s="7" t="s">
        <v>77</v>
      </c>
      <c r="D56" s="7" t="str">
        <f>_xlfn.LET(_xlpm.x,_xlfn.XLOOKUP(A56,'[1]2. Abinitio IF'!$C:$C,'[1]2. Abinitio IF'!$AY:$AY," "), IF(_xlpm.x=0," ",_xlpm.x))</f>
        <v>Transactional</v>
      </c>
      <c r="E56" s="8" t="str">
        <f>_xlfn.LET(_xlpm.x,_xlfn.XLOOKUP($A56,'[1]2. Abinitio IF'!$C:$C,'[1]2. Abinitio IF'!$BA:$BA," "), IF(_xlpm.x=0," ",_xlpm.x))</f>
        <v xml:space="preserve"> </v>
      </c>
      <c r="F56" s="7" t="str">
        <f>_xlfn.LET(_xlpm.x,_xlfn.XLOOKUP($A56,'[1]2. Abinitio IF'!$C:$C,'[1]2. Abinitio IF'!$BG:$BG," "),IF(_xlpm.x=0," ",_xlpm.x))</f>
        <v xml:space="preserve"> </v>
      </c>
    </row>
    <row r="57" spans="1:8" s="7" customFormat="1">
      <c r="A57" s="5" t="s">
        <v>81</v>
      </c>
      <c r="B57" s="7" t="s">
        <v>15</v>
      </c>
      <c r="C57" s="7" t="s">
        <v>16</v>
      </c>
      <c r="D57" s="7" t="str">
        <f>_xlfn.LET(_xlpm.x,_xlfn.XLOOKUP(A57,'[1]2. Abinitio IF'!$C:$C,'[1]2. Abinitio IF'!$AY:$AY," "), IF(_xlpm.x=0," ",_xlpm.x))</f>
        <v>Transactional</v>
      </c>
      <c r="E57" s="8" t="str">
        <f>_xlfn.LET(_xlpm.x,_xlfn.XLOOKUP($A57,'[1]2. Abinitio IF'!$C:$C,'[1]2. Abinitio IF'!$BA:$BA," "), IF(_xlpm.x=0," ",_xlpm.x))</f>
        <v xml:space="preserve"> </v>
      </c>
      <c r="F57" s="7" t="str">
        <f>_xlfn.LET(_xlpm.x,_xlfn.XLOOKUP($A57,'[1]2. Abinitio IF'!$C:$C,'[1]2. Abinitio IF'!$BG:$BG," "),IF(_xlpm.x=0," ",_xlpm.x))</f>
        <v xml:space="preserve"> </v>
      </c>
    </row>
    <row r="58" spans="1:8" s="7" customFormat="1">
      <c r="A58" s="5" t="s">
        <v>82</v>
      </c>
      <c r="B58" s="7" t="s">
        <v>15</v>
      </c>
      <c r="C58" s="7" t="s">
        <v>16</v>
      </c>
      <c r="D58" s="7" t="str">
        <f>_xlfn.LET(_xlpm.x,_xlfn.XLOOKUP(A58,'[1]2. Abinitio IF'!$C:$C,'[1]2. Abinitio IF'!$AY:$AY," "), IF(_xlpm.x=0," ",_xlpm.x))</f>
        <v>Transactional</v>
      </c>
      <c r="E58" s="8" t="str">
        <f>_xlfn.LET(_xlpm.x,_xlfn.XLOOKUP($A58,'[1]2. Abinitio IF'!$C:$C,'[1]2. Abinitio IF'!$BA:$BA," "), IF(_xlpm.x=0," ",_xlpm.x))</f>
        <v xml:space="preserve"> </v>
      </c>
      <c r="F58" s="7" t="str">
        <f>_xlfn.LET(_xlpm.x,_xlfn.XLOOKUP($A58,'[1]2. Abinitio IF'!$C:$C,'[1]2. Abinitio IF'!$BG:$BG," "),IF(_xlpm.x=0," ",_xlpm.x))</f>
        <v xml:space="preserve"> </v>
      </c>
    </row>
    <row r="59" spans="1:8" s="7" customFormat="1">
      <c r="A59" s="5" t="s">
        <v>83</v>
      </c>
      <c r="B59" s="7" t="s">
        <v>15</v>
      </c>
      <c r="C59" s="7" t="s">
        <v>16</v>
      </c>
      <c r="D59" s="7" t="str">
        <f>_xlfn.LET(_xlpm.x,_xlfn.XLOOKUP(A59,'[1]2. Abinitio IF'!$C:$C,'[1]2. Abinitio IF'!$AY:$AY," "), IF(_xlpm.x=0," ",_xlpm.x))</f>
        <v>Transactional</v>
      </c>
      <c r="E59" s="8" t="str">
        <f>_xlfn.LET(_xlpm.x,_xlfn.XLOOKUP($A59,'[1]2. Abinitio IF'!$C:$C,'[1]2. Abinitio IF'!$BA:$BA," "), IF(_xlpm.x=0," ",_xlpm.x))</f>
        <v xml:space="preserve"> </v>
      </c>
      <c r="F59" s="7" t="str">
        <f>_xlfn.LET(_xlpm.x,_xlfn.XLOOKUP($A59,'[1]2. Abinitio IF'!$C:$C,'[1]2. Abinitio IF'!$BG:$BG," "),IF(_xlpm.x=0," ",_xlpm.x))</f>
        <v xml:space="preserve"> </v>
      </c>
    </row>
    <row r="60" spans="1:8" s="7" customFormat="1">
      <c r="A60" s="5" t="s">
        <v>84</v>
      </c>
      <c r="B60" s="7" t="s">
        <v>15</v>
      </c>
      <c r="C60" s="7" t="s">
        <v>16</v>
      </c>
      <c r="D60" s="7" t="str">
        <f>_xlfn.LET(_xlpm.x,_xlfn.XLOOKUP(A60,'[1]2. Abinitio IF'!$C:$C,'[1]2. Abinitio IF'!$AY:$AY," "), IF(_xlpm.x=0," ",_xlpm.x))</f>
        <v>Transactional</v>
      </c>
      <c r="E60" s="8" t="str">
        <f>_xlfn.LET(_xlpm.x,_xlfn.XLOOKUP($A60,'[1]2. Abinitio IF'!$C:$C,'[1]2. Abinitio IF'!$BA:$BA," "), IF(_xlpm.x=0," ",_xlpm.x))</f>
        <v xml:space="preserve"> </v>
      </c>
      <c r="F60" s="7" t="str">
        <f>_xlfn.LET(_xlpm.x,_xlfn.XLOOKUP($A60,'[1]2. Abinitio IF'!$C:$C,'[1]2. Abinitio IF'!$BG:$BG," "),IF(_xlpm.x=0," ",_xlpm.x))</f>
        <v xml:space="preserve"> </v>
      </c>
    </row>
    <row r="61" spans="1:8" s="7" customFormat="1">
      <c r="A61" s="5" t="s">
        <v>85</v>
      </c>
      <c r="B61" s="7" t="s">
        <v>76</v>
      </c>
      <c r="C61" s="7" t="s">
        <v>77</v>
      </c>
      <c r="D61" s="7" t="str">
        <f>_xlfn.LET(_xlpm.x,_xlfn.XLOOKUP(A61,'[1]2. Abinitio IF'!$C:$C,'[1]2. Abinitio IF'!$AY:$AY," "), IF(_xlpm.x=0," ",_xlpm.x))</f>
        <v>Transactional</v>
      </c>
      <c r="E61" s="8" t="str">
        <f>_xlfn.LET(_xlpm.x,_xlfn.XLOOKUP($A61,'[1]2. Abinitio IF'!$C:$C,'[1]2. Abinitio IF'!$BA:$BA," "), IF(_xlpm.x=0," ",_xlpm.x))</f>
        <v xml:space="preserve"> </v>
      </c>
      <c r="F61" s="7" t="str">
        <f>_xlfn.LET(_xlpm.x,_xlfn.XLOOKUP($A61,'[1]2. Abinitio IF'!$C:$C,'[1]2. Abinitio IF'!$BG:$BG," "),IF(_xlpm.x=0," ",_xlpm.x))</f>
        <v xml:space="preserve"> </v>
      </c>
    </row>
    <row r="62" spans="1:8" s="7" customFormat="1">
      <c r="A62" s="5" t="s">
        <v>86</v>
      </c>
      <c r="B62" s="7" t="s">
        <v>76</v>
      </c>
      <c r="C62" s="7" t="s">
        <v>77</v>
      </c>
      <c r="D62" s="7" t="str">
        <f>_xlfn.LET(_xlpm.x,_xlfn.XLOOKUP(A62,'[1]2. Abinitio IF'!$C:$C,'[1]2. Abinitio IF'!$AY:$AY," "), IF(_xlpm.x=0," ",_xlpm.x))</f>
        <v>Transactional</v>
      </c>
      <c r="E62" s="8" t="str">
        <f>_xlfn.LET(_xlpm.x,_xlfn.XLOOKUP($A62,'[1]2. Abinitio IF'!$C:$C,'[1]2. Abinitio IF'!$BA:$BA," "), IF(_xlpm.x=0," ",_xlpm.x))</f>
        <v xml:space="preserve"> </v>
      </c>
      <c r="F62" s="7" t="str">
        <f>_xlfn.LET(_xlpm.x,_xlfn.XLOOKUP($A62,'[1]2. Abinitio IF'!$C:$C,'[1]2. Abinitio IF'!$BG:$BG," "),IF(_xlpm.x=0," ",_xlpm.x))</f>
        <v xml:space="preserve"> </v>
      </c>
    </row>
    <row r="63" spans="1:8" s="7" customFormat="1">
      <c r="A63" s="5" t="s">
        <v>87</v>
      </c>
      <c r="B63" s="7" t="s">
        <v>76</v>
      </c>
      <c r="C63" s="7" t="s">
        <v>77</v>
      </c>
      <c r="D63" s="7" t="str">
        <f>_xlfn.LET(_xlpm.x,_xlfn.XLOOKUP(A63,'[1]2. Abinitio IF'!$C:$C,'[1]2. Abinitio IF'!$AY:$AY," "), IF(_xlpm.x=0," ",_xlpm.x))</f>
        <v>Transactional</v>
      </c>
      <c r="E63" s="8" t="str">
        <f>_xlfn.LET(_xlpm.x,_xlfn.XLOOKUP($A63,'[1]2. Abinitio IF'!$C:$C,'[1]2. Abinitio IF'!$BA:$BA," "), IF(_xlpm.x=0," ",_xlpm.x))</f>
        <v xml:space="preserve"> </v>
      </c>
      <c r="F63" s="7" t="str">
        <f>_xlfn.LET(_xlpm.x,_xlfn.XLOOKUP($A63,'[1]2. Abinitio IF'!$C:$C,'[1]2. Abinitio IF'!$BG:$BG," "),IF(_xlpm.x=0," ",_xlpm.x))</f>
        <v xml:space="preserve"> </v>
      </c>
    </row>
    <row r="64" spans="1:8" s="7" customFormat="1">
      <c r="A64" s="5" t="s">
        <v>88</v>
      </c>
      <c r="B64" s="7" t="s">
        <v>76</v>
      </c>
      <c r="C64" s="7" t="s">
        <v>77</v>
      </c>
      <c r="D64" s="7" t="str">
        <f>_xlfn.LET(_xlpm.x,_xlfn.XLOOKUP(A64,'[1]2. Abinitio IF'!$C:$C,'[1]2. Abinitio IF'!$AY:$AY," "), IF(_xlpm.x=0," ",_xlpm.x))</f>
        <v>Transactional</v>
      </c>
      <c r="E64" s="8" t="str">
        <f>_xlfn.LET(_xlpm.x,_xlfn.XLOOKUP($A64,'[1]2. Abinitio IF'!$C:$C,'[1]2. Abinitio IF'!$BA:$BA," "), IF(_xlpm.x=0," ",_xlpm.x))</f>
        <v xml:space="preserve"> </v>
      </c>
      <c r="F64" s="7" t="str">
        <f>_xlfn.LET(_xlpm.x,_xlfn.XLOOKUP($A64,'[1]2. Abinitio IF'!$C:$C,'[1]2. Abinitio IF'!$BG:$BG," "),IF(_xlpm.x=0," ",_xlpm.x))</f>
        <v xml:space="preserve"> </v>
      </c>
    </row>
    <row r="65" spans="1:6" s="7" customFormat="1">
      <c r="A65" s="5" t="s">
        <v>89</v>
      </c>
      <c r="B65" s="7" t="s">
        <v>18</v>
      </c>
      <c r="D65" s="7" t="str">
        <f>_xlfn.LET(_xlpm.x,_xlfn.XLOOKUP(A65,'[1]2. Abinitio IF'!$C:$C,'[1]2. Abinitio IF'!$AY:$AY," "), IF(_xlpm.x=0," ",_xlpm.x))</f>
        <v>Transactional</v>
      </c>
      <c r="E65" s="8" t="str">
        <f>_xlfn.LET(_xlpm.x,_xlfn.XLOOKUP($A65,'[1]2. Abinitio IF'!$C:$C,'[1]2. Abinitio IF'!$BA:$BA," "), IF(_xlpm.x=0," ",_xlpm.x))</f>
        <v xml:space="preserve"> </v>
      </c>
      <c r="F65" s="7" t="str">
        <f>_xlfn.LET(_xlpm.x,_xlfn.XLOOKUP($A65,'[1]2. Abinitio IF'!$C:$C,'[1]2. Abinitio IF'!$BG:$BG," "),IF(_xlpm.x=0," ",_xlpm.x))</f>
        <v xml:space="preserve"> </v>
      </c>
    </row>
    <row r="66" spans="1:6" s="7" customFormat="1">
      <c r="A66" s="5" t="s">
        <v>90</v>
      </c>
      <c r="B66" s="7" t="s">
        <v>18</v>
      </c>
      <c r="D66" s="7" t="str">
        <f>_xlfn.LET(_xlpm.x,_xlfn.XLOOKUP(A66,'[1]2. Abinitio IF'!$C:$C,'[1]2. Abinitio IF'!$AY:$AY," "), IF(_xlpm.x=0," ",_xlpm.x))</f>
        <v>Master</v>
      </c>
      <c r="E66" s="8" t="str">
        <f>_xlfn.LET(_xlpm.x,_xlfn.XLOOKUP($A66,'[1]2. Abinitio IF'!$C:$C,'[1]2. Abinitio IF'!$BA:$BA," "), IF(_xlpm.x=0," ",_xlpm.x))</f>
        <v xml:space="preserve"> </v>
      </c>
      <c r="F66" s="7" t="str">
        <f>_xlfn.LET(_xlpm.x,_xlfn.XLOOKUP($A66,'[1]2. Abinitio IF'!$C:$C,'[1]2. Abinitio IF'!$BG:$BG," "),IF(_xlpm.x=0," ",_xlpm.x))</f>
        <v xml:space="preserve"> </v>
      </c>
    </row>
    <row r="67" spans="1:6" s="7" customFormat="1">
      <c r="A67" s="5" t="s">
        <v>91</v>
      </c>
      <c r="B67" s="7" t="s">
        <v>18</v>
      </c>
      <c r="D67" s="7" t="str">
        <f>_xlfn.LET(_xlpm.x,_xlfn.XLOOKUP(A67,'[1]2. Abinitio IF'!$C:$C,'[1]2. Abinitio IF'!$AY:$AY," "), IF(_xlpm.x=0," ",_xlpm.x))</f>
        <v>Master</v>
      </c>
      <c r="E67" s="8" t="str">
        <f>_xlfn.LET(_xlpm.x,_xlfn.XLOOKUP($A67,'[1]2. Abinitio IF'!$C:$C,'[1]2. Abinitio IF'!$BA:$BA," "), IF(_xlpm.x=0," ",_xlpm.x))</f>
        <v xml:space="preserve"> </v>
      </c>
      <c r="F67" s="7" t="str">
        <f>_xlfn.LET(_xlpm.x,_xlfn.XLOOKUP($A67,'[1]2. Abinitio IF'!$C:$C,'[1]2. Abinitio IF'!$BG:$BG," "),IF(_xlpm.x=0," ",_xlpm.x))</f>
        <v xml:space="preserve"> </v>
      </c>
    </row>
    <row r="68" spans="1:6" s="7" customFormat="1">
      <c r="A68" s="5" t="s">
        <v>92</v>
      </c>
      <c r="B68" s="7" t="s">
        <v>18</v>
      </c>
      <c r="D68" s="7" t="str">
        <f>_xlfn.LET(_xlpm.x,_xlfn.XLOOKUP(A68,'[1]2. Abinitio IF'!$C:$C,'[1]2. Abinitio IF'!$AY:$AY," "), IF(_xlpm.x=0," ",_xlpm.x))</f>
        <v>Master</v>
      </c>
      <c r="E68" s="8" t="str">
        <f>_xlfn.LET(_xlpm.x,_xlfn.XLOOKUP($A68,'[1]2. Abinitio IF'!$C:$C,'[1]2. Abinitio IF'!$BA:$BA," "), IF(_xlpm.x=0," ",_xlpm.x))</f>
        <v xml:space="preserve"> </v>
      </c>
      <c r="F68" s="7" t="str">
        <f>_xlfn.LET(_xlpm.x,_xlfn.XLOOKUP($A68,'[1]2. Abinitio IF'!$C:$C,'[1]2. Abinitio IF'!$BG:$BG," "),IF(_xlpm.x=0," ",_xlpm.x))</f>
        <v xml:space="preserve"> </v>
      </c>
    </row>
    <row r="69" spans="1:6" s="7" customFormat="1">
      <c r="A69" s="5" t="s">
        <v>93</v>
      </c>
      <c r="B69" s="7" t="s">
        <v>18</v>
      </c>
      <c r="D69" s="7" t="str">
        <f>_xlfn.LET(_xlpm.x,_xlfn.XLOOKUP(A69,'[1]2. Abinitio IF'!$C:$C,'[1]2. Abinitio IF'!$AY:$AY," "), IF(_xlpm.x=0," ",_xlpm.x))</f>
        <v>Transactional</v>
      </c>
      <c r="E69" s="8" t="str">
        <f>_xlfn.LET(_xlpm.x,_xlfn.XLOOKUP($A69,'[1]2. Abinitio IF'!$C:$C,'[1]2. Abinitio IF'!$BA:$BA," "), IF(_xlpm.x=0," ",_xlpm.x))</f>
        <v xml:space="preserve"> </v>
      </c>
      <c r="F69" s="7" t="str">
        <f>_xlfn.LET(_xlpm.x,_xlfn.XLOOKUP($A69,'[1]2. Abinitio IF'!$C:$C,'[1]2. Abinitio IF'!$BG:$BG," "),IF(_xlpm.x=0," ",_xlpm.x))</f>
        <v xml:space="preserve"> </v>
      </c>
    </row>
    <row r="70" spans="1:6" s="7" customFormat="1">
      <c r="A70" s="5" t="s">
        <v>94</v>
      </c>
      <c r="B70" s="7" t="s">
        <v>18</v>
      </c>
      <c r="D70" s="7" t="str">
        <f>_xlfn.LET(_xlpm.x,_xlfn.XLOOKUP(A70,'[1]2. Abinitio IF'!$C:$C,'[1]2. Abinitio IF'!$AY:$AY," "), IF(_xlpm.x=0," ",_xlpm.x))</f>
        <v>Transactional</v>
      </c>
      <c r="E70" s="8" t="str">
        <f>_xlfn.LET(_xlpm.x,_xlfn.XLOOKUP($A70,'[1]2. Abinitio IF'!$C:$C,'[1]2. Abinitio IF'!$BA:$BA," "), IF(_xlpm.x=0," ",_xlpm.x))</f>
        <v xml:space="preserve"> </v>
      </c>
      <c r="F70" s="7" t="str">
        <f>_xlfn.LET(_xlpm.x,_xlfn.XLOOKUP($A70,'[1]2. Abinitio IF'!$C:$C,'[1]2. Abinitio IF'!$BG:$BG," "),IF(_xlpm.x=0," ",_xlpm.x))</f>
        <v xml:space="preserve"> </v>
      </c>
    </row>
    <row r="71" spans="1:6" s="7" customFormat="1">
      <c r="A71" s="5" t="s">
        <v>93</v>
      </c>
      <c r="B71" s="7" t="s">
        <v>18</v>
      </c>
      <c r="D71" s="7" t="str">
        <f>_xlfn.LET(_xlpm.x,_xlfn.XLOOKUP(A71,'[1]2. Abinitio IF'!$C:$C,'[1]2. Abinitio IF'!$AY:$AY," "), IF(_xlpm.x=0," ",_xlpm.x))</f>
        <v>Transactional</v>
      </c>
      <c r="E71" s="8" t="str">
        <f>_xlfn.LET(_xlpm.x,_xlfn.XLOOKUP($A71,'[1]2. Abinitio IF'!$C:$C,'[1]2. Abinitio IF'!$BA:$BA," "), IF(_xlpm.x=0," ",_xlpm.x))</f>
        <v xml:space="preserve"> </v>
      </c>
      <c r="F71" s="7" t="str">
        <f>_xlfn.LET(_xlpm.x,_xlfn.XLOOKUP($A71,'[1]2. Abinitio IF'!$C:$C,'[1]2. Abinitio IF'!$BG:$BG," "),IF(_xlpm.x=0," ",_xlpm.x))</f>
        <v xml:space="preserve"> </v>
      </c>
    </row>
    <row r="72" spans="1:6" s="7" customFormat="1">
      <c r="A72" s="5" t="s">
        <v>95</v>
      </c>
      <c r="B72" s="7" t="s">
        <v>18</v>
      </c>
      <c r="D72" s="7" t="str">
        <f>_xlfn.LET(_xlpm.x,_xlfn.XLOOKUP(A72,'[1]2. Abinitio IF'!$C:$C,'[1]2. Abinitio IF'!$AY:$AY," "), IF(_xlpm.x=0," ",_xlpm.x))</f>
        <v>Transactional</v>
      </c>
      <c r="E72" s="8" t="str">
        <f>_xlfn.LET(_xlpm.x,_xlfn.XLOOKUP($A72,'[1]2. Abinitio IF'!$C:$C,'[1]2. Abinitio IF'!$BA:$BA," "), IF(_xlpm.x=0," ",_xlpm.x))</f>
        <v xml:space="preserve"> </v>
      </c>
      <c r="F72" s="7" t="str">
        <f>_xlfn.LET(_xlpm.x,_xlfn.XLOOKUP($A72,'[1]2. Abinitio IF'!$C:$C,'[1]2. Abinitio IF'!$BG:$BG," "),IF(_xlpm.x=0," ",_xlpm.x))</f>
        <v xml:space="preserve"> </v>
      </c>
    </row>
    <row r="73" spans="1:6" s="7" customFormat="1">
      <c r="A73" s="5" t="s">
        <v>96</v>
      </c>
      <c r="B73" s="7" t="s">
        <v>18</v>
      </c>
      <c r="D73" s="7" t="str">
        <f>_xlfn.LET(_xlpm.x,_xlfn.XLOOKUP(A73,'[1]2. Abinitio IF'!$C:$C,'[1]2. Abinitio IF'!$AY:$AY," "), IF(_xlpm.x=0," ",_xlpm.x))</f>
        <v>Transactional</v>
      </c>
      <c r="E73" s="8" t="str">
        <f>_xlfn.LET(_xlpm.x,_xlfn.XLOOKUP($A73,'[1]2. Abinitio IF'!$C:$C,'[1]2. Abinitio IF'!$BA:$BA," "), IF(_xlpm.x=0," ",_xlpm.x))</f>
        <v xml:space="preserve"> </v>
      </c>
      <c r="F73" s="7" t="str">
        <f>_xlfn.LET(_xlpm.x,_xlfn.XLOOKUP($A73,'[1]2. Abinitio IF'!$C:$C,'[1]2. Abinitio IF'!$BG:$BG," "),IF(_xlpm.x=0," ",_xlpm.x))</f>
        <v xml:space="preserve"> </v>
      </c>
    </row>
    <row r="74" spans="1:6" s="7" customFormat="1">
      <c r="A74" s="5" t="s">
        <v>97</v>
      </c>
      <c r="B74" s="7" t="s">
        <v>18</v>
      </c>
      <c r="D74" s="7" t="str">
        <f>_xlfn.LET(_xlpm.x,_xlfn.XLOOKUP(A74,'[1]2. Abinitio IF'!$C:$C,'[1]2. Abinitio IF'!$AY:$AY," "), IF(_xlpm.x=0," ",_xlpm.x))</f>
        <v>Transactional</v>
      </c>
      <c r="E74" s="8" t="str">
        <f>_xlfn.LET(_xlpm.x,_xlfn.XLOOKUP($A74,'[1]2. Abinitio IF'!$C:$C,'[1]2. Abinitio IF'!$BA:$BA," "), IF(_xlpm.x=0," ",_xlpm.x))</f>
        <v xml:space="preserve"> </v>
      </c>
      <c r="F74" s="7" t="str">
        <f>_xlfn.LET(_xlpm.x,_xlfn.XLOOKUP($A74,'[1]2. Abinitio IF'!$C:$C,'[1]2. Abinitio IF'!$BG:$BG," "),IF(_xlpm.x=0," ",_xlpm.x))</f>
        <v xml:space="preserve"> </v>
      </c>
    </row>
    <row r="75" spans="1:6" s="7" customFormat="1">
      <c r="A75" s="5" t="s">
        <v>98</v>
      </c>
      <c r="B75" s="7" t="s">
        <v>18</v>
      </c>
      <c r="D75" s="7" t="str">
        <f>_xlfn.LET(_xlpm.x,_xlfn.XLOOKUP(A75,'[1]2. Abinitio IF'!$C:$C,'[1]2. Abinitio IF'!$AY:$AY," "), IF(_xlpm.x=0," ",_xlpm.x))</f>
        <v>Transactional</v>
      </c>
      <c r="E75" s="8" t="str">
        <f>_xlfn.LET(_xlpm.x,_xlfn.XLOOKUP($A75,'[1]2. Abinitio IF'!$C:$C,'[1]2. Abinitio IF'!$BA:$BA," "), IF(_xlpm.x=0," ",_xlpm.x))</f>
        <v xml:space="preserve"> </v>
      </c>
      <c r="F75" s="7" t="str">
        <f>_xlfn.LET(_xlpm.x,_xlfn.XLOOKUP($A75,'[1]2. Abinitio IF'!$C:$C,'[1]2. Abinitio IF'!$BG:$BG," "),IF(_xlpm.x=0," ",_xlpm.x))</f>
        <v xml:space="preserve"> </v>
      </c>
    </row>
    <row r="76" spans="1:6" s="7" customFormat="1">
      <c r="A76" s="5" t="s">
        <v>99</v>
      </c>
      <c r="B76" s="7" t="s">
        <v>18</v>
      </c>
      <c r="D76" s="7" t="str">
        <f>_xlfn.LET(_xlpm.x,_xlfn.XLOOKUP(A76,'[1]2. Abinitio IF'!$C:$C,'[1]2. Abinitio IF'!$AY:$AY," "), IF(_xlpm.x=0," ",_xlpm.x))</f>
        <v>Transactional</v>
      </c>
      <c r="E76" s="8" t="str">
        <f>_xlfn.LET(_xlpm.x,_xlfn.XLOOKUP($A76,'[1]2. Abinitio IF'!$C:$C,'[1]2. Abinitio IF'!$BA:$BA," "), IF(_xlpm.x=0," ",_xlpm.x))</f>
        <v xml:space="preserve"> </v>
      </c>
      <c r="F76" s="7" t="str">
        <f>_xlfn.LET(_xlpm.x,_xlfn.XLOOKUP($A76,'[1]2. Abinitio IF'!$C:$C,'[1]2. Abinitio IF'!$BG:$BG," "),IF(_xlpm.x=0," ",_xlpm.x))</f>
        <v xml:space="preserve"> </v>
      </c>
    </row>
    <row r="77" spans="1:6" s="7" customFormat="1">
      <c r="A77" s="5" t="s">
        <v>89</v>
      </c>
      <c r="B77" s="7" t="s">
        <v>18</v>
      </c>
      <c r="D77" s="7" t="str">
        <f>_xlfn.LET(_xlpm.x,_xlfn.XLOOKUP(A77,'[1]2. Abinitio IF'!$C:$C,'[1]2. Abinitio IF'!$AY:$AY," "), IF(_xlpm.x=0," ",_xlpm.x))</f>
        <v>Transactional</v>
      </c>
      <c r="E77" s="8" t="str">
        <f>_xlfn.LET(_xlpm.x,_xlfn.XLOOKUP($A77,'[1]2. Abinitio IF'!$C:$C,'[1]2. Abinitio IF'!$BA:$BA," "), IF(_xlpm.x=0," ",_xlpm.x))</f>
        <v xml:space="preserve"> </v>
      </c>
      <c r="F77" s="7" t="str">
        <f>_xlfn.LET(_xlpm.x,_xlfn.XLOOKUP($A77,'[1]2. Abinitio IF'!$C:$C,'[1]2. Abinitio IF'!$BG:$BG," "),IF(_xlpm.x=0," ",_xlpm.x))</f>
        <v xml:space="preserve"> </v>
      </c>
    </row>
    <row r="78" spans="1:6" s="7" customFormat="1">
      <c r="A78" s="5" t="s">
        <v>100</v>
      </c>
      <c r="B78" s="7" t="s">
        <v>18</v>
      </c>
      <c r="D78" s="7" t="str">
        <f>_xlfn.LET(_xlpm.x,_xlfn.XLOOKUP(A78,'[1]2. Abinitio IF'!$C:$C,'[1]2. Abinitio IF'!$AY:$AY," "), IF(_xlpm.x=0," ",_xlpm.x))</f>
        <v>Transactional</v>
      </c>
      <c r="E78" s="8" t="str">
        <f>_xlfn.LET(_xlpm.x,_xlfn.XLOOKUP($A78,'[1]2. Abinitio IF'!$C:$C,'[1]2. Abinitio IF'!$BA:$BA," "), IF(_xlpm.x=0," ",_xlpm.x))</f>
        <v xml:space="preserve"> </v>
      </c>
      <c r="F78" s="7" t="str">
        <f>_xlfn.LET(_xlpm.x,_xlfn.XLOOKUP($A78,'[1]2. Abinitio IF'!$C:$C,'[1]2. Abinitio IF'!$BG:$BG," "),IF(_xlpm.x=0," ",_xlpm.x))</f>
        <v xml:space="preserve"> </v>
      </c>
    </row>
    <row r="79" spans="1:6" s="7" customFormat="1">
      <c r="A79" s="5" t="s">
        <v>101</v>
      </c>
      <c r="B79" s="7" t="s">
        <v>18</v>
      </c>
      <c r="D79" s="7" t="str">
        <f>_xlfn.LET(_xlpm.x,_xlfn.XLOOKUP(A79,'[1]2. Abinitio IF'!$C:$C,'[1]2. Abinitio IF'!$AY:$AY," "), IF(_xlpm.x=0," ",_xlpm.x))</f>
        <v>Transactional</v>
      </c>
      <c r="E79" s="8" t="str">
        <f>_xlfn.LET(_xlpm.x,_xlfn.XLOOKUP($A79,'[1]2. Abinitio IF'!$C:$C,'[1]2. Abinitio IF'!$BA:$BA," "), IF(_xlpm.x=0," ",_xlpm.x))</f>
        <v xml:space="preserve"> </v>
      </c>
      <c r="F79" s="7" t="str">
        <f>_xlfn.LET(_xlpm.x,_xlfn.XLOOKUP($A79,'[1]2. Abinitio IF'!$C:$C,'[1]2. Abinitio IF'!$BG:$BG," "),IF(_xlpm.x=0," ",_xlpm.x))</f>
        <v xml:space="preserve"> </v>
      </c>
    </row>
    <row r="80" spans="1:6" s="7" customFormat="1">
      <c r="A80" s="5" t="s">
        <v>102</v>
      </c>
      <c r="B80" s="7" t="s">
        <v>18</v>
      </c>
      <c r="D80" s="7" t="str">
        <f>_xlfn.LET(_xlpm.x,_xlfn.XLOOKUP(A80,'[1]2. Abinitio IF'!$C:$C,'[1]2. Abinitio IF'!$AY:$AY," "), IF(_xlpm.x=0," ",_xlpm.x))</f>
        <v>Transactional</v>
      </c>
      <c r="E80" s="8" t="str">
        <f>_xlfn.LET(_xlpm.x,_xlfn.XLOOKUP($A80,'[1]2. Abinitio IF'!$C:$C,'[1]2. Abinitio IF'!$BA:$BA," "), IF(_xlpm.x=0," ",_xlpm.x))</f>
        <v xml:space="preserve"> </v>
      </c>
      <c r="F80" s="7" t="str">
        <f>_xlfn.LET(_xlpm.x,_xlfn.XLOOKUP($A80,'[1]2. Abinitio IF'!$C:$C,'[1]2. Abinitio IF'!$BG:$BG," "),IF(_xlpm.x=0," ",_xlpm.x))</f>
        <v xml:space="preserve"> </v>
      </c>
    </row>
    <row r="81" spans="1:6" s="7" customFormat="1">
      <c r="A81" s="5" t="s">
        <v>103</v>
      </c>
      <c r="B81" s="7" t="s">
        <v>18</v>
      </c>
      <c r="D81" s="7" t="str">
        <f>_xlfn.LET(_xlpm.x,_xlfn.XLOOKUP(A81,'[1]2. Abinitio IF'!$C:$C,'[1]2. Abinitio IF'!$AY:$AY," "), IF(_xlpm.x=0," ",_xlpm.x))</f>
        <v>Transactional</v>
      </c>
      <c r="E81" s="8" t="str">
        <f>_xlfn.LET(_xlpm.x,_xlfn.XLOOKUP($A81,'[1]2. Abinitio IF'!$C:$C,'[1]2. Abinitio IF'!$BA:$BA," "), IF(_xlpm.x=0," ",_xlpm.x))</f>
        <v xml:space="preserve"> </v>
      </c>
      <c r="F81" s="7" t="str">
        <f>_xlfn.LET(_xlpm.x,_xlfn.XLOOKUP($A81,'[1]2. Abinitio IF'!$C:$C,'[1]2. Abinitio IF'!$BG:$BG," "),IF(_xlpm.x=0," ",_xlpm.x))</f>
        <v xml:space="preserve"> </v>
      </c>
    </row>
    <row r="82" spans="1:6" s="7" customFormat="1">
      <c r="A82" s="5" t="s">
        <v>104</v>
      </c>
      <c r="B82" s="7" t="s">
        <v>18</v>
      </c>
      <c r="D82" s="7" t="str">
        <f>_xlfn.LET(_xlpm.x,_xlfn.XLOOKUP(A82,'[1]2. Abinitio IF'!$C:$C,'[1]2. Abinitio IF'!$AY:$AY," "), IF(_xlpm.x=0," ",_xlpm.x))</f>
        <v>Transactional</v>
      </c>
      <c r="E82" s="8" t="str">
        <f>_xlfn.LET(_xlpm.x,_xlfn.XLOOKUP($A82,'[1]2. Abinitio IF'!$C:$C,'[1]2. Abinitio IF'!$BA:$BA," "), IF(_xlpm.x=0," ",_xlpm.x))</f>
        <v xml:space="preserve"> </v>
      </c>
      <c r="F82" s="7" t="str">
        <f>_xlfn.LET(_xlpm.x,_xlfn.XLOOKUP($A82,'[1]2. Abinitio IF'!$C:$C,'[1]2. Abinitio IF'!$BG:$BG," "),IF(_xlpm.x=0," ",_xlpm.x))</f>
        <v xml:space="preserve"> </v>
      </c>
    </row>
    <row r="83" spans="1:6" s="7" customFormat="1">
      <c r="A83" s="5" t="s">
        <v>104</v>
      </c>
      <c r="B83" s="7" t="s">
        <v>18</v>
      </c>
      <c r="D83" s="7" t="str">
        <f>_xlfn.LET(_xlpm.x,_xlfn.XLOOKUP(A83,'[1]2. Abinitio IF'!$C:$C,'[1]2. Abinitio IF'!$AY:$AY," "), IF(_xlpm.x=0," ",_xlpm.x))</f>
        <v>Transactional</v>
      </c>
      <c r="E83" s="8" t="str">
        <f>_xlfn.LET(_xlpm.x,_xlfn.XLOOKUP($A83,'[1]2. Abinitio IF'!$C:$C,'[1]2. Abinitio IF'!$BA:$BA," "), IF(_xlpm.x=0," ",_xlpm.x))</f>
        <v xml:space="preserve"> </v>
      </c>
      <c r="F83" s="7" t="str">
        <f>_xlfn.LET(_xlpm.x,_xlfn.XLOOKUP($A83,'[1]2. Abinitio IF'!$C:$C,'[1]2. Abinitio IF'!$BG:$BG," "),IF(_xlpm.x=0," ",_xlpm.x))</f>
        <v xml:space="preserve"> </v>
      </c>
    </row>
    <row r="84" spans="1:6" s="7" customFormat="1">
      <c r="A84" s="5" t="s">
        <v>103</v>
      </c>
      <c r="B84" s="7" t="s">
        <v>18</v>
      </c>
      <c r="D84" s="7" t="str">
        <f>_xlfn.LET(_xlpm.x,_xlfn.XLOOKUP(A84,'[1]2. Abinitio IF'!$C:$C,'[1]2. Abinitio IF'!$AY:$AY," "), IF(_xlpm.x=0," ",_xlpm.x))</f>
        <v>Transactional</v>
      </c>
      <c r="E84" s="8" t="str">
        <f>_xlfn.LET(_xlpm.x,_xlfn.XLOOKUP($A84,'[1]2. Abinitio IF'!$C:$C,'[1]2. Abinitio IF'!$BA:$BA," "), IF(_xlpm.x=0," ",_xlpm.x))</f>
        <v xml:space="preserve"> </v>
      </c>
      <c r="F84" s="7" t="str">
        <f>_xlfn.LET(_xlpm.x,_xlfn.XLOOKUP($A84,'[1]2. Abinitio IF'!$C:$C,'[1]2. Abinitio IF'!$BG:$BG," "),IF(_xlpm.x=0," ",_xlpm.x))</f>
        <v xml:space="preserve"> </v>
      </c>
    </row>
    <row r="85" spans="1:6" s="7" customFormat="1">
      <c r="A85" s="5" t="s">
        <v>105</v>
      </c>
      <c r="B85" s="7" t="s">
        <v>15</v>
      </c>
      <c r="C85" s="7" t="s">
        <v>16</v>
      </c>
      <c r="D85" s="7" t="str">
        <f>_xlfn.LET(_xlpm.x,_xlfn.XLOOKUP(A85,'[1]2. Abinitio IF'!$C:$C,'[1]2. Abinitio IF'!$AY:$AY," "), IF(_xlpm.x=0," ",_xlpm.x))</f>
        <v>Master</v>
      </c>
      <c r="E85" s="8" t="str">
        <f>_xlfn.LET(_xlpm.x,_xlfn.XLOOKUP($A85,'[1]2. Abinitio IF'!$C:$C,'[1]2. Abinitio IF'!$BA:$BA," "), IF(_xlpm.x=0," ",_xlpm.x))</f>
        <v xml:space="preserve"> </v>
      </c>
      <c r="F85" s="7" t="str">
        <f>_xlfn.LET(_xlpm.x,_xlfn.XLOOKUP($A85,'[1]2. Abinitio IF'!$C:$C,'[1]2. Abinitio IF'!$BG:$BG," "),IF(_xlpm.x=0," ",_xlpm.x))</f>
        <v xml:space="preserve"> </v>
      </c>
    </row>
    <row r="86" spans="1:6" s="7" customFormat="1">
      <c r="A86" s="5" t="s">
        <v>106</v>
      </c>
      <c r="B86" s="7" t="s">
        <v>15</v>
      </c>
      <c r="C86" s="7" t="s">
        <v>16</v>
      </c>
      <c r="D86" s="7" t="str">
        <f>_xlfn.LET(_xlpm.x,_xlfn.XLOOKUP(A86,'[1]2. Abinitio IF'!$C:$C,'[1]2. Abinitio IF'!$AY:$AY," "), IF(_xlpm.x=0," ",_xlpm.x))</f>
        <v>Master</v>
      </c>
      <c r="E86" s="8" t="str">
        <f>_xlfn.LET(_xlpm.x,_xlfn.XLOOKUP($A86,'[1]2. Abinitio IF'!$C:$C,'[1]2. Abinitio IF'!$BA:$BA," "), IF(_xlpm.x=0," ",_xlpm.x))</f>
        <v xml:space="preserve"> </v>
      </c>
      <c r="F86" s="7" t="str">
        <f>_xlfn.LET(_xlpm.x,_xlfn.XLOOKUP($A86,'[1]2. Abinitio IF'!$C:$C,'[1]2. Abinitio IF'!$BG:$BG," "),IF(_xlpm.x=0," ",_xlpm.x))</f>
        <v xml:space="preserve"> </v>
      </c>
    </row>
    <row r="87" spans="1:6" s="7" customFormat="1">
      <c r="A87" s="5" t="s">
        <v>107</v>
      </c>
      <c r="B87" s="7" t="s">
        <v>15</v>
      </c>
      <c r="C87" s="7" t="s">
        <v>16</v>
      </c>
      <c r="D87" s="7" t="str">
        <f>_xlfn.LET(_xlpm.x,_xlfn.XLOOKUP(A87,'[1]2. Abinitio IF'!$C:$C,'[1]2. Abinitio IF'!$AY:$AY," "), IF(_xlpm.x=0," ",_xlpm.x))</f>
        <v>Master</v>
      </c>
      <c r="E87" s="8" t="str">
        <f>_xlfn.LET(_xlpm.x,_xlfn.XLOOKUP($A87,'[1]2. Abinitio IF'!$C:$C,'[1]2. Abinitio IF'!$BA:$BA," "), IF(_xlpm.x=0," ",_xlpm.x))</f>
        <v xml:space="preserve"> </v>
      </c>
      <c r="F87" s="7" t="str">
        <f>_xlfn.LET(_xlpm.x,_xlfn.XLOOKUP($A87,'[1]2. Abinitio IF'!$C:$C,'[1]2. Abinitio IF'!$BG:$BG," "),IF(_xlpm.x=0," ",_xlpm.x))</f>
        <v xml:space="preserve"> </v>
      </c>
    </row>
    <row r="88" spans="1:6" s="7" customFormat="1">
      <c r="A88" s="5" t="s">
        <v>108</v>
      </c>
      <c r="B88" s="7" t="s">
        <v>15</v>
      </c>
      <c r="C88" s="7" t="s">
        <v>16</v>
      </c>
      <c r="D88" s="7" t="str">
        <f>_xlfn.LET(_xlpm.x,_xlfn.XLOOKUP(A88,'[1]2. Abinitio IF'!$C:$C,'[1]2. Abinitio IF'!$AY:$AY," "), IF(_xlpm.x=0," ",_xlpm.x))</f>
        <v>Master</v>
      </c>
      <c r="E88" s="8" t="str">
        <f>_xlfn.LET(_xlpm.x,_xlfn.XLOOKUP($A88,'[1]2. Abinitio IF'!$C:$C,'[1]2. Abinitio IF'!$BA:$BA," "), IF(_xlpm.x=0," ",_xlpm.x))</f>
        <v xml:space="preserve"> </v>
      </c>
      <c r="F88" s="7" t="str">
        <f>_xlfn.LET(_xlpm.x,_xlfn.XLOOKUP($A88,'[1]2. Abinitio IF'!$C:$C,'[1]2. Abinitio IF'!$BG:$BG," "),IF(_xlpm.x=0," ",_xlpm.x))</f>
        <v xml:space="preserve"> </v>
      </c>
    </row>
    <row r="89" spans="1:6" s="7" customFormat="1">
      <c r="A89" s="5" t="s">
        <v>109</v>
      </c>
      <c r="B89" s="7" t="s">
        <v>15</v>
      </c>
      <c r="C89" s="7" t="s">
        <v>16</v>
      </c>
      <c r="D89" s="7" t="str">
        <f>_xlfn.LET(_xlpm.x,_xlfn.XLOOKUP(A89,'[1]2. Abinitio IF'!$C:$C,'[1]2. Abinitio IF'!$AY:$AY," "), IF(_xlpm.x=0," ",_xlpm.x))</f>
        <v>Master</v>
      </c>
      <c r="E89" s="8" t="str">
        <f>_xlfn.LET(_xlpm.x,_xlfn.XLOOKUP($A89,'[1]2. Abinitio IF'!$C:$C,'[1]2. Abinitio IF'!$BA:$BA," "), IF(_xlpm.x=0," ",_xlpm.x))</f>
        <v xml:space="preserve"> </v>
      </c>
      <c r="F89" s="7" t="str">
        <f>_xlfn.LET(_xlpm.x,_xlfn.XLOOKUP($A89,'[1]2. Abinitio IF'!$C:$C,'[1]2. Abinitio IF'!$BG:$BG," "),IF(_xlpm.x=0," ",_xlpm.x))</f>
        <v xml:space="preserve"> </v>
      </c>
    </row>
    <row r="90" spans="1:6" s="7" customFormat="1">
      <c r="A90" s="5" t="s">
        <v>110</v>
      </c>
      <c r="B90" s="7" t="s">
        <v>15</v>
      </c>
      <c r="C90" s="7" t="s">
        <v>16</v>
      </c>
      <c r="D90" s="7" t="str">
        <f>_xlfn.LET(_xlpm.x,_xlfn.XLOOKUP(A90,'[1]2. Abinitio IF'!$C:$C,'[1]2. Abinitio IF'!$AY:$AY," "), IF(_xlpm.x=0," ",_xlpm.x))</f>
        <v>Master</v>
      </c>
      <c r="E90" s="8" t="str">
        <f>_xlfn.LET(_xlpm.x,_xlfn.XLOOKUP($A90,'[1]2. Abinitio IF'!$C:$C,'[1]2. Abinitio IF'!$BA:$BA," "), IF(_xlpm.x=0," ",_xlpm.x))</f>
        <v xml:space="preserve"> </v>
      </c>
      <c r="F90" s="7" t="str">
        <f>_xlfn.LET(_xlpm.x,_xlfn.XLOOKUP($A90,'[1]2. Abinitio IF'!$C:$C,'[1]2. Abinitio IF'!$BG:$BG," "),IF(_xlpm.x=0," ",_xlpm.x))</f>
        <v xml:space="preserve"> </v>
      </c>
    </row>
    <row r="91" spans="1:6" s="7" customFormat="1">
      <c r="A91" s="5" t="s">
        <v>111</v>
      </c>
      <c r="B91" s="7" t="s">
        <v>15</v>
      </c>
      <c r="C91" s="7" t="s">
        <v>16</v>
      </c>
      <c r="D91" s="7" t="str">
        <f>_xlfn.LET(_xlpm.x,_xlfn.XLOOKUP(A91,'[1]2. Abinitio IF'!$C:$C,'[1]2. Abinitio IF'!$AY:$AY," "), IF(_xlpm.x=0," ",_xlpm.x))</f>
        <v>Transactional</v>
      </c>
      <c r="E91" s="8" t="str">
        <f>_xlfn.LET(_xlpm.x,_xlfn.XLOOKUP($A91,'[1]2. Abinitio IF'!$C:$C,'[1]2. Abinitio IF'!$BA:$BA," "), IF(_xlpm.x=0," ",_xlpm.x))</f>
        <v xml:space="preserve"> </v>
      </c>
      <c r="F91" s="7" t="str">
        <f>_xlfn.LET(_xlpm.x,_xlfn.XLOOKUP($A91,'[1]2. Abinitio IF'!$C:$C,'[1]2. Abinitio IF'!$BG:$BG," "),IF(_xlpm.x=0," ",_xlpm.x))</f>
        <v xml:space="preserve"> </v>
      </c>
    </row>
    <row r="92" spans="1:6" s="7" customFormat="1">
      <c r="A92" s="5" t="s">
        <v>112</v>
      </c>
      <c r="B92" s="7" t="s">
        <v>15</v>
      </c>
      <c r="C92" s="7" t="s">
        <v>16</v>
      </c>
      <c r="D92" s="7" t="str">
        <f>_xlfn.LET(_xlpm.x,_xlfn.XLOOKUP(A92,'[1]2. Abinitio IF'!$C:$C,'[1]2. Abinitio IF'!$AY:$AY," "), IF(_xlpm.x=0," ",_xlpm.x))</f>
        <v>Transactional</v>
      </c>
      <c r="E92" s="8" t="str">
        <f>_xlfn.LET(_xlpm.x,_xlfn.XLOOKUP($A92,'[1]2. Abinitio IF'!$C:$C,'[1]2. Abinitio IF'!$BA:$BA," "), IF(_xlpm.x=0," ",_xlpm.x))</f>
        <v xml:space="preserve"> </v>
      </c>
      <c r="F92" s="7" t="str">
        <f>_xlfn.LET(_xlpm.x,_xlfn.XLOOKUP($A92,'[1]2. Abinitio IF'!$C:$C,'[1]2. Abinitio IF'!$BG:$BG," "),IF(_xlpm.x=0," ",_xlpm.x))</f>
        <v xml:space="preserve"> </v>
      </c>
    </row>
    <row r="93" spans="1:6" s="7" customFormat="1">
      <c r="A93" s="5" t="s">
        <v>113</v>
      </c>
      <c r="B93" s="7" t="s">
        <v>15</v>
      </c>
      <c r="C93" s="7" t="s">
        <v>16</v>
      </c>
      <c r="D93" s="7" t="str">
        <f>_xlfn.LET(_xlpm.x,_xlfn.XLOOKUP(A93,'[1]2. Abinitio IF'!$C:$C,'[1]2. Abinitio IF'!$AY:$AY," "), IF(_xlpm.x=0," ",_xlpm.x))</f>
        <v>Transactional</v>
      </c>
      <c r="E93" s="8" t="str">
        <f>_xlfn.LET(_xlpm.x,_xlfn.XLOOKUP($A93,'[1]2. Abinitio IF'!$C:$C,'[1]2. Abinitio IF'!$BA:$BA," "), IF(_xlpm.x=0," ",_xlpm.x))</f>
        <v xml:space="preserve"> </v>
      </c>
      <c r="F93" s="7" t="str">
        <f>_xlfn.LET(_xlpm.x,_xlfn.XLOOKUP($A93,'[1]2. Abinitio IF'!$C:$C,'[1]2. Abinitio IF'!$BG:$BG," "),IF(_xlpm.x=0," ",_xlpm.x))</f>
        <v xml:space="preserve"> </v>
      </c>
    </row>
    <row r="94" spans="1:6" s="7" customFormat="1">
      <c r="A94" s="5" t="s">
        <v>114</v>
      </c>
      <c r="B94" s="7" t="s">
        <v>15</v>
      </c>
      <c r="C94" s="7" t="s">
        <v>16</v>
      </c>
      <c r="D94" s="7" t="str">
        <f>_xlfn.LET(_xlpm.x,_xlfn.XLOOKUP(A94,'[1]2. Abinitio IF'!$C:$C,'[1]2. Abinitio IF'!$AY:$AY," "), IF(_xlpm.x=0," ",_xlpm.x))</f>
        <v>Transactional</v>
      </c>
      <c r="E94" s="8" t="str">
        <f>_xlfn.LET(_xlpm.x,_xlfn.XLOOKUP($A94,'[1]2. Abinitio IF'!$C:$C,'[1]2. Abinitio IF'!$BA:$BA," "), IF(_xlpm.x=0," ",_xlpm.x))</f>
        <v xml:space="preserve"> </v>
      </c>
      <c r="F94" s="7" t="str">
        <f>_xlfn.LET(_xlpm.x,_xlfn.XLOOKUP($A94,'[1]2. Abinitio IF'!$C:$C,'[1]2. Abinitio IF'!$BG:$BG," "),IF(_xlpm.x=0," ",_xlpm.x))</f>
        <v xml:space="preserve"> </v>
      </c>
    </row>
    <row r="95" spans="1:6" s="7" customFormat="1">
      <c r="A95" s="5" t="s">
        <v>115</v>
      </c>
      <c r="B95" s="7" t="s">
        <v>15</v>
      </c>
      <c r="C95" s="7" t="s">
        <v>16</v>
      </c>
      <c r="D95" s="7" t="str">
        <f>_xlfn.LET(_xlpm.x,_xlfn.XLOOKUP(A95,'[1]2. Abinitio IF'!$C:$C,'[1]2. Abinitio IF'!$AY:$AY," "), IF(_xlpm.x=0," ",_xlpm.x))</f>
        <v>Master</v>
      </c>
      <c r="E95" s="8" t="str">
        <f>_xlfn.LET(_xlpm.x,_xlfn.XLOOKUP($A95,'[1]2. Abinitio IF'!$C:$C,'[1]2. Abinitio IF'!$BA:$BA," "), IF(_xlpm.x=0," ",_xlpm.x))</f>
        <v xml:space="preserve"> </v>
      </c>
      <c r="F95" s="7" t="str">
        <f>_xlfn.LET(_xlpm.x,_xlfn.XLOOKUP($A95,'[1]2. Abinitio IF'!$C:$C,'[1]2. Abinitio IF'!$BG:$BG," "),IF(_xlpm.x=0," ",_xlpm.x))</f>
        <v xml:space="preserve"> </v>
      </c>
    </row>
    <row r="96" spans="1:6" s="7" customFormat="1">
      <c r="A96" s="5" t="s">
        <v>116</v>
      </c>
      <c r="B96" s="7" t="s">
        <v>15</v>
      </c>
      <c r="C96" s="7" t="s">
        <v>16</v>
      </c>
      <c r="D96" s="7" t="str">
        <f>_xlfn.LET(_xlpm.x,_xlfn.XLOOKUP(A96,'[1]2. Abinitio IF'!$C:$C,'[1]2. Abinitio IF'!$AY:$AY," "), IF(_xlpm.x=0," ",_xlpm.x))</f>
        <v>Master</v>
      </c>
      <c r="E96" s="8" t="str">
        <f>_xlfn.LET(_xlpm.x,_xlfn.XLOOKUP($A96,'[1]2. Abinitio IF'!$C:$C,'[1]2. Abinitio IF'!$BA:$BA," "), IF(_xlpm.x=0," ",_xlpm.x))</f>
        <v xml:space="preserve"> </v>
      </c>
      <c r="F96" s="7" t="str">
        <f>_xlfn.LET(_xlpm.x,_xlfn.XLOOKUP($A96,'[1]2. Abinitio IF'!$C:$C,'[1]2. Abinitio IF'!$BG:$BG," "),IF(_xlpm.x=0," ",_xlpm.x))</f>
        <v xml:space="preserve"> </v>
      </c>
    </row>
    <row r="97" spans="1:6" s="7" customFormat="1">
      <c r="A97" s="5" t="s">
        <v>117</v>
      </c>
      <c r="B97" s="7" t="s">
        <v>15</v>
      </c>
      <c r="C97" s="7" t="s">
        <v>16</v>
      </c>
      <c r="D97" s="7" t="str">
        <f>_xlfn.LET(_xlpm.x,_xlfn.XLOOKUP(A97,'[1]2. Abinitio IF'!$C:$C,'[1]2. Abinitio IF'!$AY:$AY," "), IF(_xlpm.x=0," ",_xlpm.x))</f>
        <v>Master</v>
      </c>
      <c r="E97" s="8" t="str">
        <f>_xlfn.LET(_xlpm.x,_xlfn.XLOOKUP($A97,'[1]2. Abinitio IF'!$C:$C,'[1]2. Abinitio IF'!$BA:$BA," "), IF(_xlpm.x=0," ",_xlpm.x))</f>
        <v xml:space="preserve"> </v>
      </c>
      <c r="F97" s="7" t="str">
        <f>_xlfn.LET(_xlpm.x,_xlfn.XLOOKUP($A97,'[1]2. Abinitio IF'!$C:$C,'[1]2. Abinitio IF'!$BG:$BG," "),IF(_xlpm.x=0," ",_xlpm.x))</f>
        <v xml:space="preserve"> </v>
      </c>
    </row>
    <row r="98" spans="1:6" s="7" customFormat="1">
      <c r="A98" s="5" t="s">
        <v>118</v>
      </c>
      <c r="B98" s="7" t="s">
        <v>15</v>
      </c>
      <c r="C98" s="7" t="s">
        <v>16</v>
      </c>
      <c r="D98" s="7" t="str">
        <f>_xlfn.LET(_xlpm.x,_xlfn.XLOOKUP(A98,'[1]2. Abinitio IF'!$C:$C,'[1]2. Abinitio IF'!$AY:$AY," "), IF(_xlpm.x=0," ",_xlpm.x))</f>
        <v>Master</v>
      </c>
      <c r="E98" s="8" t="str">
        <f>_xlfn.LET(_xlpm.x,_xlfn.XLOOKUP($A98,'[1]2. Abinitio IF'!$C:$C,'[1]2. Abinitio IF'!$BA:$BA," "), IF(_xlpm.x=0," ",_xlpm.x))</f>
        <v xml:space="preserve"> </v>
      </c>
      <c r="F98" s="7" t="str">
        <f>_xlfn.LET(_xlpm.x,_xlfn.XLOOKUP($A98,'[1]2. Abinitio IF'!$C:$C,'[1]2. Abinitio IF'!$BG:$BG," "),IF(_xlpm.x=0," ",_xlpm.x))</f>
        <v xml:space="preserve"> </v>
      </c>
    </row>
    <row r="99" spans="1:6" s="7" customFormat="1">
      <c r="A99" s="5" t="s">
        <v>119</v>
      </c>
      <c r="B99" s="7" t="s">
        <v>15</v>
      </c>
      <c r="C99" s="7" t="s">
        <v>16</v>
      </c>
      <c r="D99" s="7" t="str">
        <f>_xlfn.LET(_xlpm.x,_xlfn.XLOOKUP(A99,'[1]2. Abinitio IF'!$C:$C,'[1]2. Abinitio IF'!$AY:$AY," "), IF(_xlpm.x=0," ",_xlpm.x))</f>
        <v>Master</v>
      </c>
      <c r="E99" s="8" t="str">
        <f>_xlfn.LET(_xlpm.x,_xlfn.XLOOKUP($A99,'[1]2. Abinitio IF'!$C:$C,'[1]2. Abinitio IF'!$BA:$BA," "), IF(_xlpm.x=0," ",_xlpm.x))</f>
        <v xml:space="preserve"> </v>
      </c>
      <c r="F99" s="7" t="str">
        <f>_xlfn.LET(_xlpm.x,_xlfn.XLOOKUP($A99,'[1]2. Abinitio IF'!$C:$C,'[1]2. Abinitio IF'!$BG:$BG," "),IF(_xlpm.x=0," ",_xlpm.x))</f>
        <v xml:space="preserve"> </v>
      </c>
    </row>
    <row r="100" spans="1:6" s="7" customFormat="1">
      <c r="A100" s="5" t="s">
        <v>120</v>
      </c>
      <c r="B100" s="7" t="s">
        <v>15</v>
      </c>
      <c r="C100" s="7" t="s">
        <v>16</v>
      </c>
      <c r="D100" s="7" t="str">
        <f>_xlfn.LET(_xlpm.x,_xlfn.XLOOKUP(A100,'[1]2. Abinitio IF'!$C:$C,'[1]2. Abinitio IF'!$AY:$AY," "), IF(_xlpm.x=0," ",_xlpm.x))</f>
        <v>Master</v>
      </c>
      <c r="E100" s="8" t="str">
        <f>_xlfn.LET(_xlpm.x,_xlfn.XLOOKUP($A100,'[1]2. Abinitio IF'!$C:$C,'[1]2. Abinitio IF'!$BA:$BA," "), IF(_xlpm.x=0," ",_xlpm.x))</f>
        <v xml:space="preserve"> </v>
      </c>
      <c r="F100" s="7" t="str">
        <f>_xlfn.LET(_xlpm.x,_xlfn.XLOOKUP($A100,'[1]2. Abinitio IF'!$C:$C,'[1]2. Abinitio IF'!$BG:$BG," "),IF(_xlpm.x=0," ",_xlpm.x))</f>
        <v xml:space="preserve"> </v>
      </c>
    </row>
    <row r="101" spans="1:6" s="7" customFormat="1">
      <c r="A101" s="5" t="s">
        <v>121</v>
      </c>
      <c r="B101" s="7" t="s">
        <v>15</v>
      </c>
      <c r="C101" s="7" t="s">
        <v>16</v>
      </c>
      <c r="D101" s="7" t="str">
        <f>_xlfn.LET(_xlpm.x,_xlfn.XLOOKUP(A101,'[1]2. Abinitio IF'!$C:$C,'[1]2. Abinitio IF'!$AY:$AY," "), IF(_xlpm.x=0," ",_xlpm.x))</f>
        <v>Master</v>
      </c>
      <c r="E101" s="8" t="str">
        <f>_xlfn.LET(_xlpm.x,_xlfn.XLOOKUP($A101,'[1]2. Abinitio IF'!$C:$C,'[1]2. Abinitio IF'!$BA:$BA," "), IF(_xlpm.x=0," ",_xlpm.x))</f>
        <v xml:space="preserve"> </v>
      </c>
      <c r="F101" s="7" t="str">
        <f>_xlfn.LET(_xlpm.x,_xlfn.XLOOKUP($A101,'[1]2. Abinitio IF'!$C:$C,'[1]2. Abinitio IF'!$BG:$BG," "),IF(_xlpm.x=0," ",_xlpm.x))</f>
        <v xml:space="preserve"> </v>
      </c>
    </row>
    <row r="102" spans="1:6" s="7" customFormat="1">
      <c r="A102" s="5" t="s">
        <v>122</v>
      </c>
      <c r="B102" s="7" t="s">
        <v>15</v>
      </c>
      <c r="C102" s="7" t="s">
        <v>16</v>
      </c>
      <c r="D102" s="7" t="str">
        <f>_xlfn.LET(_xlpm.x,_xlfn.XLOOKUP(A102,'[1]2. Abinitio IF'!$C:$C,'[1]2. Abinitio IF'!$AY:$AY," "), IF(_xlpm.x=0," ",_xlpm.x))</f>
        <v>Master</v>
      </c>
      <c r="E102" s="8" t="str">
        <f>_xlfn.LET(_xlpm.x,_xlfn.XLOOKUP($A102,'[1]2. Abinitio IF'!$C:$C,'[1]2. Abinitio IF'!$BA:$BA," "), IF(_xlpm.x=0," ",_xlpm.x))</f>
        <v xml:space="preserve"> </v>
      </c>
      <c r="F102" s="7" t="str">
        <f>_xlfn.LET(_xlpm.x,_xlfn.XLOOKUP($A102,'[1]2. Abinitio IF'!$C:$C,'[1]2. Abinitio IF'!$BG:$BG," "),IF(_xlpm.x=0," ",_xlpm.x))</f>
        <v xml:space="preserve"> </v>
      </c>
    </row>
    <row r="103" spans="1:6" s="7" customFormat="1">
      <c r="A103" s="5" t="s">
        <v>123</v>
      </c>
      <c r="B103" s="7" t="s">
        <v>15</v>
      </c>
      <c r="C103" s="7" t="s">
        <v>16</v>
      </c>
      <c r="D103" s="7" t="str">
        <f>_xlfn.LET(_xlpm.x,_xlfn.XLOOKUP(A103,'[1]2. Abinitio IF'!$C:$C,'[1]2. Abinitio IF'!$AY:$AY," "), IF(_xlpm.x=0," ",_xlpm.x))</f>
        <v>Master</v>
      </c>
      <c r="E103" s="8" t="str">
        <f>_xlfn.LET(_xlpm.x,_xlfn.XLOOKUP($A103,'[1]2. Abinitio IF'!$C:$C,'[1]2. Abinitio IF'!$BA:$BA," "), IF(_xlpm.x=0," ",_xlpm.x))</f>
        <v xml:space="preserve"> </v>
      </c>
      <c r="F103" s="7" t="str">
        <f>_xlfn.LET(_xlpm.x,_xlfn.XLOOKUP($A103,'[1]2. Abinitio IF'!$C:$C,'[1]2. Abinitio IF'!$BG:$BG," "),IF(_xlpm.x=0," ",_xlpm.x))</f>
        <v xml:space="preserve"> </v>
      </c>
    </row>
    <row r="104" spans="1:6" s="7" customFormat="1">
      <c r="A104" s="5" t="s">
        <v>124</v>
      </c>
      <c r="B104" s="7" t="s">
        <v>15</v>
      </c>
      <c r="C104" s="7" t="s">
        <v>16</v>
      </c>
      <c r="D104" s="7" t="str">
        <f>_xlfn.LET(_xlpm.x,_xlfn.XLOOKUP(A104,'[1]2. Abinitio IF'!$C:$C,'[1]2. Abinitio IF'!$AY:$AY," "), IF(_xlpm.x=0," ",_xlpm.x))</f>
        <v>Master</v>
      </c>
      <c r="E104" s="8" t="str">
        <f>_xlfn.LET(_xlpm.x,_xlfn.XLOOKUP($A104,'[1]2. Abinitio IF'!$C:$C,'[1]2. Abinitio IF'!$BA:$BA," "), IF(_xlpm.x=0," ",_xlpm.x))</f>
        <v xml:space="preserve"> </v>
      </c>
      <c r="F104" s="7" t="str">
        <f>_xlfn.LET(_xlpm.x,_xlfn.XLOOKUP($A104,'[1]2. Abinitio IF'!$C:$C,'[1]2. Abinitio IF'!$BG:$BG," "),IF(_xlpm.x=0," ",_xlpm.x))</f>
        <v xml:space="preserve"> </v>
      </c>
    </row>
    <row r="105" spans="1:6" s="7" customFormat="1">
      <c r="A105" s="5" t="s">
        <v>125</v>
      </c>
      <c r="B105" s="7" t="s">
        <v>15</v>
      </c>
      <c r="C105" s="7" t="s">
        <v>16</v>
      </c>
      <c r="D105" s="7" t="str">
        <f>_xlfn.LET(_xlpm.x,_xlfn.XLOOKUP(A105,'[1]2. Abinitio IF'!$C:$C,'[1]2. Abinitio IF'!$AY:$AY," "), IF(_xlpm.x=0," ",_xlpm.x))</f>
        <v>Master</v>
      </c>
      <c r="E105" s="8" t="str">
        <f>_xlfn.LET(_xlpm.x,_xlfn.XLOOKUP($A105,'[1]2. Abinitio IF'!$C:$C,'[1]2. Abinitio IF'!$BA:$BA," "), IF(_xlpm.x=0," ",_xlpm.x))</f>
        <v xml:space="preserve"> </v>
      </c>
      <c r="F105" s="7" t="str">
        <f>_xlfn.LET(_xlpm.x,_xlfn.XLOOKUP($A105,'[1]2. Abinitio IF'!$C:$C,'[1]2. Abinitio IF'!$BG:$BG," "),IF(_xlpm.x=0," ",_xlpm.x))</f>
        <v xml:space="preserve"> </v>
      </c>
    </row>
    <row r="106" spans="1:6" s="7" customFormat="1">
      <c r="A106" s="5" t="s">
        <v>126</v>
      </c>
      <c r="B106" s="7" t="s">
        <v>15</v>
      </c>
      <c r="C106" s="7" t="s">
        <v>16</v>
      </c>
      <c r="D106" s="7" t="str">
        <f>_xlfn.LET(_xlpm.x,_xlfn.XLOOKUP(A106,'[1]2. Abinitio IF'!$C:$C,'[1]2. Abinitio IF'!$AY:$AY," "), IF(_xlpm.x=0," ",_xlpm.x))</f>
        <v>Transactional</v>
      </c>
      <c r="E106" s="8" t="str">
        <f>_xlfn.LET(_xlpm.x,_xlfn.XLOOKUP($A106,'[1]2. Abinitio IF'!$C:$C,'[1]2. Abinitio IF'!$BA:$BA," "), IF(_xlpm.x=0," ",_xlpm.x))</f>
        <v xml:space="preserve"> </v>
      </c>
      <c r="F106" s="7" t="str">
        <f>_xlfn.LET(_xlpm.x,_xlfn.XLOOKUP($A106,'[1]2. Abinitio IF'!$C:$C,'[1]2. Abinitio IF'!$BG:$BG," "),IF(_xlpm.x=0," ",_xlpm.x))</f>
        <v xml:space="preserve"> </v>
      </c>
    </row>
    <row r="107" spans="1:6" s="7" customFormat="1">
      <c r="A107" s="5" t="s">
        <v>127</v>
      </c>
      <c r="B107" s="7" t="s">
        <v>15</v>
      </c>
      <c r="C107" s="7" t="s">
        <v>16</v>
      </c>
      <c r="D107" s="7" t="str">
        <f>_xlfn.LET(_xlpm.x,_xlfn.XLOOKUP(A107,'[1]2. Abinitio IF'!$C:$C,'[1]2. Abinitio IF'!$AY:$AY," "), IF(_xlpm.x=0," ",_xlpm.x))</f>
        <v>Transactional</v>
      </c>
      <c r="E107" s="8" t="str">
        <f>_xlfn.LET(_xlpm.x,_xlfn.XLOOKUP($A107,'[1]2. Abinitio IF'!$C:$C,'[1]2. Abinitio IF'!$BA:$BA," "), IF(_xlpm.x=0," ",_xlpm.x))</f>
        <v xml:space="preserve"> </v>
      </c>
      <c r="F107" s="7" t="str">
        <f>_xlfn.LET(_xlpm.x,_xlfn.XLOOKUP($A107,'[1]2. Abinitio IF'!$C:$C,'[1]2. Abinitio IF'!$BG:$BG," "),IF(_xlpm.x=0," ",_xlpm.x))</f>
        <v xml:space="preserve"> </v>
      </c>
    </row>
    <row r="108" spans="1:6" s="7" customFormat="1">
      <c r="A108" s="5" t="s">
        <v>128</v>
      </c>
      <c r="B108" s="7" t="s">
        <v>15</v>
      </c>
      <c r="C108" s="7" t="s">
        <v>16</v>
      </c>
      <c r="D108" s="7" t="str">
        <f>_xlfn.LET(_xlpm.x,_xlfn.XLOOKUP(A108,'[1]2. Abinitio IF'!$C:$C,'[1]2. Abinitio IF'!$AY:$AY," "), IF(_xlpm.x=0," ",_xlpm.x))</f>
        <v>Transactional</v>
      </c>
      <c r="E108" s="8" t="str">
        <f>_xlfn.LET(_xlpm.x,_xlfn.XLOOKUP($A108,'[1]2. Abinitio IF'!$C:$C,'[1]2. Abinitio IF'!$BA:$BA," "), IF(_xlpm.x=0," ",_xlpm.x))</f>
        <v xml:space="preserve"> </v>
      </c>
      <c r="F108" s="7" t="str">
        <f>_xlfn.LET(_xlpm.x,_xlfn.XLOOKUP($A108,'[1]2. Abinitio IF'!$C:$C,'[1]2. Abinitio IF'!$BG:$BG," "),IF(_xlpm.x=0," ",_xlpm.x))</f>
        <v xml:space="preserve"> </v>
      </c>
    </row>
    <row r="109" spans="1:6" s="7" customFormat="1">
      <c r="A109" s="5" t="s">
        <v>129</v>
      </c>
      <c r="B109" s="7" t="s">
        <v>15</v>
      </c>
      <c r="C109" s="7" t="s">
        <v>16</v>
      </c>
      <c r="D109" s="7" t="str">
        <f>_xlfn.LET(_xlpm.x,_xlfn.XLOOKUP(A109,'[1]2. Abinitio IF'!$C:$C,'[1]2. Abinitio IF'!$AY:$AY," "), IF(_xlpm.x=0," ",_xlpm.x))</f>
        <v>Transactional</v>
      </c>
      <c r="E109" s="8" t="str">
        <f>_xlfn.LET(_xlpm.x,_xlfn.XLOOKUP($A109,'[1]2. Abinitio IF'!$C:$C,'[1]2. Abinitio IF'!$BA:$BA," "), IF(_xlpm.x=0," ",_xlpm.x))</f>
        <v xml:space="preserve"> </v>
      </c>
      <c r="F109" s="7" t="str">
        <f>_xlfn.LET(_xlpm.x,_xlfn.XLOOKUP($A109,'[1]2. Abinitio IF'!$C:$C,'[1]2. Abinitio IF'!$BG:$BG," "),IF(_xlpm.x=0," ",_xlpm.x))</f>
        <v xml:space="preserve"> </v>
      </c>
    </row>
    <row r="110" spans="1:6" s="7" customFormat="1">
      <c r="A110" s="5" t="s">
        <v>130</v>
      </c>
      <c r="B110" s="7" t="s">
        <v>15</v>
      </c>
      <c r="C110" s="7" t="s">
        <v>16</v>
      </c>
      <c r="D110" s="7" t="str">
        <f>_xlfn.LET(_xlpm.x,_xlfn.XLOOKUP(A110,'[1]2. Abinitio IF'!$C:$C,'[1]2. Abinitio IF'!$AY:$AY," "), IF(_xlpm.x=0," ",_xlpm.x))</f>
        <v>Transactional</v>
      </c>
      <c r="E110" s="8" t="str">
        <f>_xlfn.LET(_xlpm.x,_xlfn.XLOOKUP($A110,'[1]2. Abinitio IF'!$C:$C,'[1]2. Abinitio IF'!$BA:$BA," "), IF(_xlpm.x=0," ",_xlpm.x))</f>
        <v xml:space="preserve"> </v>
      </c>
      <c r="F110" s="7" t="str">
        <f>_xlfn.LET(_xlpm.x,_xlfn.XLOOKUP($A110,'[1]2. Abinitio IF'!$C:$C,'[1]2. Abinitio IF'!$BG:$BG," "),IF(_xlpm.x=0," ",_xlpm.x))</f>
        <v xml:space="preserve"> </v>
      </c>
    </row>
    <row r="111" spans="1:6" s="7" customFormat="1">
      <c r="A111" s="5" t="s">
        <v>131</v>
      </c>
      <c r="B111" s="7" t="s">
        <v>15</v>
      </c>
      <c r="C111" s="7" t="s">
        <v>16</v>
      </c>
      <c r="D111" s="7" t="str">
        <f>_xlfn.LET(_xlpm.x,_xlfn.XLOOKUP(A111,'[1]2. Abinitio IF'!$C:$C,'[1]2. Abinitio IF'!$AY:$AY," "), IF(_xlpm.x=0," ",_xlpm.x))</f>
        <v>Transactional</v>
      </c>
      <c r="E111" s="8" t="str">
        <f>_xlfn.LET(_xlpm.x,_xlfn.XLOOKUP($A111,'[1]2. Abinitio IF'!$C:$C,'[1]2. Abinitio IF'!$BA:$BA," "), IF(_xlpm.x=0," ",_xlpm.x))</f>
        <v xml:space="preserve"> </v>
      </c>
      <c r="F111" s="7" t="str">
        <f>_xlfn.LET(_xlpm.x,_xlfn.XLOOKUP($A111,'[1]2. Abinitio IF'!$C:$C,'[1]2. Abinitio IF'!$BG:$BG," "),IF(_xlpm.x=0," ",_xlpm.x))</f>
        <v xml:space="preserve"> </v>
      </c>
    </row>
    <row r="112" spans="1:6" s="7" customFormat="1">
      <c r="A112" s="5" t="s">
        <v>132</v>
      </c>
      <c r="B112" s="7" t="s">
        <v>15</v>
      </c>
      <c r="C112" s="7" t="s">
        <v>16</v>
      </c>
      <c r="D112" s="7" t="str">
        <f>_xlfn.LET(_xlpm.x,_xlfn.XLOOKUP(A112,'[1]2. Abinitio IF'!$C:$C,'[1]2. Abinitio IF'!$AY:$AY," "), IF(_xlpm.x=0," ",_xlpm.x))</f>
        <v>Transactional</v>
      </c>
      <c r="E112" s="8" t="str">
        <f>_xlfn.LET(_xlpm.x,_xlfn.XLOOKUP($A112,'[1]2. Abinitio IF'!$C:$C,'[1]2. Abinitio IF'!$BA:$BA," "), IF(_xlpm.x=0," ",_xlpm.x))</f>
        <v xml:space="preserve"> </v>
      </c>
      <c r="F112" s="7" t="str">
        <f>_xlfn.LET(_xlpm.x,_xlfn.XLOOKUP($A112,'[1]2. Abinitio IF'!$C:$C,'[1]2. Abinitio IF'!$BG:$BG," "),IF(_xlpm.x=0," ",_xlpm.x))</f>
        <v xml:space="preserve"> </v>
      </c>
    </row>
    <row r="113" spans="1:6" s="7" customFormat="1">
      <c r="A113" s="5" t="s">
        <v>133</v>
      </c>
      <c r="B113" s="7" t="s">
        <v>15</v>
      </c>
      <c r="C113" s="7" t="s">
        <v>16</v>
      </c>
      <c r="D113" s="7" t="str">
        <f>_xlfn.LET(_xlpm.x,_xlfn.XLOOKUP(A113,'[1]2. Abinitio IF'!$C:$C,'[1]2. Abinitio IF'!$AY:$AY," "), IF(_xlpm.x=0," ",_xlpm.x))</f>
        <v>Transactional</v>
      </c>
      <c r="E113" s="8" t="str">
        <f>_xlfn.LET(_xlpm.x,_xlfn.XLOOKUP($A113,'[1]2. Abinitio IF'!$C:$C,'[1]2. Abinitio IF'!$BA:$BA," "), IF(_xlpm.x=0," ",_xlpm.x))</f>
        <v xml:space="preserve"> </v>
      </c>
      <c r="F113" s="7" t="str">
        <f>_xlfn.LET(_xlpm.x,_xlfn.XLOOKUP($A113,'[1]2. Abinitio IF'!$C:$C,'[1]2. Abinitio IF'!$BG:$BG," "),IF(_xlpm.x=0," ",_xlpm.x))</f>
        <v xml:space="preserve"> </v>
      </c>
    </row>
    <row r="114" spans="1:6" s="7" customFormat="1">
      <c r="A114" s="5" t="s">
        <v>134</v>
      </c>
      <c r="B114" s="7" t="s">
        <v>15</v>
      </c>
      <c r="C114" s="7" t="s">
        <v>16</v>
      </c>
      <c r="D114" s="7" t="str">
        <f>_xlfn.LET(_xlpm.x,_xlfn.XLOOKUP(A114,'[1]2. Abinitio IF'!$C:$C,'[1]2. Abinitio IF'!$AY:$AY," "), IF(_xlpm.x=0," ",_xlpm.x))</f>
        <v>Transactional</v>
      </c>
      <c r="E114" s="8" t="str">
        <f>_xlfn.LET(_xlpm.x,_xlfn.XLOOKUP($A114,'[1]2. Abinitio IF'!$C:$C,'[1]2. Abinitio IF'!$BA:$BA," "), IF(_xlpm.x=0," ",_xlpm.x))</f>
        <v xml:space="preserve"> </v>
      </c>
      <c r="F114" s="7" t="str">
        <f>_xlfn.LET(_xlpm.x,_xlfn.XLOOKUP($A114,'[1]2. Abinitio IF'!$C:$C,'[1]2. Abinitio IF'!$BG:$BG," "),IF(_xlpm.x=0," ",_xlpm.x))</f>
        <v xml:space="preserve"> </v>
      </c>
    </row>
    <row r="115" spans="1:6" s="7" customFormat="1">
      <c r="A115" s="5" t="s">
        <v>135</v>
      </c>
      <c r="B115" s="7" t="s">
        <v>15</v>
      </c>
      <c r="C115" s="7" t="s">
        <v>16</v>
      </c>
      <c r="D115" s="7" t="str">
        <f>_xlfn.LET(_xlpm.x,_xlfn.XLOOKUP(A115,'[1]2. Abinitio IF'!$C:$C,'[1]2. Abinitio IF'!$AY:$AY," "), IF(_xlpm.x=0," ",_xlpm.x))</f>
        <v>Transactional</v>
      </c>
      <c r="E115" s="8" t="str">
        <f>_xlfn.LET(_xlpm.x,_xlfn.XLOOKUP($A115,'[1]2. Abinitio IF'!$C:$C,'[1]2. Abinitio IF'!$BA:$BA," "), IF(_xlpm.x=0," ",_xlpm.x))</f>
        <v xml:space="preserve"> </v>
      </c>
      <c r="F115" s="7" t="str">
        <f>_xlfn.LET(_xlpm.x,_xlfn.XLOOKUP($A115,'[1]2. Abinitio IF'!$C:$C,'[1]2. Abinitio IF'!$BG:$BG," "),IF(_xlpm.x=0," ",_xlpm.x))</f>
        <v xml:space="preserve"> </v>
      </c>
    </row>
    <row r="116" spans="1:6" s="7" customFormat="1">
      <c r="A116" s="5" t="s">
        <v>136</v>
      </c>
      <c r="B116" s="7" t="s">
        <v>15</v>
      </c>
      <c r="C116" s="7" t="s">
        <v>16</v>
      </c>
      <c r="D116" s="7" t="str">
        <f>_xlfn.LET(_xlpm.x,_xlfn.XLOOKUP(A116,'[1]2. Abinitio IF'!$C:$C,'[1]2. Abinitio IF'!$AY:$AY," "), IF(_xlpm.x=0," ",_xlpm.x))</f>
        <v>Transactional</v>
      </c>
      <c r="E116" s="8" t="str">
        <f>_xlfn.LET(_xlpm.x,_xlfn.XLOOKUP($A116,'[1]2. Abinitio IF'!$C:$C,'[1]2. Abinitio IF'!$BA:$BA," "), IF(_xlpm.x=0," ",_xlpm.x))</f>
        <v xml:space="preserve"> </v>
      </c>
      <c r="F116" s="7" t="str">
        <f>_xlfn.LET(_xlpm.x,_xlfn.XLOOKUP($A116,'[1]2. Abinitio IF'!$C:$C,'[1]2. Abinitio IF'!$BG:$BG," "),IF(_xlpm.x=0," ",_xlpm.x))</f>
        <v xml:space="preserve"> </v>
      </c>
    </row>
    <row r="117" spans="1:6" s="7" customFormat="1">
      <c r="A117" s="5" t="s">
        <v>137</v>
      </c>
      <c r="B117" s="7" t="s">
        <v>15</v>
      </c>
      <c r="C117" s="7" t="s">
        <v>16</v>
      </c>
      <c r="D117" s="7" t="str">
        <f>_xlfn.LET(_xlpm.x,_xlfn.XLOOKUP(A117,'[1]2. Abinitio IF'!$C:$C,'[1]2. Abinitio IF'!$AY:$AY," "), IF(_xlpm.x=0," ",_xlpm.x))</f>
        <v>Transactional</v>
      </c>
      <c r="E117" s="8" t="str">
        <f>_xlfn.LET(_xlpm.x,_xlfn.XLOOKUP($A117,'[1]2. Abinitio IF'!$C:$C,'[1]2. Abinitio IF'!$BA:$BA," "), IF(_xlpm.x=0," ",_xlpm.x))</f>
        <v xml:space="preserve"> </v>
      </c>
      <c r="F117" s="7" t="str">
        <f>_xlfn.LET(_xlpm.x,_xlfn.XLOOKUP($A117,'[1]2. Abinitio IF'!$C:$C,'[1]2. Abinitio IF'!$BG:$BG," "),IF(_xlpm.x=0," ",_xlpm.x))</f>
        <v xml:space="preserve"> </v>
      </c>
    </row>
    <row r="118" spans="1:6" s="7" customFormat="1">
      <c r="A118" s="5" t="s">
        <v>138</v>
      </c>
      <c r="B118" s="7" t="s">
        <v>15</v>
      </c>
      <c r="C118" s="7" t="s">
        <v>16</v>
      </c>
      <c r="D118" s="7" t="str">
        <f>_xlfn.LET(_xlpm.x,_xlfn.XLOOKUP(A118,'[1]2. Abinitio IF'!$C:$C,'[1]2. Abinitio IF'!$AY:$AY," "), IF(_xlpm.x=0," ",_xlpm.x))</f>
        <v>Transactional</v>
      </c>
      <c r="E118" s="8" t="str">
        <f>_xlfn.LET(_xlpm.x,_xlfn.XLOOKUP($A118,'[1]2. Abinitio IF'!$C:$C,'[1]2. Abinitio IF'!$BA:$BA," "), IF(_xlpm.x=0," ",_xlpm.x))</f>
        <v xml:space="preserve"> </v>
      </c>
      <c r="F118" s="7" t="str">
        <f>_xlfn.LET(_xlpm.x,_xlfn.XLOOKUP($A118,'[1]2. Abinitio IF'!$C:$C,'[1]2. Abinitio IF'!$BG:$BG," "),IF(_xlpm.x=0," ",_xlpm.x))</f>
        <v xml:space="preserve"> </v>
      </c>
    </row>
    <row r="119" spans="1:6" s="7" customFormat="1">
      <c r="A119" s="5" t="s">
        <v>139</v>
      </c>
      <c r="B119" s="7" t="s">
        <v>15</v>
      </c>
      <c r="C119" s="7" t="s">
        <v>16</v>
      </c>
      <c r="D119" s="7" t="str">
        <f>_xlfn.LET(_xlpm.x,_xlfn.XLOOKUP(A119,'[1]2. Abinitio IF'!$C:$C,'[1]2. Abinitio IF'!$AY:$AY," "), IF(_xlpm.x=0," ",_xlpm.x))</f>
        <v>Transactional</v>
      </c>
      <c r="E119" s="8" t="str">
        <f>_xlfn.LET(_xlpm.x,_xlfn.XLOOKUP($A119,'[1]2. Abinitio IF'!$C:$C,'[1]2. Abinitio IF'!$BA:$BA," "), IF(_xlpm.x=0," ",_xlpm.x))</f>
        <v xml:space="preserve"> </v>
      </c>
      <c r="F119" s="7" t="str">
        <f>_xlfn.LET(_xlpm.x,_xlfn.XLOOKUP($A119,'[1]2. Abinitio IF'!$C:$C,'[1]2. Abinitio IF'!$BG:$BG," "),IF(_xlpm.x=0," ",_xlpm.x))</f>
        <v xml:space="preserve"> </v>
      </c>
    </row>
    <row r="120" spans="1:6" s="7" customFormat="1">
      <c r="A120" s="5" t="s">
        <v>140</v>
      </c>
      <c r="B120" s="7" t="s">
        <v>15</v>
      </c>
      <c r="C120" s="7" t="s">
        <v>16</v>
      </c>
      <c r="D120" s="7" t="str">
        <f>_xlfn.LET(_xlpm.x,_xlfn.XLOOKUP(A120,'[1]2. Abinitio IF'!$C:$C,'[1]2. Abinitio IF'!$AY:$AY," "), IF(_xlpm.x=0," ",_xlpm.x))</f>
        <v>Transactional</v>
      </c>
      <c r="E120" s="8" t="str">
        <f>_xlfn.LET(_xlpm.x,_xlfn.XLOOKUP($A120,'[1]2. Abinitio IF'!$C:$C,'[1]2. Abinitio IF'!$BA:$BA," "), IF(_xlpm.x=0," ",_xlpm.x))</f>
        <v xml:space="preserve"> </v>
      </c>
      <c r="F120" s="7" t="str">
        <f>_xlfn.LET(_xlpm.x,_xlfn.XLOOKUP($A120,'[1]2. Abinitio IF'!$C:$C,'[1]2. Abinitio IF'!$BG:$BG," "),IF(_xlpm.x=0," ",_xlpm.x))</f>
        <v xml:space="preserve"> </v>
      </c>
    </row>
    <row r="121" spans="1:6" s="7" customFormat="1">
      <c r="A121" s="5" t="s">
        <v>141</v>
      </c>
      <c r="B121" s="7" t="s">
        <v>15</v>
      </c>
      <c r="C121" s="7" t="s">
        <v>16</v>
      </c>
      <c r="D121" s="7" t="str">
        <f>_xlfn.LET(_xlpm.x,_xlfn.XLOOKUP(A121,'[1]2. Abinitio IF'!$C:$C,'[1]2. Abinitio IF'!$AY:$AY," "), IF(_xlpm.x=0," ",_xlpm.x))</f>
        <v>Master</v>
      </c>
      <c r="E121" s="8" t="str">
        <f>_xlfn.LET(_xlpm.x,_xlfn.XLOOKUP($A121,'[1]2. Abinitio IF'!$C:$C,'[1]2. Abinitio IF'!$BA:$BA," "), IF(_xlpm.x=0," ",_xlpm.x))</f>
        <v xml:space="preserve"> </v>
      </c>
      <c r="F121" s="7" t="str">
        <f>_xlfn.LET(_xlpm.x,_xlfn.XLOOKUP($A121,'[1]2. Abinitio IF'!$C:$C,'[1]2. Abinitio IF'!$BG:$BG," "),IF(_xlpm.x=0," ",_xlpm.x))</f>
        <v xml:space="preserve"> </v>
      </c>
    </row>
    <row r="122" spans="1:6" s="7" customFormat="1">
      <c r="A122" s="5" t="s">
        <v>142</v>
      </c>
      <c r="B122" s="7" t="s">
        <v>15</v>
      </c>
      <c r="C122" s="7" t="s">
        <v>16</v>
      </c>
      <c r="D122" s="7" t="str">
        <f>_xlfn.LET(_xlpm.x,_xlfn.XLOOKUP(A122,'[1]2. Abinitio IF'!$C:$C,'[1]2. Abinitio IF'!$AY:$AY," "), IF(_xlpm.x=0," ",_xlpm.x))</f>
        <v>Master</v>
      </c>
      <c r="E122" s="8" t="str">
        <f>_xlfn.LET(_xlpm.x,_xlfn.XLOOKUP($A122,'[1]2. Abinitio IF'!$C:$C,'[1]2. Abinitio IF'!$BA:$BA," "), IF(_xlpm.x=0," ",_xlpm.x))</f>
        <v xml:space="preserve"> </v>
      </c>
      <c r="F122" s="7" t="str">
        <f>_xlfn.LET(_xlpm.x,_xlfn.XLOOKUP($A122,'[1]2. Abinitio IF'!$C:$C,'[1]2. Abinitio IF'!$BG:$BG," "),IF(_xlpm.x=0," ",_xlpm.x))</f>
        <v xml:space="preserve"> </v>
      </c>
    </row>
    <row r="123" spans="1:6" s="7" customFormat="1">
      <c r="A123" s="5" t="s">
        <v>143</v>
      </c>
      <c r="B123" s="7" t="s">
        <v>15</v>
      </c>
      <c r="C123" s="7" t="s">
        <v>16</v>
      </c>
      <c r="D123" s="7" t="str">
        <f>_xlfn.LET(_xlpm.x,_xlfn.XLOOKUP(A123,'[1]2. Abinitio IF'!$C:$C,'[1]2. Abinitio IF'!$AY:$AY," "), IF(_xlpm.x=0," ",_xlpm.x))</f>
        <v>Master</v>
      </c>
      <c r="E123" s="8" t="str">
        <f>_xlfn.LET(_xlpm.x,_xlfn.XLOOKUP($A123,'[1]2. Abinitio IF'!$C:$C,'[1]2. Abinitio IF'!$BA:$BA," "), IF(_xlpm.x=0," ",_xlpm.x))</f>
        <v xml:space="preserve"> </v>
      </c>
      <c r="F123" s="7" t="str">
        <f>_xlfn.LET(_xlpm.x,_xlfn.XLOOKUP($A123,'[1]2. Abinitio IF'!$C:$C,'[1]2. Abinitio IF'!$BG:$BG," "),IF(_xlpm.x=0," ",_xlpm.x))</f>
        <v xml:space="preserve"> </v>
      </c>
    </row>
    <row r="124" spans="1:6" s="7" customFormat="1">
      <c r="A124" s="5" t="s">
        <v>144</v>
      </c>
      <c r="B124" s="7" t="s">
        <v>15</v>
      </c>
      <c r="C124" s="7" t="s">
        <v>16</v>
      </c>
      <c r="D124" s="7" t="str">
        <f>_xlfn.LET(_xlpm.x,_xlfn.XLOOKUP(A124,'[1]2. Abinitio IF'!$C:$C,'[1]2. Abinitio IF'!$AY:$AY," "), IF(_xlpm.x=0," ",_xlpm.x))</f>
        <v>Master</v>
      </c>
      <c r="E124" s="8" t="str">
        <f>_xlfn.LET(_xlpm.x,_xlfn.XLOOKUP($A124,'[1]2. Abinitio IF'!$C:$C,'[1]2. Abinitio IF'!$BA:$BA," "), IF(_xlpm.x=0," ",_xlpm.x))</f>
        <v xml:space="preserve"> </v>
      </c>
      <c r="F124" s="7" t="str">
        <f>_xlfn.LET(_xlpm.x,_xlfn.XLOOKUP($A124,'[1]2. Abinitio IF'!$C:$C,'[1]2. Abinitio IF'!$BG:$BG," "),IF(_xlpm.x=0," ",_xlpm.x))</f>
        <v xml:space="preserve"> </v>
      </c>
    </row>
    <row r="125" spans="1:6" s="7" customFormat="1">
      <c r="A125" s="5" t="s">
        <v>145</v>
      </c>
      <c r="B125" s="7" t="s">
        <v>15</v>
      </c>
      <c r="C125" s="7" t="s">
        <v>16</v>
      </c>
      <c r="D125" s="7" t="str">
        <f>_xlfn.LET(_xlpm.x,_xlfn.XLOOKUP(A125,'[1]2. Abinitio IF'!$C:$C,'[1]2. Abinitio IF'!$AY:$AY," "), IF(_xlpm.x=0," ",_xlpm.x))</f>
        <v>N/A</v>
      </c>
      <c r="E125" s="8" t="str">
        <f>_xlfn.LET(_xlpm.x,_xlfn.XLOOKUP($A125,'[1]2. Abinitio IF'!$C:$C,'[1]2. Abinitio IF'!$BA:$BA," "), IF(_xlpm.x=0," ",_xlpm.x))</f>
        <v xml:space="preserve"> </v>
      </c>
      <c r="F125" s="7" t="str">
        <f>_xlfn.LET(_xlpm.x,_xlfn.XLOOKUP($A125,'[1]2. Abinitio IF'!$C:$C,'[1]2. Abinitio IF'!$BG:$BG," "),IF(_xlpm.x=0," ",_xlpm.x))</f>
        <v xml:space="preserve"> </v>
      </c>
    </row>
    <row r="126" spans="1:6" s="7" customFormat="1">
      <c r="A126" s="5" t="s">
        <v>146</v>
      </c>
      <c r="B126" s="7" t="s">
        <v>15</v>
      </c>
      <c r="C126" s="7" t="s">
        <v>16</v>
      </c>
      <c r="D126" s="7" t="str">
        <f>_xlfn.LET(_xlpm.x,_xlfn.XLOOKUP(A126,'[1]2. Abinitio IF'!$C:$C,'[1]2. Abinitio IF'!$AY:$AY," "), IF(_xlpm.x=0," ",_xlpm.x))</f>
        <v>N/A</v>
      </c>
      <c r="E126" s="8" t="str">
        <f>_xlfn.LET(_xlpm.x,_xlfn.XLOOKUP($A126,'[1]2. Abinitio IF'!$C:$C,'[1]2. Abinitio IF'!$BA:$BA," "), IF(_xlpm.x=0," ",_xlpm.x))</f>
        <v xml:space="preserve"> </v>
      </c>
      <c r="F126" s="7" t="str">
        <f>_xlfn.LET(_xlpm.x,_xlfn.XLOOKUP($A126,'[1]2. Abinitio IF'!$C:$C,'[1]2. Abinitio IF'!$BG:$BG," "),IF(_xlpm.x=0," ",_xlpm.x))</f>
        <v xml:space="preserve"> </v>
      </c>
    </row>
    <row r="127" spans="1:6" s="7" customFormat="1">
      <c r="A127" s="5" t="s">
        <v>147</v>
      </c>
      <c r="B127" s="7" t="s">
        <v>15</v>
      </c>
      <c r="C127" s="7" t="s">
        <v>16</v>
      </c>
      <c r="D127" s="7" t="str">
        <f>_xlfn.LET(_xlpm.x,_xlfn.XLOOKUP(A127,'[1]2. Abinitio IF'!$C:$C,'[1]2. Abinitio IF'!$AY:$AY," "), IF(_xlpm.x=0," ",_xlpm.x))</f>
        <v>Transactional</v>
      </c>
      <c r="E127" s="8" t="str">
        <f>_xlfn.LET(_xlpm.x,_xlfn.XLOOKUP($A127,'[1]2. Abinitio IF'!$C:$C,'[1]2. Abinitio IF'!$BA:$BA," "), IF(_xlpm.x=0," ",_xlpm.x))</f>
        <v xml:space="preserve"> </v>
      </c>
      <c r="F127" s="7" t="str">
        <f>_xlfn.LET(_xlpm.x,_xlfn.XLOOKUP($A127,'[1]2. Abinitio IF'!$C:$C,'[1]2. Abinitio IF'!$BG:$BG," "),IF(_xlpm.x=0," ",_xlpm.x))</f>
        <v xml:space="preserve"> </v>
      </c>
    </row>
    <row r="128" spans="1:6" s="7" customFormat="1">
      <c r="A128" s="5" t="s">
        <v>148</v>
      </c>
      <c r="B128" s="7" t="s">
        <v>15</v>
      </c>
      <c r="C128" s="7" t="s">
        <v>16</v>
      </c>
      <c r="D128" s="7" t="str">
        <f>_xlfn.LET(_xlpm.x,_xlfn.XLOOKUP(A128,'[1]2. Abinitio IF'!$C:$C,'[1]2. Abinitio IF'!$AY:$AY," "), IF(_xlpm.x=0," ",_xlpm.x))</f>
        <v>Transactional</v>
      </c>
      <c r="E128" s="8" t="str">
        <f>_xlfn.LET(_xlpm.x,_xlfn.XLOOKUP($A128,'[1]2. Abinitio IF'!$C:$C,'[1]2. Abinitio IF'!$BA:$BA," "), IF(_xlpm.x=0," ",_xlpm.x))</f>
        <v xml:space="preserve"> </v>
      </c>
      <c r="F128" s="7" t="str">
        <f>_xlfn.LET(_xlpm.x,_xlfn.XLOOKUP($A128,'[1]2. Abinitio IF'!$C:$C,'[1]2. Abinitio IF'!$BG:$BG," "),IF(_xlpm.x=0," ",_xlpm.x))</f>
        <v xml:space="preserve"> </v>
      </c>
    </row>
    <row r="129" spans="1:6" s="7" customFormat="1">
      <c r="A129" s="5" t="s">
        <v>149</v>
      </c>
      <c r="B129" s="7" t="s">
        <v>15</v>
      </c>
      <c r="C129" s="7" t="s">
        <v>16</v>
      </c>
      <c r="D129" s="7" t="str">
        <f>_xlfn.LET(_xlpm.x,_xlfn.XLOOKUP(A129,'[1]2. Abinitio IF'!$C:$C,'[1]2. Abinitio IF'!$AY:$AY," "), IF(_xlpm.x=0," ",_xlpm.x))</f>
        <v>Transactional</v>
      </c>
      <c r="E129" s="8" t="str">
        <f>_xlfn.LET(_xlpm.x,_xlfn.XLOOKUP($A129,'[1]2. Abinitio IF'!$C:$C,'[1]2. Abinitio IF'!$BA:$BA," "), IF(_xlpm.x=0," ",_xlpm.x))</f>
        <v xml:space="preserve"> </v>
      </c>
      <c r="F129" s="7" t="str">
        <f>_xlfn.LET(_xlpm.x,_xlfn.XLOOKUP($A129,'[1]2. Abinitio IF'!$C:$C,'[1]2. Abinitio IF'!$BG:$BG," "),IF(_xlpm.x=0," ",_xlpm.x))</f>
        <v xml:space="preserve"> </v>
      </c>
    </row>
    <row r="130" spans="1:6" s="7" customFormat="1">
      <c r="A130" s="5" t="s">
        <v>150</v>
      </c>
      <c r="B130" s="7" t="s">
        <v>15</v>
      </c>
      <c r="C130" s="7" t="s">
        <v>16</v>
      </c>
      <c r="D130" s="7" t="str">
        <f>_xlfn.LET(_xlpm.x,_xlfn.XLOOKUP(A130,'[1]2. Abinitio IF'!$C:$C,'[1]2. Abinitio IF'!$AY:$AY," "), IF(_xlpm.x=0," ",_xlpm.x))</f>
        <v>Transactional</v>
      </c>
      <c r="E130" s="8" t="str">
        <f>_xlfn.LET(_xlpm.x,_xlfn.XLOOKUP($A130,'[1]2. Abinitio IF'!$C:$C,'[1]2. Abinitio IF'!$BA:$BA," "), IF(_xlpm.x=0," ",_xlpm.x))</f>
        <v xml:space="preserve"> </v>
      </c>
      <c r="F130" s="7" t="str">
        <f>_xlfn.LET(_xlpm.x,_xlfn.XLOOKUP($A130,'[1]2. Abinitio IF'!$C:$C,'[1]2. Abinitio IF'!$BG:$BG," "),IF(_xlpm.x=0," ",_xlpm.x))</f>
        <v xml:space="preserve"> </v>
      </c>
    </row>
    <row r="131" spans="1:6" s="7" customFormat="1">
      <c r="A131" s="5" t="s">
        <v>151</v>
      </c>
      <c r="B131" s="7" t="s">
        <v>15</v>
      </c>
      <c r="C131" s="7" t="s">
        <v>16</v>
      </c>
      <c r="D131" s="7" t="str">
        <f>_xlfn.LET(_xlpm.x,_xlfn.XLOOKUP(A131,'[1]2. Abinitio IF'!$C:$C,'[1]2. Abinitio IF'!$AY:$AY," "), IF(_xlpm.x=0," ",_xlpm.x))</f>
        <v>Transactional</v>
      </c>
      <c r="E131" s="8" t="str">
        <f>_xlfn.LET(_xlpm.x,_xlfn.XLOOKUP($A131,'[1]2. Abinitio IF'!$C:$C,'[1]2. Abinitio IF'!$BA:$BA," "), IF(_xlpm.x=0," ",_xlpm.x))</f>
        <v xml:space="preserve"> </v>
      </c>
      <c r="F131" s="7" t="str">
        <f>_xlfn.LET(_xlpm.x,_xlfn.XLOOKUP($A131,'[1]2. Abinitio IF'!$C:$C,'[1]2. Abinitio IF'!$BG:$BG," "),IF(_xlpm.x=0," ",_xlpm.x))</f>
        <v xml:space="preserve"> </v>
      </c>
    </row>
    <row r="132" spans="1:6" s="7" customFormat="1">
      <c r="A132" s="5" t="s">
        <v>152</v>
      </c>
      <c r="B132" s="7" t="s">
        <v>15</v>
      </c>
      <c r="C132" s="7" t="s">
        <v>16</v>
      </c>
      <c r="D132" s="7" t="str">
        <f>_xlfn.LET(_xlpm.x,_xlfn.XLOOKUP(A132,'[1]2. Abinitio IF'!$C:$C,'[1]2. Abinitio IF'!$AY:$AY," "), IF(_xlpm.x=0," ",_xlpm.x))</f>
        <v>Transactional</v>
      </c>
      <c r="E132" s="8" t="str">
        <f>_xlfn.LET(_xlpm.x,_xlfn.XLOOKUP($A132,'[1]2. Abinitio IF'!$C:$C,'[1]2. Abinitio IF'!$BA:$BA," "), IF(_xlpm.x=0," ",_xlpm.x))</f>
        <v xml:space="preserve"> </v>
      </c>
      <c r="F132" s="7" t="str">
        <f>_xlfn.LET(_xlpm.x,_xlfn.XLOOKUP($A132,'[1]2. Abinitio IF'!$C:$C,'[1]2. Abinitio IF'!$BG:$BG," "),IF(_xlpm.x=0," ",_xlpm.x))</f>
        <v xml:space="preserve"> </v>
      </c>
    </row>
    <row r="133" spans="1:6" s="7" customFormat="1">
      <c r="A133" s="5" t="s">
        <v>153</v>
      </c>
      <c r="B133" s="7" t="s">
        <v>15</v>
      </c>
      <c r="C133" s="7" t="s">
        <v>16</v>
      </c>
      <c r="D133" s="7" t="str">
        <f>_xlfn.LET(_xlpm.x,_xlfn.XLOOKUP(A133,'[1]2. Abinitio IF'!$C:$C,'[1]2. Abinitio IF'!$AY:$AY," "), IF(_xlpm.x=0," ",_xlpm.x))</f>
        <v>Transactional</v>
      </c>
      <c r="E133" s="8" t="str">
        <f>_xlfn.LET(_xlpm.x,_xlfn.XLOOKUP($A133,'[1]2. Abinitio IF'!$C:$C,'[1]2. Abinitio IF'!$BA:$BA," "), IF(_xlpm.x=0," ",_xlpm.x))</f>
        <v xml:space="preserve"> </v>
      </c>
      <c r="F133" s="7" t="str">
        <f>_xlfn.LET(_xlpm.x,_xlfn.XLOOKUP($A133,'[1]2. Abinitio IF'!$C:$C,'[1]2. Abinitio IF'!$BG:$BG," "),IF(_xlpm.x=0," ",_xlpm.x))</f>
        <v xml:space="preserve"> </v>
      </c>
    </row>
    <row r="134" spans="1:6" s="7" customFormat="1">
      <c r="A134" s="5" t="s">
        <v>154</v>
      </c>
      <c r="B134" s="7" t="s">
        <v>15</v>
      </c>
      <c r="C134" s="7" t="s">
        <v>16</v>
      </c>
      <c r="D134" s="7" t="str">
        <f>_xlfn.LET(_xlpm.x,_xlfn.XLOOKUP(A134,'[1]2. Abinitio IF'!$C:$C,'[1]2. Abinitio IF'!$AY:$AY," "), IF(_xlpm.x=0," ",_xlpm.x))</f>
        <v>Transactional</v>
      </c>
      <c r="E134" s="8" t="str">
        <f>_xlfn.LET(_xlpm.x,_xlfn.XLOOKUP($A134,'[1]2. Abinitio IF'!$C:$C,'[1]2. Abinitio IF'!$BA:$BA," "), IF(_xlpm.x=0," ",_xlpm.x))</f>
        <v xml:space="preserve"> </v>
      </c>
      <c r="F134" s="7" t="str">
        <f>_xlfn.LET(_xlpm.x,_xlfn.XLOOKUP($A134,'[1]2. Abinitio IF'!$C:$C,'[1]2. Abinitio IF'!$BG:$BG," "),IF(_xlpm.x=0," ",_xlpm.x))</f>
        <v xml:space="preserve"> </v>
      </c>
    </row>
    <row r="135" spans="1:6" s="7" customFormat="1">
      <c r="A135" s="5" t="s">
        <v>155</v>
      </c>
      <c r="B135" s="7" t="s">
        <v>15</v>
      </c>
      <c r="C135" s="7" t="s">
        <v>16</v>
      </c>
      <c r="D135" s="7" t="str">
        <f>_xlfn.LET(_xlpm.x,_xlfn.XLOOKUP(A135,'[1]2. Abinitio IF'!$C:$C,'[1]2. Abinitio IF'!$AY:$AY," "), IF(_xlpm.x=0," ",_xlpm.x))</f>
        <v>Transactional</v>
      </c>
      <c r="E135" s="8" t="str">
        <f>_xlfn.LET(_xlpm.x,_xlfn.XLOOKUP($A135,'[1]2. Abinitio IF'!$C:$C,'[1]2. Abinitio IF'!$BA:$BA," "), IF(_xlpm.x=0," ",_xlpm.x))</f>
        <v xml:space="preserve"> </v>
      </c>
      <c r="F135" s="7" t="str">
        <f>_xlfn.LET(_xlpm.x,_xlfn.XLOOKUP($A135,'[1]2. Abinitio IF'!$C:$C,'[1]2. Abinitio IF'!$BG:$BG," "),IF(_xlpm.x=0," ",_xlpm.x))</f>
        <v xml:space="preserve"> </v>
      </c>
    </row>
    <row r="136" spans="1:6" s="7" customFormat="1">
      <c r="A136" s="5" t="s">
        <v>156</v>
      </c>
      <c r="B136" s="7" t="s">
        <v>15</v>
      </c>
      <c r="C136" s="7" t="s">
        <v>16</v>
      </c>
      <c r="D136" s="7" t="str">
        <f>_xlfn.LET(_xlpm.x,_xlfn.XLOOKUP(A136,'[1]2. Abinitio IF'!$C:$C,'[1]2. Abinitio IF'!$AY:$AY," "), IF(_xlpm.x=0," ",_xlpm.x))</f>
        <v>Transactional</v>
      </c>
      <c r="E136" s="8" t="str">
        <f>_xlfn.LET(_xlpm.x,_xlfn.XLOOKUP($A136,'[1]2. Abinitio IF'!$C:$C,'[1]2. Abinitio IF'!$BA:$BA," "), IF(_xlpm.x=0," ",_xlpm.x))</f>
        <v xml:space="preserve"> </v>
      </c>
      <c r="F136" s="7" t="str">
        <f>_xlfn.LET(_xlpm.x,_xlfn.XLOOKUP($A136,'[1]2. Abinitio IF'!$C:$C,'[1]2. Abinitio IF'!$BG:$BG," "),IF(_xlpm.x=0," ",_xlpm.x))</f>
        <v xml:space="preserve"> </v>
      </c>
    </row>
    <row r="137" spans="1:6" s="7" customFormat="1">
      <c r="A137" s="5" t="s">
        <v>157</v>
      </c>
      <c r="B137" s="7" t="s">
        <v>15</v>
      </c>
      <c r="C137" s="7" t="s">
        <v>16</v>
      </c>
      <c r="D137" s="7" t="str">
        <f>_xlfn.LET(_xlpm.x,_xlfn.XLOOKUP(A137,'[1]2. Abinitio IF'!$C:$C,'[1]2. Abinitio IF'!$AY:$AY," "), IF(_xlpm.x=0," ",_xlpm.x))</f>
        <v>Transactional</v>
      </c>
      <c r="E137" s="8" t="str">
        <f>_xlfn.LET(_xlpm.x,_xlfn.XLOOKUP($A137,'[1]2. Abinitio IF'!$C:$C,'[1]2. Abinitio IF'!$BA:$BA," "), IF(_xlpm.x=0," ",_xlpm.x))</f>
        <v xml:space="preserve"> </v>
      </c>
      <c r="F137" s="7" t="str">
        <f>_xlfn.LET(_xlpm.x,_xlfn.XLOOKUP($A137,'[1]2. Abinitio IF'!$C:$C,'[1]2. Abinitio IF'!$BG:$BG," "),IF(_xlpm.x=0," ",_xlpm.x))</f>
        <v xml:space="preserve"> </v>
      </c>
    </row>
    <row r="138" spans="1:6" s="7" customFormat="1">
      <c r="A138" s="5" t="s">
        <v>158</v>
      </c>
      <c r="B138" s="7" t="s">
        <v>15</v>
      </c>
      <c r="C138" s="7" t="s">
        <v>16</v>
      </c>
      <c r="D138" s="7" t="str">
        <f>_xlfn.LET(_xlpm.x,_xlfn.XLOOKUP(A138,'[1]2. Abinitio IF'!$C:$C,'[1]2. Abinitio IF'!$AY:$AY," "), IF(_xlpm.x=0," ",_xlpm.x))</f>
        <v>Transactional</v>
      </c>
      <c r="E138" s="8" t="str">
        <f>_xlfn.LET(_xlpm.x,_xlfn.XLOOKUP($A138,'[1]2. Abinitio IF'!$C:$C,'[1]2. Abinitio IF'!$BA:$BA," "), IF(_xlpm.x=0," ",_xlpm.x))</f>
        <v xml:space="preserve"> </v>
      </c>
      <c r="F138" s="7" t="str">
        <f>_xlfn.LET(_xlpm.x,_xlfn.XLOOKUP($A138,'[1]2. Abinitio IF'!$C:$C,'[1]2. Abinitio IF'!$BG:$BG," "),IF(_xlpm.x=0," ",_xlpm.x))</f>
        <v xml:space="preserve"> </v>
      </c>
    </row>
    <row r="139" spans="1:6" s="7" customFormat="1">
      <c r="A139" s="5" t="s">
        <v>159</v>
      </c>
      <c r="B139" s="7" t="s">
        <v>15</v>
      </c>
      <c r="C139" s="7" t="s">
        <v>16</v>
      </c>
      <c r="D139" s="7" t="str">
        <f>_xlfn.LET(_xlpm.x,_xlfn.XLOOKUP(A139,'[1]2. Abinitio IF'!$C:$C,'[1]2. Abinitio IF'!$AY:$AY," "), IF(_xlpm.x=0," ",_xlpm.x))</f>
        <v>Transactional</v>
      </c>
      <c r="E139" s="8" t="str">
        <f>_xlfn.LET(_xlpm.x,_xlfn.XLOOKUP($A139,'[1]2. Abinitio IF'!$C:$C,'[1]2. Abinitio IF'!$BA:$BA," "), IF(_xlpm.x=0," ",_xlpm.x))</f>
        <v xml:space="preserve"> </v>
      </c>
      <c r="F139" s="7" t="str">
        <f>_xlfn.LET(_xlpm.x,_xlfn.XLOOKUP($A139,'[1]2. Abinitio IF'!$C:$C,'[1]2. Abinitio IF'!$BG:$BG," "),IF(_xlpm.x=0," ",_xlpm.x))</f>
        <v xml:space="preserve"> </v>
      </c>
    </row>
    <row r="140" spans="1:6" s="7" customFormat="1">
      <c r="A140" s="5" t="s">
        <v>160</v>
      </c>
      <c r="B140" s="7" t="s">
        <v>15</v>
      </c>
      <c r="C140" s="7" t="s">
        <v>16</v>
      </c>
      <c r="D140" s="7" t="str">
        <f>_xlfn.LET(_xlpm.x,_xlfn.XLOOKUP(A140,'[1]2. Abinitio IF'!$C:$C,'[1]2. Abinitio IF'!$AY:$AY," "), IF(_xlpm.x=0," ",_xlpm.x))</f>
        <v>Transactional</v>
      </c>
      <c r="E140" s="8" t="str">
        <f>_xlfn.LET(_xlpm.x,_xlfn.XLOOKUP($A140,'[1]2. Abinitio IF'!$C:$C,'[1]2. Abinitio IF'!$BA:$BA," "), IF(_xlpm.x=0," ",_xlpm.x))</f>
        <v xml:space="preserve"> </v>
      </c>
      <c r="F140" s="7" t="str">
        <f>_xlfn.LET(_xlpm.x,_xlfn.XLOOKUP($A140,'[1]2. Abinitio IF'!$C:$C,'[1]2. Abinitio IF'!$BG:$BG," "),IF(_xlpm.x=0," ",_xlpm.x))</f>
        <v xml:space="preserve"> </v>
      </c>
    </row>
    <row r="141" spans="1:6" s="7" customFormat="1">
      <c r="A141" s="5" t="s">
        <v>161</v>
      </c>
      <c r="B141" s="7" t="s">
        <v>15</v>
      </c>
      <c r="C141" s="7" t="s">
        <v>16</v>
      </c>
      <c r="D141" s="7" t="str">
        <f>_xlfn.LET(_xlpm.x,_xlfn.XLOOKUP(A141,'[1]2. Abinitio IF'!$C:$C,'[1]2. Abinitio IF'!$AY:$AY," "), IF(_xlpm.x=0," ",_xlpm.x))</f>
        <v>Master</v>
      </c>
      <c r="E141" s="8" t="str">
        <f>_xlfn.LET(_xlpm.x,_xlfn.XLOOKUP($A141,'[1]2. Abinitio IF'!$C:$C,'[1]2. Abinitio IF'!$BA:$BA," "), IF(_xlpm.x=0," ",_xlpm.x))</f>
        <v xml:space="preserve"> </v>
      </c>
      <c r="F141" s="7" t="str">
        <f>_xlfn.LET(_xlpm.x,_xlfn.XLOOKUP($A141,'[1]2. Abinitio IF'!$C:$C,'[1]2. Abinitio IF'!$BG:$BG," "),IF(_xlpm.x=0," ",_xlpm.x))</f>
        <v xml:space="preserve"> </v>
      </c>
    </row>
    <row r="142" spans="1:6" s="7" customFormat="1">
      <c r="A142" s="5" t="s">
        <v>162</v>
      </c>
      <c r="B142" s="7" t="s">
        <v>15</v>
      </c>
      <c r="C142" s="7" t="s">
        <v>16</v>
      </c>
      <c r="D142" s="7" t="str">
        <f>_xlfn.LET(_xlpm.x,_xlfn.XLOOKUP(A142,'[1]2. Abinitio IF'!$C:$C,'[1]2. Abinitio IF'!$AY:$AY," "), IF(_xlpm.x=0," ",_xlpm.x))</f>
        <v>Master</v>
      </c>
      <c r="E142" s="8" t="str">
        <f>_xlfn.LET(_xlpm.x,_xlfn.XLOOKUP($A142,'[1]2. Abinitio IF'!$C:$C,'[1]2. Abinitio IF'!$BA:$BA," "), IF(_xlpm.x=0," ",_xlpm.x))</f>
        <v xml:space="preserve"> </v>
      </c>
      <c r="F142" s="7" t="str">
        <f>_xlfn.LET(_xlpm.x,_xlfn.XLOOKUP($A142,'[1]2. Abinitio IF'!$C:$C,'[1]2. Abinitio IF'!$BG:$BG," "),IF(_xlpm.x=0," ",_xlpm.x))</f>
        <v xml:space="preserve"> </v>
      </c>
    </row>
    <row r="143" spans="1:6" s="7" customFormat="1">
      <c r="A143" s="5" t="s">
        <v>163</v>
      </c>
      <c r="B143" s="7" t="s">
        <v>15</v>
      </c>
      <c r="C143" s="7" t="s">
        <v>16</v>
      </c>
      <c r="D143" s="7" t="str">
        <f>_xlfn.LET(_xlpm.x,_xlfn.XLOOKUP(A143,'[1]2. Abinitio IF'!$C:$C,'[1]2. Abinitio IF'!$AY:$AY," "), IF(_xlpm.x=0," ",_xlpm.x))</f>
        <v>Master</v>
      </c>
      <c r="E143" s="8" t="str">
        <f>_xlfn.LET(_xlpm.x,_xlfn.XLOOKUP($A143,'[1]2. Abinitio IF'!$C:$C,'[1]2. Abinitio IF'!$BA:$BA," "), IF(_xlpm.x=0," ",_xlpm.x))</f>
        <v xml:space="preserve"> </v>
      </c>
      <c r="F143" s="7" t="str">
        <f>_xlfn.LET(_xlpm.x,_xlfn.XLOOKUP($A143,'[1]2. Abinitio IF'!$C:$C,'[1]2. Abinitio IF'!$BG:$BG," "),IF(_xlpm.x=0," ",_xlpm.x))</f>
        <v xml:space="preserve"> </v>
      </c>
    </row>
    <row r="144" spans="1:6" s="7" customFormat="1">
      <c r="A144" s="5" t="s">
        <v>164</v>
      </c>
      <c r="B144" s="7" t="s">
        <v>15</v>
      </c>
      <c r="C144" s="7" t="s">
        <v>16</v>
      </c>
      <c r="D144" s="7" t="str">
        <f>_xlfn.LET(_xlpm.x,_xlfn.XLOOKUP(A144,'[1]2. Abinitio IF'!$C:$C,'[1]2. Abinitio IF'!$AY:$AY," "), IF(_xlpm.x=0," ",_xlpm.x))</f>
        <v>Master</v>
      </c>
      <c r="E144" s="8" t="str">
        <f>_xlfn.LET(_xlpm.x,_xlfn.XLOOKUP($A144,'[1]2. Abinitio IF'!$C:$C,'[1]2. Abinitio IF'!$BA:$BA," "), IF(_xlpm.x=0," ",_xlpm.x))</f>
        <v xml:space="preserve"> </v>
      </c>
      <c r="F144" s="7" t="str">
        <f>_xlfn.LET(_xlpm.x,_xlfn.XLOOKUP($A144,'[1]2. Abinitio IF'!$C:$C,'[1]2. Abinitio IF'!$BG:$BG," "),IF(_xlpm.x=0," ",_xlpm.x))</f>
        <v xml:space="preserve"> </v>
      </c>
    </row>
    <row r="145" spans="1:6" s="7" customFormat="1">
      <c r="A145" s="5" t="s">
        <v>165</v>
      </c>
      <c r="B145" s="7" t="s">
        <v>15</v>
      </c>
      <c r="C145" s="7" t="s">
        <v>16</v>
      </c>
      <c r="D145" s="7" t="str">
        <f>_xlfn.LET(_xlpm.x,_xlfn.XLOOKUP(A145,'[1]2. Abinitio IF'!$C:$C,'[1]2. Abinitio IF'!$AY:$AY," "), IF(_xlpm.x=0," ",_xlpm.x))</f>
        <v>Transactional</v>
      </c>
      <c r="E145" s="8" t="str">
        <f>_xlfn.LET(_xlpm.x,_xlfn.XLOOKUP($A145,'[1]2. Abinitio IF'!$C:$C,'[1]2. Abinitio IF'!$BA:$BA," "), IF(_xlpm.x=0," ",_xlpm.x))</f>
        <v xml:space="preserve"> </v>
      </c>
      <c r="F145" s="7" t="str">
        <f>_xlfn.LET(_xlpm.x,_xlfn.XLOOKUP($A145,'[1]2. Abinitio IF'!$C:$C,'[1]2. Abinitio IF'!$BG:$BG," "),IF(_xlpm.x=0," ",_xlpm.x))</f>
        <v xml:space="preserve"> </v>
      </c>
    </row>
    <row r="146" spans="1:6" s="7" customFormat="1">
      <c r="A146" s="5" t="s">
        <v>166</v>
      </c>
      <c r="B146" s="7" t="s">
        <v>15</v>
      </c>
      <c r="C146" s="7" t="s">
        <v>16</v>
      </c>
      <c r="D146" s="7" t="str">
        <f>_xlfn.LET(_xlpm.x,_xlfn.XLOOKUP(A146,'[1]2. Abinitio IF'!$C:$C,'[1]2. Abinitio IF'!$AY:$AY," "), IF(_xlpm.x=0," ",_xlpm.x))</f>
        <v>Transactional</v>
      </c>
      <c r="E146" s="8" t="str">
        <f>_xlfn.LET(_xlpm.x,_xlfn.XLOOKUP($A146,'[1]2. Abinitio IF'!$C:$C,'[1]2. Abinitio IF'!$BA:$BA," "), IF(_xlpm.x=0," ",_xlpm.x))</f>
        <v xml:space="preserve"> </v>
      </c>
      <c r="F146" s="7" t="str">
        <f>_xlfn.LET(_xlpm.x,_xlfn.XLOOKUP($A146,'[1]2. Abinitio IF'!$C:$C,'[1]2. Abinitio IF'!$BG:$BG," "),IF(_xlpm.x=0," ",_xlpm.x))</f>
        <v xml:space="preserve"> </v>
      </c>
    </row>
    <row r="147" spans="1:6" s="7" customFormat="1">
      <c r="A147" s="5" t="s">
        <v>167</v>
      </c>
      <c r="B147" s="7" t="s">
        <v>15</v>
      </c>
      <c r="C147" s="7" t="s">
        <v>16</v>
      </c>
      <c r="D147" s="7" t="str">
        <f>_xlfn.LET(_xlpm.x,_xlfn.XLOOKUP(A147,'[1]2. Abinitio IF'!$C:$C,'[1]2. Abinitio IF'!$AY:$AY," "), IF(_xlpm.x=0," ",_xlpm.x))</f>
        <v>Transactional</v>
      </c>
      <c r="E147" s="8" t="str">
        <f>_xlfn.LET(_xlpm.x,_xlfn.XLOOKUP($A147,'[1]2. Abinitio IF'!$C:$C,'[1]2. Abinitio IF'!$BA:$BA," "), IF(_xlpm.x=0," ",_xlpm.x))</f>
        <v xml:space="preserve"> </v>
      </c>
      <c r="F147" s="7" t="str">
        <f>_xlfn.LET(_xlpm.x,_xlfn.XLOOKUP($A147,'[1]2. Abinitio IF'!$C:$C,'[1]2. Abinitio IF'!$BG:$BG," "),IF(_xlpm.x=0," ",_xlpm.x))</f>
        <v xml:space="preserve"> </v>
      </c>
    </row>
    <row r="148" spans="1:6" s="7" customFormat="1">
      <c r="A148" s="5" t="s">
        <v>168</v>
      </c>
      <c r="B148" s="7" t="s">
        <v>15</v>
      </c>
      <c r="C148" s="7" t="s">
        <v>16</v>
      </c>
      <c r="D148" s="7" t="str">
        <f>_xlfn.LET(_xlpm.x,_xlfn.XLOOKUP(A148,'[1]2. Abinitio IF'!$C:$C,'[1]2. Abinitio IF'!$AY:$AY," "), IF(_xlpm.x=0," ",_xlpm.x))</f>
        <v>Transactional</v>
      </c>
      <c r="E148" s="8" t="str">
        <f>_xlfn.LET(_xlpm.x,_xlfn.XLOOKUP($A148,'[1]2. Abinitio IF'!$C:$C,'[1]2. Abinitio IF'!$BA:$BA," "), IF(_xlpm.x=0," ",_xlpm.x))</f>
        <v xml:space="preserve"> </v>
      </c>
      <c r="F148" s="7" t="str">
        <f>_xlfn.LET(_xlpm.x,_xlfn.XLOOKUP($A148,'[1]2. Abinitio IF'!$C:$C,'[1]2. Abinitio IF'!$BG:$BG," "),IF(_xlpm.x=0," ",_xlpm.x))</f>
        <v xml:space="preserve"> </v>
      </c>
    </row>
    <row r="149" spans="1:6" s="7" customFormat="1">
      <c r="A149" s="5" t="s">
        <v>169</v>
      </c>
      <c r="B149" s="7" t="s">
        <v>15</v>
      </c>
      <c r="C149" s="7" t="s">
        <v>16</v>
      </c>
      <c r="D149" s="7" t="str">
        <f>_xlfn.LET(_xlpm.x,_xlfn.XLOOKUP(A149,'[1]2. Abinitio IF'!$C:$C,'[1]2. Abinitio IF'!$AY:$AY," "), IF(_xlpm.x=0," ",_xlpm.x))</f>
        <v>Transactional</v>
      </c>
      <c r="E149" s="8" t="str">
        <f>_xlfn.LET(_xlpm.x,_xlfn.XLOOKUP($A149,'[1]2. Abinitio IF'!$C:$C,'[1]2. Abinitio IF'!$BA:$BA," "), IF(_xlpm.x=0," ",_xlpm.x))</f>
        <v xml:space="preserve"> </v>
      </c>
      <c r="F149" s="7" t="str">
        <f>_xlfn.LET(_xlpm.x,_xlfn.XLOOKUP($A149,'[1]2. Abinitio IF'!$C:$C,'[1]2. Abinitio IF'!$BG:$BG," "),IF(_xlpm.x=0," ",_xlpm.x))</f>
        <v xml:space="preserve"> </v>
      </c>
    </row>
    <row r="150" spans="1:6" s="7" customFormat="1">
      <c r="A150" s="5" t="s">
        <v>170</v>
      </c>
      <c r="B150" s="7" t="s">
        <v>15</v>
      </c>
      <c r="C150" s="7" t="s">
        <v>16</v>
      </c>
      <c r="D150" s="7" t="str">
        <f>_xlfn.LET(_xlpm.x,_xlfn.XLOOKUP(A150,'[1]2. Abinitio IF'!$C:$C,'[1]2. Abinitio IF'!$AY:$AY," "), IF(_xlpm.x=0," ",_xlpm.x))</f>
        <v>Transactional</v>
      </c>
      <c r="E150" s="8" t="str">
        <f>_xlfn.LET(_xlpm.x,_xlfn.XLOOKUP($A150,'[1]2. Abinitio IF'!$C:$C,'[1]2. Abinitio IF'!$BA:$BA," "), IF(_xlpm.x=0," ",_xlpm.x))</f>
        <v xml:space="preserve"> </v>
      </c>
      <c r="F150" s="7" t="str">
        <f>_xlfn.LET(_xlpm.x,_xlfn.XLOOKUP($A150,'[1]2. Abinitio IF'!$C:$C,'[1]2. Abinitio IF'!$BG:$BG," "),IF(_xlpm.x=0," ",_xlpm.x))</f>
        <v xml:space="preserve"> </v>
      </c>
    </row>
    <row r="151" spans="1:6" s="7" customFormat="1">
      <c r="A151" s="5" t="s">
        <v>171</v>
      </c>
      <c r="B151" s="7" t="s">
        <v>15</v>
      </c>
      <c r="C151" s="7" t="s">
        <v>16</v>
      </c>
      <c r="D151" s="7" t="str">
        <f>_xlfn.LET(_xlpm.x,_xlfn.XLOOKUP(A151,'[1]2. Abinitio IF'!$C:$C,'[1]2. Abinitio IF'!$AY:$AY," "), IF(_xlpm.x=0," ",_xlpm.x))</f>
        <v>Transactional</v>
      </c>
      <c r="E151" s="8" t="str">
        <f>_xlfn.LET(_xlpm.x,_xlfn.XLOOKUP($A151,'[1]2. Abinitio IF'!$C:$C,'[1]2. Abinitio IF'!$BA:$BA," "), IF(_xlpm.x=0," ",_xlpm.x))</f>
        <v xml:space="preserve"> </v>
      </c>
      <c r="F151" s="7" t="str">
        <f>_xlfn.LET(_xlpm.x,_xlfn.XLOOKUP($A151,'[1]2. Abinitio IF'!$C:$C,'[1]2. Abinitio IF'!$BG:$BG," "),IF(_xlpm.x=0," ",_xlpm.x))</f>
        <v xml:space="preserve"> </v>
      </c>
    </row>
    <row r="152" spans="1:6" s="7" customFormat="1">
      <c r="A152" s="5" t="s">
        <v>172</v>
      </c>
      <c r="B152" s="7" t="s">
        <v>15</v>
      </c>
      <c r="C152" s="7" t="s">
        <v>16</v>
      </c>
      <c r="D152" s="7" t="str">
        <f>_xlfn.LET(_xlpm.x,_xlfn.XLOOKUP(A152,'[1]2. Abinitio IF'!$C:$C,'[1]2. Abinitio IF'!$AY:$AY," "), IF(_xlpm.x=0," ",_xlpm.x))</f>
        <v>Transactional</v>
      </c>
      <c r="E152" s="8" t="str">
        <f>_xlfn.LET(_xlpm.x,_xlfn.XLOOKUP($A152,'[1]2. Abinitio IF'!$C:$C,'[1]2. Abinitio IF'!$BA:$BA," "), IF(_xlpm.x=0," ",_xlpm.x))</f>
        <v xml:space="preserve"> </v>
      </c>
      <c r="F152" s="7" t="str">
        <f>_xlfn.LET(_xlpm.x,_xlfn.XLOOKUP($A152,'[1]2. Abinitio IF'!$C:$C,'[1]2. Abinitio IF'!$BG:$BG," "),IF(_xlpm.x=0," ",_xlpm.x))</f>
        <v xml:space="preserve"> </v>
      </c>
    </row>
    <row r="153" spans="1:6" s="7" customFormat="1">
      <c r="A153" s="5" t="s">
        <v>173</v>
      </c>
      <c r="B153" s="7" t="s">
        <v>15</v>
      </c>
      <c r="C153" s="7" t="s">
        <v>16</v>
      </c>
      <c r="D153" s="7" t="str">
        <f>_xlfn.LET(_xlpm.x,_xlfn.XLOOKUP(A153,'[1]2. Abinitio IF'!$C:$C,'[1]2. Abinitio IF'!$AY:$AY," "), IF(_xlpm.x=0," ",_xlpm.x))</f>
        <v>Transactional</v>
      </c>
      <c r="E153" s="8" t="str">
        <f>_xlfn.LET(_xlpm.x,_xlfn.XLOOKUP($A153,'[1]2. Abinitio IF'!$C:$C,'[1]2. Abinitio IF'!$BA:$BA," "), IF(_xlpm.x=0," ",_xlpm.x))</f>
        <v xml:space="preserve"> </v>
      </c>
      <c r="F153" s="7" t="str">
        <f>_xlfn.LET(_xlpm.x,_xlfn.XLOOKUP($A153,'[1]2. Abinitio IF'!$C:$C,'[1]2. Abinitio IF'!$BG:$BG," "),IF(_xlpm.x=0," ",_xlpm.x))</f>
        <v xml:space="preserve"> </v>
      </c>
    </row>
    <row r="154" spans="1:6" s="7" customFormat="1">
      <c r="A154" s="5" t="s">
        <v>174</v>
      </c>
      <c r="B154" s="7" t="s">
        <v>15</v>
      </c>
      <c r="C154" s="7" t="s">
        <v>16</v>
      </c>
      <c r="D154" s="7" t="str">
        <f>_xlfn.LET(_xlpm.x,_xlfn.XLOOKUP(A154,'[1]2. Abinitio IF'!$C:$C,'[1]2. Abinitio IF'!$AY:$AY," "), IF(_xlpm.x=0," ",_xlpm.x))</f>
        <v>Transactional</v>
      </c>
      <c r="E154" s="8" t="str">
        <f>_xlfn.LET(_xlpm.x,_xlfn.XLOOKUP($A154,'[1]2. Abinitio IF'!$C:$C,'[1]2. Abinitio IF'!$BA:$BA," "), IF(_xlpm.x=0," ",_xlpm.x))</f>
        <v xml:space="preserve"> </v>
      </c>
      <c r="F154" s="7" t="str">
        <f>_xlfn.LET(_xlpm.x,_xlfn.XLOOKUP($A154,'[1]2. Abinitio IF'!$C:$C,'[1]2. Abinitio IF'!$BG:$BG," "),IF(_xlpm.x=0," ",_xlpm.x))</f>
        <v xml:space="preserve"> </v>
      </c>
    </row>
    <row r="155" spans="1:6" s="7" customFormat="1">
      <c r="A155" s="5" t="s">
        <v>175</v>
      </c>
      <c r="B155" s="7" t="s">
        <v>15</v>
      </c>
      <c r="C155" s="7" t="s">
        <v>16</v>
      </c>
      <c r="D155" s="7" t="str">
        <f>_xlfn.LET(_xlpm.x,_xlfn.XLOOKUP(A155,'[1]2. Abinitio IF'!$C:$C,'[1]2. Abinitio IF'!$AY:$AY," "), IF(_xlpm.x=0," ",_xlpm.x))</f>
        <v>Transactional</v>
      </c>
      <c r="E155" s="8" t="str">
        <f>_xlfn.LET(_xlpm.x,_xlfn.XLOOKUP($A155,'[1]2. Abinitio IF'!$C:$C,'[1]2. Abinitio IF'!$BA:$BA," "), IF(_xlpm.x=0," ",_xlpm.x))</f>
        <v xml:space="preserve"> </v>
      </c>
      <c r="F155" s="7" t="str">
        <f>_xlfn.LET(_xlpm.x,_xlfn.XLOOKUP($A155,'[1]2. Abinitio IF'!$C:$C,'[1]2. Abinitio IF'!$BG:$BG," "),IF(_xlpm.x=0," ",_xlpm.x))</f>
        <v xml:space="preserve"> </v>
      </c>
    </row>
    <row r="156" spans="1:6" s="7" customFormat="1">
      <c r="A156" s="5" t="s">
        <v>176</v>
      </c>
      <c r="B156" s="7" t="s">
        <v>15</v>
      </c>
      <c r="C156" s="7" t="s">
        <v>16</v>
      </c>
      <c r="D156" s="7" t="str">
        <f>_xlfn.LET(_xlpm.x,_xlfn.XLOOKUP(A156,'[1]2. Abinitio IF'!$C:$C,'[1]2. Abinitio IF'!$AY:$AY," "), IF(_xlpm.x=0," ",_xlpm.x))</f>
        <v>Transactional</v>
      </c>
      <c r="E156" s="8" t="str">
        <f>_xlfn.LET(_xlpm.x,_xlfn.XLOOKUP($A156,'[1]2. Abinitio IF'!$C:$C,'[1]2. Abinitio IF'!$BA:$BA," "), IF(_xlpm.x=0," ",_xlpm.x))</f>
        <v xml:space="preserve"> </v>
      </c>
      <c r="F156" s="7" t="str">
        <f>_xlfn.LET(_xlpm.x,_xlfn.XLOOKUP($A156,'[1]2. Abinitio IF'!$C:$C,'[1]2. Abinitio IF'!$BG:$BG," "),IF(_xlpm.x=0," ",_xlpm.x))</f>
        <v xml:space="preserve"> </v>
      </c>
    </row>
    <row r="157" spans="1:6" s="7" customFormat="1">
      <c r="A157" s="5" t="s">
        <v>177</v>
      </c>
      <c r="B157" s="7" t="s">
        <v>15</v>
      </c>
      <c r="C157" s="7" t="s">
        <v>16</v>
      </c>
      <c r="D157" s="7" t="str">
        <f>_xlfn.LET(_xlpm.x,_xlfn.XLOOKUP(A157,'[1]2. Abinitio IF'!$C:$C,'[1]2. Abinitio IF'!$AY:$AY," "), IF(_xlpm.x=0," ",_xlpm.x))</f>
        <v>Transactional</v>
      </c>
      <c r="E157" s="8" t="str">
        <f>_xlfn.LET(_xlpm.x,_xlfn.XLOOKUP($A157,'[1]2. Abinitio IF'!$C:$C,'[1]2. Abinitio IF'!$BA:$BA," "), IF(_xlpm.x=0," ",_xlpm.x))</f>
        <v xml:space="preserve"> </v>
      </c>
      <c r="F157" s="7" t="str">
        <f>_xlfn.LET(_xlpm.x,_xlfn.XLOOKUP($A157,'[1]2. Abinitio IF'!$C:$C,'[1]2. Abinitio IF'!$BG:$BG," "),IF(_xlpm.x=0," ",_xlpm.x))</f>
        <v xml:space="preserve"> </v>
      </c>
    </row>
    <row r="158" spans="1:6" s="7" customFormat="1">
      <c r="A158" s="5" t="s">
        <v>178</v>
      </c>
      <c r="B158" s="7" t="s">
        <v>15</v>
      </c>
      <c r="C158" s="7" t="s">
        <v>16</v>
      </c>
      <c r="D158" s="7" t="str">
        <f>_xlfn.LET(_xlpm.x,_xlfn.XLOOKUP(A158,'[1]2. Abinitio IF'!$C:$C,'[1]2. Abinitio IF'!$AY:$AY," "), IF(_xlpm.x=0," ",_xlpm.x))</f>
        <v>Transactional</v>
      </c>
      <c r="E158" s="8" t="str">
        <f>_xlfn.LET(_xlpm.x,_xlfn.XLOOKUP($A158,'[1]2. Abinitio IF'!$C:$C,'[1]2. Abinitio IF'!$BA:$BA," "), IF(_xlpm.x=0," ",_xlpm.x))</f>
        <v xml:space="preserve"> </v>
      </c>
      <c r="F158" s="7" t="str">
        <f>_xlfn.LET(_xlpm.x,_xlfn.XLOOKUP($A158,'[1]2. Abinitio IF'!$C:$C,'[1]2. Abinitio IF'!$BG:$BG," "),IF(_xlpm.x=0," ",_xlpm.x))</f>
        <v xml:space="preserve"> </v>
      </c>
    </row>
    <row r="159" spans="1:6" s="7" customFormat="1">
      <c r="A159" s="5" t="s">
        <v>179</v>
      </c>
      <c r="B159" s="7" t="s">
        <v>15</v>
      </c>
      <c r="C159" s="7" t="s">
        <v>16</v>
      </c>
      <c r="D159" s="7" t="str">
        <f>_xlfn.LET(_xlpm.x,_xlfn.XLOOKUP(A159,'[1]2. Abinitio IF'!$C:$C,'[1]2. Abinitio IF'!$AY:$AY," "), IF(_xlpm.x=0," ",_xlpm.x))</f>
        <v>Transactional</v>
      </c>
      <c r="E159" s="8" t="str">
        <f>_xlfn.LET(_xlpm.x,_xlfn.XLOOKUP($A159,'[1]2. Abinitio IF'!$C:$C,'[1]2. Abinitio IF'!$BA:$BA," "), IF(_xlpm.x=0," ",_xlpm.x))</f>
        <v xml:space="preserve"> </v>
      </c>
      <c r="F159" s="7" t="str">
        <f>_xlfn.LET(_xlpm.x,_xlfn.XLOOKUP($A159,'[1]2. Abinitio IF'!$C:$C,'[1]2. Abinitio IF'!$BG:$BG," "),IF(_xlpm.x=0," ",_xlpm.x))</f>
        <v xml:space="preserve"> </v>
      </c>
    </row>
    <row r="160" spans="1:6" s="7" customFormat="1">
      <c r="A160" s="5" t="s">
        <v>180</v>
      </c>
      <c r="B160" s="7" t="s">
        <v>15</v>
      </c>
      <c r="C160" s="7" t="s">
        <v>16</v>
      </c>
      <c r="D160" s="7" t="str">
        <f>_xlfn.LET(_xlpm.x,_xlfn.XLOOKUP(A160,'[1]2. Abinitio IF'!$C:$C,'[1]2. Abinitio IF'!$AY:$AY," "), IF(_xlpm.x=0," ",_xlpm.x))</f>
        <v>Transactional</v>
      </c>
      <c r="E160" s="8" t="str">
        <f>_xlfn.LET(_xlpm.x,_xlfn.XLOOKUP($A160,'[1]2. Abinitio IF'!$C:$C,'[1]2. Abinitio IF'!$BA:$BA," "), IF(_xlpm.x=0," ",_xlpm.x))</f>
        <v xml:space="preserve"> </v>
      </c>
      <c r="F160" s="7" t="str">
        <f>_xlfn.LET(_xlpm.x,_xlfn.XLOOKUP($A160,'[1]2. Abinitio IF'!$C:$C,'[1]2. Abinitio IF'!$BG:$BG," "),IF(_xlpm.x=0," ",_xlpm.x))</f>
        <v xml:space="preserve"> </v>
      </c>
    </row>
    <row r="161" spans="1:13">
      <c r="A161" s="5" t="s">
        <v>181</v>
      </c>
      <c r="B161" s="7" t="s">
        <v>15</v>
      </c>
      <c r="C161" s="7" t="s">
        <v>16</v>
      </c>
      <c r="D161" s="7" t="str">
        <f>_xlfn.LET(_xlpm.x,_xlfn.XLOOKUP(A161,'[1]2. Abinitio IF'!$C:$C,'[1]2. Abinitio IF'!$AY:$AY," "), IF(_xlpm.x=0," ",_xlpm.x))</f>
        <v>Transactional</v>
      </c>
      <c r="E161" s="8" t="str">
        <f>_xlfn.LET(_xlpm.x,_xlfn.XLOOKUP($A161,'[1]2. Abinitio IF'!$C:$C,'[1]2. Abinitio IF'!$BA:$BA," "), IF(_xlpm.x=0," ",_xlpm.x))</f>
        <v xml:space="preserve"> </v>
      </c>
      <c r="F161" s="7" t="str">
        <f>_xlfn.LET(_xlpm.x,_xlfn.XLOOKUP($A161,'[1]2. Abinitio IF'!$C:$C,'[1]2. Abinitio IF'!$BG:$BG," "),IF(_xlpm.x=0," ",_xlpm.x))</f>
        <v xml:space="preserve"> </v>
      </c>
      <c r="G161" s="7"/>
      <c r="L161" s="7"/>
    </row>
    <row r="162" spans="1:13">
      <c r="A162" s="5" t="s">
        <v>182</v>
      </c>
      <c r="B162" s="7" t="s">
        <v>15</v>
      </c>
      <c r="C162" s="7" t="s">
        <v>16</v>
      </c>
      <c r="D162" s="7" t="str">
        <f>_xlfn.LET(_xlpm.x,_xlfn.XLOOKUP(A162,'[1]2. Abinitio IF'!$C:$C,'[1]2. Abinitio IF'!$AY:$AY," "), IF(_xlpm.x=0," ",_xlpm.x))</f>
        <v>Transactional</v>
      </c>
      <c r="E162" s="8" t="str">
        <f>_xlfn.LET(_xlpm.x,_xlfn.XLOOKUP($A162,'[1]2. Abinitio IF'!$C:$C,'[1]2. Abinitio IF'!$BA:$BA," "), IF(_xlpm.x=0," ",_xlpm.x))</f>
        <v xml:space="preserve"> </v>
      </c>
      <c r="F162" s="7" t="str">
        <f>_xlfn.LET(_xlpm.x,_xlfn.XLOOKUP($A162,'[1]2. Abinitio IF'!$C:$C,'[1]2. Abinitio IF'!$BG:$BG," "),IF(_xlpm.x=0," ",_xlpm.x))</f>
        <v xml:space="preserve"> </v>
      </c>
      <c r="G162" s="7"/>
      <c r="L162" s="7"/>
    </row>
    <row r="163" spans="1:13">
      <c r="A163" s="5" t="s">
        <v>183</v>
      </c>
      <c r="B163" s="7" t="s">
        <v>15</v>
      </c>
      <c r="C163" s="7" t="s">
        <v>16</v>
      </c>
      <c r="D163" s="7" t="str">
        <f>_xlfn.LET(_xlpm.x,_xlfn.XLOOKUP(A163,'[1]2. Abinitio IF'!$C:$C,'[1]2. Abinitio IF'!$AY:$AY," "), IF(_xlpm.x=0," ",_xlpm.x))</f>
        <v>Transactional</v>
      </c>
      <c r="E163" s="8" t="str">
        <f>_xlfn.LET(_xlpm.x,_xlfn.XLOOKUP($A163,'[1]2. Abinitio IF'!$C:$C,'[1]2. Abinitio IF'!$BA:$BA," "), IF(_xlpm.x=0," ",_xlpm.x))</f>
        <v xml:space="preserve"> </v>
      </c>
      <c r="F163" s="7" t="str">
        <f>_xlfn.LET(_xlpm.x,_xlfn.XLOOKUP($A163,'[1]2. Abinitio IF'!$C:$C,'[1]2. Abinitio IF'!$BG:$BG," "),IF(_xlpm.x=0," ",_xlpm.x))</f>
        <v xml:space="preserve"> </v>
      </c>
      <c r="G163" s="7"/>
      <c r="L163" s="7"/>
    </row>
    <row r="164" spans="1:13">
      <c r="A164" s="5" t="s">
        <v>184</v>
      </c>
      <c r="B164" s="7" t="s">
        <v>15</v>
      </c>
      <c r="C164" s="7" t="s">
        <v>16</v>
      </c>
      <c r="D164" s="7" t="str">
        <f>_xlfn.LET(_xlpm.x,_xlfn.XLOOKUP(A164,'[1]2. Abinitio IF'!$C:$C,'[1]2. Abinitio IF'!$AY:$AY," "), IF(_xlpm.x=0," ",_xlpm.x))</f>
        <v>Transactional</v>
      </c>
      <c r="E164" s="8" t="str">
        <f>_xlfn.LET(_xlpm.x,_xlfn.XLOOKUP($A164,'[1]2. Abinitio IF'!$C:$C,'[1]2. Abinitio IF'!$BA:$BA," "), IF(_xlpm.x=0," ",_xlpm.x))</f>
        <v xml:space="preserve"> </v>
      </c>
      <c r="F164" s="7" t="str">
        <f>_xlfn.LET(_xlpm.x,_xlfn.XLOOKUP($A164,'[1]2. Abinitio IF'!$C:$C,'[1]2. Abinitio IF'!$BG:$BG," "),IF(_xlpm.x=0," ",_xlpm.x))</f>
        <v xml:space="preserve"> </v>
      </c>
      <c r="G164" s="7"/>
      <c r="L164" s="7"/>
    </row>
    <row r="165" spans="1:13">
      <c r="A165" s="5" t="s">
        <v>185</v>
      </c>
      <c r="B165" s="7" t="s">
        <v>15</v>
      </c>
      <c r="C165" s="7" t="s">
        <v>16</v>
      </c>
      <c r="D165" s="7" t="str">
        <f>_xlfn.LET(_xlpm.x,_xlfn.XLOOKUP(A165,'[1]2. Abinitio IF'!$C:$C,'[1]2. Abinitio IF'!$AY:$AY," "), IF(_xlpm.x=0," ",_xlpm.x))</f>
        <v>Master</v>
      </c>
      <c r="E165" s="8" t="str">
        <f>_xlfn.LET(_xlpm.x,_xlfn.XLOOKUP($A165,'[1]2. Abinitio IF'!$C:$C,'[1]2. Abinitio IF'!$BA:$BA," "), IF(_xlpm.x=0," ",_xlpm.x))</f>
        <v xml:space="preserve"> </v>
      </c>
      <c r="F165" s="7" t="str">
        <f>_xlfn.LET(_xlpm.x,_xlfn.XLOOKUP($A165,'[1]2. Abinitio IF'!$C:$C,'[1]2. Abinitio IF'!$BG:$BG," "),IF(_xlpm.x=0," ",_xlpm.x))</f>
        <v xml:space="preserve"> </v>
      </c>
      <c r="G165" s="7"/>
      <c r="L165" s="7"/>
    </row>
    <row r="166" spans="1:13">
      <c r="A166" s="5" t="s">
        <v>186</v>
      </c>
      <c r="B166" s="7" t="s">
        <v>15</v>
      </c>
      <c r="C166" s="7" t="s">
        <v>16</v>
      </c>
      <c r="D166" s="7" t="str">
        <f>_xlfn.LET(_xlpm.x,_xlfn.XLOOKUP(A166,'[1]2. Abinitio IF'!$C:$C,'[1]2. Abinitio IF'!$AY:$AY," "), IF(_xlpm.x=0," ",_xlpm.x))</f>
        <v>Master</v>
      </c>
      <c r="E166" s="8" t="str">
        <f>_xlfn.LET(_xlpm.x,_xlfn.XLOOKUP($A166,'[1]2. Abinitio IF'!$C:$C,'[1]2. Abinitio IF'!$BA:$BA," "), IF(_xlpm.x=0," ",_xlpm.x))</f>
        <v xml:space="preserve"> </v>
      </c>
      <c r="F166" s="7" t="str">
        <f>_xlfn.LET(_xlpm.x,_xlfn.XLOOKUP($A166,'[1]2. Abinitio IF'!$C:$C,'[1]2. Abinitio IF'!$BG:$BG," "),IF(_xlpm.x=0," ",_xlpm.x))</f>
        <v xml:space="preserve"> </v>
      </c>
      <c r="G166" s="7"/>
      <c r="L166" s="7"/>
    </row>
    <row r="167" spans="1:13">
      <c r="A167" s="5" t="s">
        <v>187</v>
      </c>
      <c r="B167" s="7" t="s">
        <v>15</v>
      </c>
      <c r="C167" s="7" t="s">
        <v>16</v>
      </c>
      <c r="D167" s="7" t="str">
        <f>_xlfn.LET(_xlpm.x,_xlfn.XLOOKUP(A167,'[1]2. Abinitio IF'!$C:$C,'[1]2. Abinitio IF'!$AY:$AY," "), IF(_xlpm.x=0," ",_xlpm.x))</f>
        <v>Master</v>
      </c>
      <c r="E167" s="8" t="str">
        <f>_xlfn.LET(_xlpm.x,_xlfn.XLOOKUP($A167,'[1]2. Abinitio IF'!$C:$C,'[1]2. Abinitio IF'!$BA:$BA," "), IF(_xlpm.x=0," ",_xlpm.x))</f>
        <v xml:space="preserve"> </v>
      </c>
      <c r="F167" s="7" t="str">
        <f>_xlfn.LET(_xlpm.x,_xlfn.XLOOKUP($A167,'[1]2. Abinitio IF'!$C:$C,'[1]2. Abinitio IF'!$BG:$BG," "),IF(_xlpm.x=0," ",_xlpm.x))</f>
        <v xml:space="preserve"> </v>
      </c>
      <c r="G167" s="7"/>
      <c r="L167" s="7"/>
    </row>
    <row r="168" spans="1:13">
      <c r="A168" s="5" t="s">
        <v>188</v>
      </c>
      <c r="B168" s="7" t="s">
        <v>15</v>
      </c>
      <c r="C168" s="7" t="s">
        <v>16</v>
      </c>
      <c r="D168" s="7" t="str">
        <f>_xlfn.LET(_xlpm.x,_xlfn.XLOOKUP(A168,'[1]2. Abinitio IF'!$C:$C,'[1]2. Abinitio IF'!$AY:$AY," "), IF(_xlpm.x=0," ",_xlpm.x))</f>
        <v>Master</v>
      </c>
      <c r="E168" s="8" t="str">
        <f>_xlfn.LET(_xlpm.x,_xlfn.XLOOKUP($A168,'[1]2. Abinitio IF'!$C:$C,'[1]2. Abinitio IF'!$BA:$BA," "), IF(_xlpm.x=0," ",_xlpm.x))</f>
        <v xml:space="preserve"> </v>
      </c>
      <c r="F168" s="7" t="str">
        <f>_xlfn.LET(_xlpm.x,_xlfn.XLOOKUP($A168,'[1]2. Abinitio IF'!$C:$C,'[1]2. Abinitio IF'!$BG:$BG," "),IF(_xlpm.x=0," ",_xlpm.x))</f>
        <v xml:space="preserve"> </v>
      </c>
      <c r="G168" s="7"/>
      <c r="L168" s="7"/>
    </row>
    <row r="169" spans="1:13">
      <c r="A169" s="5" t="s">
        <v>189</v>
      </c>
      <c r="B169" s="7" t="s">
        <v>15</v>
      </c>
      <c r="C169" s="7" t="s">
        <v>16</v>
      </c>
      <c r="D169" s="7" t="str">
        <f>_xlfn.LET(_xlpm.x,_xlfn.XLOOKUP(A169,'[1]2. Abinitio IF'!$C:$C,'[1]2. Abinitio IF'!$AY:$AY," "), IF(_xlpm.x=0," ",_xlpm.x))</f>
        <v>Master</v>
      </c>
      <c r="E169" s="8" t="str">
        <f>_xlfn.LET(_xlpm.x,_xlfn.XLOOKUP($A169,'[1]2. Abinitio IF'!$C:$C,'[1]2. Abinitio IF'!$BA:$BA," "), IF(_xlpm.x=0," ",_xlpm.x))</f>
        <v xml:space="preserve"> </v>
      </c>
      <c r="F169" s="7" t="str">
        <f>_xlfn.LET(_xlpm.x,_xlfn.XLOOKUP($A169,'[1]2. Abinitio IF'!$C:$C,'[1]2. Abinitio IF'!$BG:$BG," "),IF(_xlpm.x=0," ",_xlpm.x))</f>
        <v xml:space="preserve"> </v>
      </c>
      <c r="G169" s="7"/>
      <c r="L169" s="7"/>
    </row>
    <row r="170" spans="1:13">
      <c r="A170" s="5" t="s">
        <v>190</v>
      </c>
      <c r="B170" s="7" t="s">
        <v>15</v>
      </c>
      <c r="C170" s="7" t="s">
        <v>16</v>
      </c>
      <c r="D170" s="7" t="str">
        <f>_xlfn.LET(_xlpm.x,_xlfn.XLOOKUP(A170,'[1]2. Abinitio IF'!$C:$C,'[1]2. Abinitio IF'!$AY:$AY," "), IF(_xlpm.x=0," ",_xlpm.x))</f>
        <v>Transactional</v>
      </c>
      <c r="E170" s="8" t="str">
        <f>_xlfn.LET(_xlpm.x,_xlfn.XLOOKUP($A170,'[1]2. Abinitio IF'!$C:$C,'[1]2. Abinitio IF'!$BA:$BA," "), IF(_xlpm.x=0," ",_xlpm.x))</f>
        <v xml:space="preserve"> </v>
      </c>
      <c r="F170" s="7" t="str">
        <f>_xlfn.LET(_xlpm.x,_xlfn.XLOOKUP($A170,'[1]2. Abinitio IF'!$C:$C,'[1]2. Abinitio IF'!$BG:$BG," "),IF(_xlpm.x=0," ",_xlpm.x))</f>
        <v xml:space="preserve"> </v>
      </c>
      <c r="G170" s="7"/>
      <c r="L170" s="7"/>
    </row>
    <row r="171" spans="1:13">
      <c r="A171" s="5" t="s">
        <v>191</v>
      </c>
      <c r="B171" s="7" t="s">
        <v>15</v>
      </c>
      <c r="C171" s="7" t="s">
        <v>16</v>
      </c>
      <c r="D171" s="7" t="str">
        <f>_xlfn.LET(_xlpm.x,_xlfn.XLOOKUP(A171,'[1]2. Abinitio IF'!$C:$C,'[1]2. Abinitio IF'!$AY:$AY," "), IF(_xlpm.x=0," ",_xlpm.x))</f>
        <v>Master</v>
      </c>
      <c r="E171" s="8" t="str">
        <f>_xlfn.LET(_xlpm.x,_xlfn.XLOOKUP($A171,'[1]2. Abinitio IF'!$C:$C,'[1]2. Abinitio IF'!$BA:$BA," "), IF(_xlpm.x=0," ",_xlpm.x))</f>
        <v xml:space="preserve"> </v>
      </c>
      <c r="F171" s="7" t="str">
        <f>_xlfn.LET(_xlpm.x,_xlfn.XLOOKUP($A171,'[1]2. Abinitio IF'!$C:$C,'[1]2. Abinitio IF'!$BG:$BG," "),IF(_xlpm.x=0," ",_xlpm.x))</f>
        <v xml:space="preserve"> </v>
      </c>
      <c r="G171" s="7"/>
      <c r="L171" s="7"/>
    </row>
    <row r="172" spans="1:13">
      <c r="A172" s="5" t="s">
        <v>192</v>
      </c>
      <c r="B172" s="7" t="s">
        <v>15</v>
      </c>
      <c r="C172" s="7" t="s">
        <v>16</v>
      </c>
      <c r="D172" s="7" t="str">
        <f>_xlfn.LET(_xlpm.x,_xlfn.XLOOKUP(A172,'[1]2. Abinitio IF'!$C:$C,'[1]2. Abinitio IF'!$AY:$AY," "), IF(_xlpm.x=0," ",_xlpm.x))</f>
        <v>Master</v>
      </c>
      <c r="E172" s="8" t="str">
        <f>_xlfn.LET(_xlpm.x,_xlfn.XLOOKUP($A172,'[1]2. Abinitio IF'!$C:$C,'[1]2. Abinitio IF'!$BA:$BA," "), IF(_xlpm.x=0," ",_xlpm.x))</f>
        <v xml:space="preserve"> </v>
      </c>
      <c r="F172" s="7" t="str">
        <f>_xlfn.LET(_xlpm.x,_xlfn.XLOOKUP($A172,'[1]2. Abinitio IF'!$C:$C,'[1]2. Abinitio IF'!$BG:$BG," "),IF(_xlpm.x=0," ",_xlpm.x))</f>
        <v xml:space="preserve"> </v>
      </c>
      <c r="G172" s="7"/>
      <c r="L172" s="7"/>
    </row>
    <row r="173" spans="1:13">
      <c r="A173" s="5" t="s">
        <v>193</v>
      </c>
      <c r="B173" s="7" t="s">
        <v>15</v>
      </c>
      <c r="C173" s="7" t="s">
        <v>16</v>
      </c>
      <c r="D173" s="7" t="str">
        <f>_xlfn.LET(_xlpm.x,_xlfn.XLOOKUP(A173,'[1]2. Abinitio IF'!$C:$C,'[1]2. Abinitio IF'!$AY:$AY," "), IF(_xlpm.x=0," ",_xlpm.x))</f>
        <v>Transactional</v>
      </c>
      <c r="E173" s="8" t="str">
        <f>_xlfn.LET(_xlpm.x,_xlfn.XLOOKUP($A173,'[1]2. Abinitio IF'!$C:$C,'[1]2. Abinitio IF'!$BA:$BA," "), IF(_xlpm.x=0," ",_xlpm.x))</f>
        <v xml:space="preserve"> </v>
      </c>
      <c r="F173" s="7" t="str">
        <f>_xlfn.LET(_xlpm.x,_xlfn.XLOOKUP($A173,'[1]2. Abinitio IF'!$C:$C,'[1]2. Abinitio IF'!$BG:$BG," "),IF(_xlpm.x=0," ",_xlpm.x))</f>
        <v xml:space="preserve"> </v>
      </c>
      <c r="G173" s="7"/>
      <c r="L173" s="7"/>
    </row>
    <row r="174" spans="1:13">
      <c r="A174" s="5" t="s">
        <v>194</v>
      </c>
      <c r="B174" s="7" t="s">
        <v>15</v>
      </c>
      <c r="C174" s="7" t="s">
        <v>16</v>
      </c>
      <c r="D174" s="7" t="str">
        <f>_xlfn.LET(_xlpm.x,_xlfn.XLOOKUP(A174,'[1]2. Abinitio IF'!$C:$C,'[1]2. Abinitio IF'!$AY:$AY," "), IF(_xlpm.x=0," ",_xlpm.x))</f>
        <v>Transactional</v>
      </c>
      <c r="E174" s="8" t="str">
        <f>_xlfn.LET(_xlpm.x,_xlfn.XLOOKUP($A174,'[1]2. Abinitio IF'!$C:$C,'[1]2. Abinitio IF'!$BA:$BA," "), IF(_xlpm.x=0," ",_xlpm.x))</f>
        <v xml:space="preserve"> </v>
      </c>
      <c r="F174" s="7" t="str">
        <f>_xlfn.LET(_xlpm.x,_xlfn.XLOOKUP($A174,'[1]2. Abinitio IF'!$C:$C,'[1]2. Abinitio IF'!$BG:$BG," "),IF(_xlpm.x=0," ",_xlpm.x))</f>
        <v xml:space="preserve"> </v>
      </c>
      <c r="G174" s="7"/>
      <c r="L174" s="7"/>
    </row>
    <row r="175" spans="1:13">
      <c r="A175" s="16" t="s">
        <v>195</v>
      </c>
      <c r="B175" s="7" t="s">
        <v>15</v>
      </c>
      <c r="C175" s="7" t="s">
        <v>16</v>
      </c>
      <c r="D175" s="7" t="str">
        <f>_xlfn.LET(_xlpm.x,_xlfn.XLOOKUP(A175,'[1]2. Abinitio IF'!$C:$C,'[1]2. Abinitio IF'!$AY:$AY," "), IF(_xlpm.x=0," ",_xlpm.x))</f>
        <v>Master</v>
      </c>
      <c r="E175" s="8" t="str">
        <f>_xlfn.LET(_xlpm.x,_xlfn.XLOOKUP($A175,'[1]2. Abinitio IF'!$C:$C,'[1]2. Abinitio IF'!$BA:$BA," "), IF(_xlpm.x=0," ",_xlpm.x))</f>
        <v xml:space="preserve"> </v>
      </c>
      <c r="F175" s="7" t="str">
        <f>_xlfn.LET(_xlpm.x,_xlfn.XLOOKUP($A175,'[1]2. Abinitio IF'!$C:$C,'[1]2. Abinitio IF'!$BG:$BG," "),IF(_xlpm.x=0," ",_xlpm.x))</f>
        <v xml:space="preserve"> </v>
      </c>
      <c r="G175" s="7"/>
      <c r="L175" s="7"/>
    </row>
    <row r="176" spans="1:13" ht="158.25" customHeight="1">
      <c r="A176" s="18" t="s">
        <v>196</v>
      </c>
      <c r="B176" s="19" t="s">
        <v>15</v>
      </c>
      <c r="C176" s="19" t="s">
        <v>16</v>
      </c>
      <c r="D176" s="7" t="str">
        <f>_xlfn.LET(_xlpm.x,_xlfn.XLOOKUP(A176,'[1]2. Abinitio IF'!$C:$C,'[1]2. Abinitio IF'!$AY:$AY," "), IF(_xlpm.x=0," ",_xlpm.x))</f>
        <v xml:space="preserve"> </v>
      </c>
      <c r="E176" s="8">
        <f>_xlfn.LET(_xlpm.x,_xlfn.XLOOKUP($A176,'[1]2. Abinitio IF'!$C:$C,'[1]2. Abinitio IF'!$BA:$BA," "), IF(_xlpm.x=0," ",_xlpm.x))</f>
        <v>37493201</v>
      </c>
      <c r="F176" s="7" t="str">
        <f>_xlfn.LET(_xlpm.x,_xlfn.XLOOKUP($A176,'[1]2. Abinitio IF'!$C:$C,'[1]2. Abinitio IF'!$BG:$BG," "),IF(_xlpm.x=0," ",_xlpm.x))</f>
        <v>KNA1</v>
      </c>
      <c r="G176" s="20" t="s">
        <v>197</v>
      </c>
      <c r="H176" s="19"/>
      <c r="I176" s="19"/>
      <c r="J176" s="19"/>
      <c r="K176" s="19" t="s">
        <v>198</v>
      </c>
      <c r="L176" s="20" t="s">
        <v>199</v>
      </c>
      <c r="M176" s="19"/>
    </row>
    <row r="177" spans="1:13" ht="15.75" customHeight="1">
      <c r="A177" s="18" t="s">
        <v>200</v>
      </c>
      <c r="B177" s="21" t="s">
        <v>24</v>
      </c>
      <c r="C177" s="21" t="s">
        <v>25</v>
      </c>
      <c r="D177" s="7" t="str">
        <f>_xlfn.LET(_xlpm.x,_xlfn.XLOOKUP(A177,'[1]2. Abinitio IF'!$C:$C,'[1]2. Abinitio IF'!$AY:$AY," "), IF(_xlpm.x=0," ",_xlpm.x))</f>
        <v>Master</v>
      </c>
      <c r="E177" s="8">
        <f>_xlfn.LET(_xlpm.x,_xlfn.XLOOKUP($A177,'[1]2. Abinitio IF'!$C:$C,'[1]2. Abinitio IF'!$BA:$BA," "), IF(_xlpm.x=0," ",_xlpm.x))</f>
        <v>25916277</v>
      </c>
      <c r="F177" s="7" t="str">
        <f>_xlfn.LET(_xlpm.x,_xlfn.XLOOKUP($A177,'[1]2. Abinitio IF'!$C:$C,'[1]2. Abinitio IF'!$BG:$BG," "),IF(_xlpm.x=0," ",_xlpm.x))</f>
        <v>ANLA, ANLB, ANLZ, ANLBZA, TFKBT, ANKT, CSKT, T093B, T087T, ANLC, TABA, ANEP, ANEA, TABW</v>
      </c>
      <c r="G177" s="20" t="s">
        <v>26</v>
      </c>
      <c r="H177" s="19"/>
      <c r="I177" s="19"/>
      <c r="J177" s="19"/>
      <c r="K177" s="19"/>
      <c r="L177" s="20" t="s">
        <v>201</v>
      </c>
      <c r="M177" s="19"/>
    </row>
    <row r="178" spans="1:13" ht="285.95">
      <c r="A178" s="18" t="s">
        <v>202</v>
      </c>
      <c r="B178" s="19" t="s">
        <v>15</v>
      </c>
      <c r="C178" s="19" t="s">
        <v>16</v>
      </c>
      <c r="D178" s="7" t="str">
        <f>_xlfn.LET(_xlpm.x,_xlfn.XLOOKUP(A178,'[1]2. Abinitio IF'!$C:$C,'[1]2. Abinitio IF'!$AY:$AY," "), IF(_xlpm.x=0," ",_xlpm.x))</f>
        <v>Transactional</v>
      </c>
      <c r="E178" s="8">
        <f>_xlfn.LET(_xlpm.x,_xlfn.XLOOKUP($A178,'[1]2. Abinitio IF'!$C:$C,'[1]2. Abinitio IF'!$BA:$BA," "), IF(_xlpm.x=0," ",_xlpm.x))</f>
        <v>10698382</v>
      </c>
      <c r="F178" s="7" t="str">
        <f>_xlfn.LET(_xlpm.x,_xlfn.XLOOKUP($A178,'[1]2. Abinitio IF'!$C:$C,'[1]2. Abinitio IF'!$BG:$BG," "),IF(_xlpm.x=0," ",_xlpm.x))</f>
        <v>VBAK
VBKD, join VBAK</v>
      </c>
      <c r="G178" s="20" t="s">
        <v>197</v>
      </c>
      <c r="H178" s="19"/>
      <c r="I178" s="19"/>
      <c r="J178" s="19"/>
      <c r="K178" s="19"/>
      <c r="L178" s="26" t="s">
        <v>203</v>
      </c>
      <c r="M178" s="19"/>
    </row>
    <row r="179" spans="1:13" ht="285.95">
      <c r="A179" s="18" t="s">
        <v>204</v>
      </c>
      <c r="B179" s="19" t="s">
        <v>15</v>
      </c>
      <c r="C179" s="19" t="s">
        <v>16</v>
      </c>
      <c r="D179" s="7" t="str">
        <f>_xlfn.LET(_xlpm.x,_xlfn.XLOOKUP(A179,'[1]2. Abinitio IF'!$C:$C,'[1]2. Abinitio IF'!$AY:$AY," "), IF(_xlpm.x=0," ",_xlpm.x))</f>
        <v>Master</v>
      </c>
      <c r="E179" s="8">
        <f>_xlfn.LET(_xlpm.x,_xlfn.XLOOKUP($A179,'[1]2. Abinitio IF'!$C:$C,'[1]2. Abinitio IF'!$BA:$BA," "), IF(_xlpm.x=0," ",_xlpm.x))</f>
        <v>8992675</v>
      </c>
      <c r="F179" s="7" t="str">
        <f>_xlfn.LET(_xlpm.x,_xlfn.XLOOKUP($A179,'[1]2. Abinitio IF'!$C:$C,'[1]2. Abinitio IF'!$BG:$BG," "),IF(_xlpm.x=0," ",_xlpm.x))</f>
        <v>KNVV, VBAK</v>
      </c>
      <c r="G179" s="20"/>
      <c r="H179" s="19"/>
      <c r="I179" s="19"/>
      <c r="J179" s="19"/>
      <c r="K179" s="19"/>
      <c r="L179" s="20" t="s">
        <v>205</v>
      </c>
      <c r="M179" s="19"/>
    </row>
    <row r="180" spans="1:13" ht="39">
      <c r="A180" s="18" t="s">
        <v>206</v>
      </c>
      <c r="B180" s="21" t="s">
        <v>24</v>
      </c>
      <c r="C180" s="21" t="s">
        <v>25</v>
      </c>
      <c r="D180" s="7" t="str">
        <f>_xlfn.LET(_xlpm.x,_xlfn.XLOOKUP(A180,'[1]2. Abinitio IF'!$C:$C,'[1]2. Abinitio IF'!$AY:$AY," "), IF(_xlpm.x=0," ",_xlpm.x))</f>
        <v>Master</v>
      </c>
      <c r="E180" s="8">
        <f>_xlfn.LET(_xlpm.x,_xlfn.XLOOKUP($A180,'[1]2. Abinitio IF'!$C:$C,'[1]2. Abinitio IF'!$BA:$BA," "), IF(_xlpm.x=0," ",_xlpm.x))</f>
        <v>5115586</v>
      </c>
      <c r="F180" s="7" t="str">
        <f>_xlfn.LET(_xlpm.x,_xlfn.XLOOKUP($A180,'[1]2. Abinitio IF'!$C:$C,'[1]2. Abinitio IF'!$BG:$BG," "),IF(_xlpm.x=0," ",_xlpm.x))</f>
        <v>/CCBJI/T_JCTINVR</v>
      </c>
      <c r="G180" s="20"/>
      <c r="H180" s="19"/>
      <c r="I180" s="19"/>
      <c r="J180" s="19"/>
      <c r="K180" s="19"/>
      <c r="L180" s="14" t="s">
        <v>207</v>
      </c>
      <c r="M180" s="19"/>
    </row>
    <row r="181" spans="1:13" ht="143.1">
      <c r="A181" s="22" t="s">
        <v>208</v>
      </c>
      <c r="B181" s="21" t="s">
        <v>15</v>
      </c>
      <c r="C181" s="19" t="s">
        <v>16</v>
      </c>
      <c r="D181" s="7" t="str">
        <f>_xlfn.LET(_xlpm.x,_xlfn.XLOOKUP(A181,'[1]2. Abinitio IF'!$C:$C,'[1]2. Abinitio IF'!$AY:$AY," "), IF(_xlpm.x=0," ",_xlpm.x))</f>
        <v>Master</v>
      </c>
      <c r="E181" s="8">
        <f>_xlfn.LET(_xlpm.x,_xlfn.XLOOKUP($A181,'[1]2. Abinitio IF'!$C:$C,'[1]2. Abinitio IF'!$BA:$BA," "), IF(_xlpm.x=0," ",_xlpm.x))</f>
        <v>3785680</v>
      </c>
      <c r="F181" s="7" t="str">
        <f>_xlfn.LET(_xlpm.x,_xlfn.XLOOKUP($A181,'[1]2. Abinitio IF'!$C:$C,'[1]2. Abinitio IF'!$BG:$BG," "),IF(_xlpm.x=0," ",_xlpm.x))</f>
        <v>VBAK</v>
      </c>
      <c r="G181" s="20" t="s">
        <v>197</v>
      </c>
      <c r="H181" s="19"/>
      <c r="I181" s="19"/>
      <c r="J181" s="19"/>
      <c r="K181" s="19"/>
      <c r="L181" s="20" t="s">
        <v>209</v>
      </c>
      <c r="M181" s="19"/>
    </row>
    <row r="182" spans="1:13" ht="143.1">
      <c r="A182" s="18" t="s">
        <v>210</v>
      </c>
      <c r="B182" s="21" t="s">
        <v>15</v>
      </c>
      <c r="C182" s="19" t="s">
        <v>16</v>
      </c>
      <c r="D182" s="7" t="str">
        <f>_xlfn.LET(_xlpm.x,_xlfn.XLOOKUP(A182,'[1]2. Abinitio IF'!$C:$C,'[1]2. Abinitio IF'!$AY:$AY," "), IF(_xlpm.x=0," ",_xlpm.x))</f>
        <v>Master</v>
      </c>
      <c r="E182" s="8">
        <f>_xlfn.LET(_xlpm.x,_xlfn.XLOOKUP($A182,'[1]2. Abinitio IF'!$C:$C,'[1]2. Abinitio IF'!$BA:$BA," "), IF(_xlpm.x=0," ",_xlpm.x))</f>
        <v>3758433</v>
      </c>
      <c r="F182" s="7" t="str">
        <f>_xlfn.LET(_xlpm.x,_xlfn.XLOOKUP($A182,'[1]2. Abinitio IF'!$C:$C,'[1]2. Abinitio IF'!$BG:$BG," "),IF(_xlpm.x=0," ",_xlpm.x))</f>
        <v>VBRP</v>
      </c>
      <c r="G182" s="20" t="s">
        <v>197</v>
      </c>
      <c r="H182" s="19"/>
      <c r="I182" s="19"/>
      <c r="J182" s="19"/>
      <c r="K182" s="19"/>
      <c r="L182" s="20" t="s">
        <v>211</v>
      </c>
      <c r="M182" s="19"/>
    </row>
    <row r="183" spans="1:13" ht="143.1">
      <c r="A183" s="18" t="s">
        <v>212</v>
      </c>
      <c r="B183" s="21" t="s">
        <v>15</v>
      </c>
      <c r="C183" s="19" t="s">
        <v>16</v>
      </c>
      <c r="D183" s="7" t="str">
        <f>_xlfn.LET(_xlpm.x,_xlfn.XLOOKUP(A183,'[1]2. Abinitio IF'!$C:$C,'[1]2. Abinitio IF'!$AY:$AY," "), IF(_xlpm.x=0," ",_xlpm.x))</f>
        <v>Master</v>
      </c>
      <c r="E183" s="8">
        <f>_xlfn.LET(_xlpm.x,_xlfn.XLOOKUP($A183,'[1]2. Abinitio IF'!$C:$C,'[1]2. Abinitio IF'!$BA:$BA," "), IF(_xlpm.x=0," ",_xlpm.x))</f>
        <v>3758331</v>
      </c>
      <c r="F183" s="7" t="str">
        <f>_xlfn.LET(_xlpm.x,_xlfn.XLOOKUP($A183,'[1]2. Abinitio IF'!$C:$C,'[1]2. Abinitio IF'!$BG:$BG," "),IF(_xlpm.x=0," ",_xlpm.x))</f>
        <v>VBKD</v>
      </c>
      <c r="G183" s="20" t="s">
        <v>197</v>
      </c>
      <c r="H183" s="19"/>
      <c r="I183" s="19"/>
      <c r="J183" s="19"/>
      <c r="K183" s="19"/>
      <c r="L183" s="20" t="s">
        <v>213</v>
      </c>
      <c r="M183" s="19"/>
    </row>
    <row r="184" spans="1:13" ht="143.1">
      <c r="A184" s="18" t="s">
        <v>214</v>
      </c>
      <c r="B184" s="21" t="s">
        <v>15</v>
      </c>
      <c r="C184" s="19" t="s">
        <v>16</v>
      </c>
      <c r="D184" s="7" t="str">
        <f>_xlfn.LET(_xlpm.x,_xlfn.XLOOKUP(A184,'[1]2. Abinitio IF'!$C:$C,'[1]2. Abinitio IF'!$AY:$AY," "), IF(_xlpm.x=0," ",_xlpm.x))</f>
        <v>Master</v>
      </c>
      <c r="E184" s="8">
        <f>_xlfn.LET(_xlpm.x,_xlfn.XLOOKUP($A184,'[1]2. Abinitio IF'!$C:$C,'[1]2. Abinitio IF'!$BA:$BA," "), IF(_xlpm.x=0," ",_xlpm.x))</f>
        <v>3055797</v>
      </c>
      <c r="F184" s="7" t="str">
        <f>_xlfn.LET(_xlpm.x,_xlfn.XLOOKUP($A184,'[1]2. Abinitio IF'!$C:$C,'[1]2. Abinitio IF'!$BG:$BG," "),IF(_xlpm.x=0," ",_xlpm.x))</f>
        <v>VBPA</v>
      </c>
      <c r="G184" s="20" t="s">
        <v>215</v>
      </c>
      <c r="H184" s="19"/>
      <c r="I184" s="19"/>
      <c r="J184" s="19"/>
      <c r="K184" s="19"/>
      <c r="L184" s="20" t="s">
        <v>216</v>
      </c>
      <c r="M184" s="19"/>
    </row>
    <row r="185" spans="1:13" ht="51.95">
      <c r="A185" s="18" t="s">
        <v>217</v>
      </c>
      <c r="B185" s="19" t="s">
        <v>218</v>
      </c>
      <c r="C185" s="19" t="s">
        <v>219</v>
      </c>
      <c r="D185" s="7" t="str">
        <f>_xlfn.LET(_xlpm.x,_xlfn.XLOOKUP(A185,'[1]2. Abinitio IF'!$C:$C,'[1]2. Abinitio IF'!$AY:$AY," "), IF(_xlpm.x=0," ",_xlpm.x))</f>
        <v>Master</v>
      </c>
      <c r="E185" s="8">
        <f>_xlfn.LET(_xlpm.x,_xlfn.XLOOKUP($A185,'[1]2. Abinitio IF'!$C:$C,'[1]2. Abinitio IF'!$BA:$BA," "), IF(_xlpm.x=0," ",_xlpm.x))</f>
        <v>2083391</v>
      </c>
      <c r="F185" s="7" t="str">
        <f>_xlfn.LET(_xlpm.x,_xlfn.XLOOKUP($A185,'[1]2. Abinitio IF'!$C:$C,'[1]2. Abinitio IF'!$BG:$BG," "),IF(_xlpm.x=0," ",_xlpm.x))</f>
        <v>/CCEJ/TZKTSD0041</v>
      </c>
      <c r="G185" s="20"/>
      <c r="H185" s="19"/>
      <c r="I185" s="19"/>
      <c r="J185" s="19"/>
      <c r="K185" s="19"/>
      <c r="L185" s="20" t="s">
        <v>220</v>
      </c>
      <c r="M185" s="19"/>
    </row>
    <row r="186" spans="1:13" ht="58.5" customHeight="1">
      <c r="A186" s="18" t="s">
        <v>221</v>
      </c>
      <c r="B186" s="19" t="s">
        <v>222</v>
      </c>
      <c r="C186" s="19" t="s">
        <v>223</v>
      </c>
      <c r="D186" s="7" t="str">
        <f>_xlfn.LET(_xlpm.x,_xlfn.XLOOKUP(A186,'[1]2. Abinitio IF'!$C:$C,'[1]2. Abinitio IF'!$AY:$AY," "), IF(_xlpm.x=0," ",_xlpm.x))</f>
        <v>Master</v>
      </c>
      <c r="E186" s="8">
        <f>_xlfn.LET(_xlpm.x,_xlfn.XLOOKUP($A186,'[1]2. Abinitio IF'!$C:$C,'[1]2. Abinitio IF'!$BA:$BA," "), IF(_xlpm.x=0," ",_xlpm.x))</f>
        <v>1812433</v>
      </c>
      <c r="F186" s="7" t="str">
        <f>_xlfn.LET(_xlpm.x,_xlfn.XLOOKUP($A186,'[1]2. Abinitio IF'!$C:$C,'[1]2. Abinitio IF'!$BG:$BG," "),IF(_xlpm.x=0," ",_xlpm.x))</f>
        <v>EQUI</v>
      </c>
      <c r="G186" s="20" t="s">
        <v>197</v>
      </c>
      <c r="H186" s="19"/>
      <c r="I186" s="19"/>
      <c r="J186" s="19"/>
      <c r="K186" s="19" t="s">
        <v>198</v>
      </c>
      <c r="L186" s="20" t="s">
        <v>224</v>
      </c>
      <c r="M186" s="19"/>
    </row>
    <row r="187" spans="1:13" ht="14.45">
      <c r="A187" s="22" t="s">
        <v>225</v>
      </c>
      <c r="B187" s="19" t="s">
        <v>226</v>
      </c>
      <c r="C187" s="19" t="s">
        <v>219</v>
      </c>
      <c r="D187" s="7" t="str">
        <f>_xlfn.LET(_xlpm.x,_xlfn.XLOOKUP(A187,'[1]2. Abinitio IF'!$C:$C,'[1]2. Abinitio IF'!$AY:$AY," "), IF(_xlpm.x=0," ",_xlpm.x))</f>
        <v xml:space="preserve"> </v>
      </c>
      <c r="E187" s="8">
        <f>_xlfn.LET(_xlpm.x,_xlfn.XLOOKUP($A187,'[1]2. Abinitio IF'!$C:$C,'[1]2. Abinitio IF'!$BA:$BA," "), IF(_xlpm.x=0," ",_xlpm.x))</f>
        <v>1357671</v>
      </c>
      <c r="F187" s="7" t="str">
        <f>_xlfn.LET(_xlpm.x,_xlfn.XLOOKUP($A187,'[1]2. Abinitio IF'!$C:$C,'[1]2. Abinitio IF'!$BG:$BG," "),IF(_xlpm.x=0," ",_xlpm.x))</f>
        <v>LFB1</v>
      </c>
      <c r="G187" s="20" t="s">
        <v>197</v>
      </c>
      <c r="H187" s="19"/>
      <c r="I187" s="19"/>
      <c r="J187" s="19"/>
      <c r="K187" s="19"/>
      <c r="L187" s="29" t="s">
        <v>227</v>
      </c>
      <c r="M187" s="19"/>
    </row>
    <row r="188" spans="1:13">
      <c r="A188" s="22" t="s">
        <v>228</v>
      </c>
      <c r="B188" s="21" t="s">
        <v>15</v>
      </c>
      <c r="C188" s="19" t="s">
        <v>16</v>
      </c>
      <c r="D188" s="7" t="str">
        <f>_xlfn.LET(_xlpm.x,_xlfn.XLOOKUP(A188,'[1]2. Abinitio IF'!$C:$C,'[1]2. Abinitio IF'!$AY:$AY," "), IF(_xlpm.x=0," ",_xlpm.x))</f>
        <v>Transactional</v>
      </c>
      <c r="E188" s="8">
        <f>_xlfn.LET(_xlpm.x,_xlfn.XLOOKUP($A188,'[1]2. Abinitio IF'!$C:$C,'[1]2. Abinitio IF'!$BA:$BA," "), IF(_xlpm.x=0," ",_xlpm.x))</f>
        <v>850750</v>
      </c>
      <c r="F188" s="7" t="str">
        <f>_xlfn.LET(_xlpm.x,_xlfn.XLOOKUP($A188,'[1]2. Abinitio IF'!$C:$C,'[1]2. Abinitio IF'!$BG:$BG," "),IF(_xlpm.x=0," ",_xlpm.x))</f>
        <v>VBRK, join VBRP, join MARA
SALESREPORT."ccbji.zj_sales.salesreport.md.data_load_view::ABI_v_c1_sr_bill_doc"
SALESREPORT."ccbji.zj_sales.salesreport.md.data_load_view::ABI_v_c1_sr_bill_doc"</v>
      </c>
      <c r="G188" s="20" t="s">
        <v>197</v>
      </c>
      <c r="H188" s="19"/>
      <c r="I188" s="19"/>
      <c r="J188" s="19"/>
      <c r="K188" s="19"/>
      <c r="L188" s="20"/>
      <c r="M188" s="19"/>
    </row>
    <row r="189" spans="1:13" ht="227.25" customHeight="1">
      <c r="A189" s="18" t="s">
        <v>229</v>
      </c>
      <c r="B189" s="21" t="s">
        <v>76</v>
      </c>
      <c r="C189" s="19" t="s">
        <v>77</v>
      </c>
      <c r="D189" s="7" t="str">
        <f>_xlfn.LET(_xlpm.x,_xlfn.XLOOKUP(A189,'[1]2. Abinitio IF'!$C:$C,'[1]2. Abinitio IF'!$AY:$AY," "), IF(_xlpm.x=0," ",_xlpm.x))</f>
        <v>Master</v>
      </c>
      <c r="E189" s="8">
        <f>_xlfn.LET(_xlpm.x,_xlfn.XLOOKUP($A189,'[1]2. Abinitio IF'!$C:$C,'[1]2. Abinitio IF'!$BA:$BA," "), IF(_xlpm.x=0," ",_xlpm.x))</f>
        <v>754263</v>
      </c>
      <c r="F189" s="7" t="str">
        <f>_xlfn.LET(_xlpm.x,_xlfn.XLOOKUP($A189,'[1]2. Abinitio IF'!$C:$C,'[1]2. Abinitio IF'!$BG:$BG," "),IF(_xlpm.x=0," ",_xlpm.x))</f>
        <v>MARM
SALESREPORT."ccbji.zj_sales.salesreport.md.data_load_view::ABI_v_cokeone_marm_txt_p"</v>
      </c>
      <c r="G189" s="20" t="s">
        <v>197</v>
      </c>
      <c r="H189" s="19"/>
      <c r="I189" s="19"/>
      <c r="J189" s="19"/>
      <c r="K189" s="19" t="s">
        <v>198</v>
      </c>
      <c r="L189" s="20" t="s">
        <v>230</v>
      </c>
      <c r="M189" s="19"/>
    </row>
    <row r="190" spans="1:13" ht="143.1">
      <c r="A190" s="18" t="s">
        <v>231</v>
      </c>
      <c r="B190" s="21" t="s">
        <v>15</v>
      </c>
      <c r="C190" s="19" t="s">
        <v>16</v>
      </c>
      <c r="D190" s="7" t="str">
        <f>_xlfn.LET(_xlpm.x,_xlfn.XLOOKUP(A190,'[1]2. Abinitio IF'!$C:$C,'[1]2. Abinitio IF'!$AY:$AY," "), IF(_xlpm.x=0," ",_xlpm.x))</f>
        <v>Master</v>
      </c>
      <c r="E190" s="8">
        <f>_xlfn.LET(_xlpm.x,_xlfn.XLOOKUP($A190,'[1]2. Abinitio IF'!$C:$C,'[1]2. Abinitio IF'!$BA:$BA," "), IF(_xlpm.x=0," ",_xlpm.x))</f>
        <v>430512</v>
      </c>
      <c r="F190" s="7" t="str">
        <f>_xlfn.LET(_xlpm.x,_xlfn.XLOOKUP($A190,'[1]2. Abinitio IF'!$C:$C,'[1]2. Abinitio IF'!$BG:$BG," "),IF(_xlpm.x=0," ",_xlpm.x))</f>
        <v>VBRK</v>
      </c>
      <c r="G190" s="20" t="s">
        <v>197</v>
      </c>
      <c r="H190" s="19"/>
      <c r="I190" s="19"/>
      <c r="J190" s="19"/>
      <c r="K190" s="19"/>
      <c r="L190" s="20" t="s">
        <v>232</v>
      </c>
      <c r="M190" s="19"/>
    </row>
    <row r="191" spans="1:13">
      <c r="A191" s="18" t="s">
        <v>233</v>
      </c>
      <c r="B191" s="19" t="s">
        <v>15</v>
      </c>
      <c r="C191" s="19" t="s">
        <v>16</v>
      </c>
      <c r="D191" s="7" t="str">
        <f>_xlfn.LET(_xlpm.x,_xlfn.XLOOKUP(A191,'[1]2. Abinitio IF'!$C:$C,'[1]2. Abinitio IF'!$AY:$AY," "), IF(_xlpm.x=0," ",_xlpm.x))</f>
        <v>Master</v>
      </c>
      <c r="E191" s="8">
        <f>_xlfn.LET(_xlpm.x,_xlfn.XLOOKUP($A191,'[1]2. Abinitio IF'!$C:$C,'[1]2. Abinitio IF'!$BA:$BA," "), IF(_xlpm.x=0," ",_xlpm.x))</f>
        <v>388678</v>
      </c>
      <c r="F191" s="7" t="str">
        <f>_xlfn.LET(_xlpm.x,_xlfn.XLOOKUP($A191,'[1]2. Abinitio IF'!$C:$C,'[1]2. Abinitio IF'!$BG:$BG," "),IF(_xlpm.x=0," ",_xlpm.x))</f>
        <v>KNA1, join KNVV, join /CCEJ/TZKTSD0023
SALESREPORT."ccbji.zj_sales.salesreport.md.data_load_view::ABI_v_c1_sr_customer_new"</v>
      </c>
      <c r="G191" s="20"/>
      <c r="H191" s="19"/>
      <c r="I191" s="19"/>
      <c r="J191" s="19"/>
      <c r="K191" s="19"/>
      <c r="L191" s="20"/>
      <c r="M191" s="19"/>
    </row>
    <row r="192" spans="1:13" ht="39">
      <c r="A192" s="18" t="s">
        <v>234</v>
      </c>
      <c r="B192" s="19" t="s">
        <v>235</v>
      </c>
      <c r="C192" s="19"/>
      <c r="D192" s="7" t="str">
        <f>_xlfn.LET(_xlpm.x,_xlfn.XLOOKUP(A192,'[1]2. Abinitio IF'!$C:$C,'[1]2. Abinitio IF'!$AY:$AY," "), IF(_xlpm.x=0," ",_xlpm.x))</f>
        <v>Master</v>
      </c>
      <c r="E192" s="8">
        <f>_xlfn.LET(_xlpm.x,_xlfn.XLOOKUP($A192,'[1]2. Abinitio IF'!$C:$C,'[1]2. Abinitio IF'!$BA:$BA," "), IF(_xlpm.x=0," ",_xlpm.x))</f>
        <v>359117</v>
      </c>
      <c r="F192" s="7" t="str">
        <f>_xlfn.LET(_xlpm.x,_xlfn.XLOOKUP($A192,'[1]2. Abinitio IF'!$C:$C,'[1]2. Abinitio IF'!$BG:$BG," "),IF(_xlpm.x=0," ",_xlpm.x))</f>
        <v>STAS</v>
      </c>
      <c r="G192" s="20"/>
      <c r="H192" s="19"/>
      <c r="I192" s="19"/>
      <c r="J192" s="19"/>
      <c r="K192" s="19"/>
      <c r="L192" s="20" t="s">
        <v>236</v>
      </c>
      <c r="M192" s="19"/>
    </row>
    <row r="193" spans="1:13" ht="39">
      <c r="A193" s="18" t="s">
        <v>237</v>
      </c>
      <c r="B193" s="19" t="s">
        <v>235</v>
      </c>
      <c r="C193" s="19"/>
      <c r="D193" s="7" t="str">
        <f>_xlfn.LET(_xlpm.x,_xlfn.XLOOKUP(A193,'[1]2. Abinitio IF'!$C:$C,'[1]2. Abinitio IF'!$AY:$AY," "), IF(_xlpm.x=0," ",_xlpm.x))</f>
        <v>Master</v>
      </c>
      <c r="E193" s="8">
        <f>_xlfn.LET(_xlpm.x,_xlfn.XLOOKUP($A193,'[1]2. Abinitio IF'!$C:$C,'[1]2. Abinitio IF'!$BA:$BA," "), IF(_xlpm.x=0," ",_xlpm.x))</f>
        <v>353320</v>
      </c>
      <c r="F193" s="7" t="str">
        <f>_xlfn.LET(_xlpm.x,_xlfn.XLOOKUP($A193,'[1]2. Abinitio IF'!$C:$C,'[1]2. Abinitio IF'!$BG:$BG," "),IF(_xlpm.x=0," ",_xlpm.x))</f>
        <v>STPO</v>
      </c>
      <c r="G193" s="20"/>
      <c r="H193" s="19"/>
      <c r="I193" s="19"/>
      <c r="J193" s="19"/>
      <c r="K193" s="19"/>
      <c r="L193" s="20" t="s">
        <v>238</v>
      </c>
      <c r="M193" s="19"/>
    </row>
    <row r="194" spans="1:13" ht="156">
      <c r="A194" s="18" t="s">
        <v>239</v>
      </c>
      <c r="B194" s="21" t="s">
        <v>15</v>
      </c>
      <c r="C194" s="19" t="s">
        <v>16</v>
      </c>
      <c r="D194" s="7" t="str">
        <f>_xlfn.LET(_xlpm.x,_xlfn.XLOOKUP(A194,'[1]2. Abinitio IF'!$C:$C,'[1]2. Abinitio IF'!$AY:$AY," "), IF(_xlpm.x=0," ",_xlpm.x))</f>
        <v>Master</v>
      </c>
      <c r="E194" s="8">
        <f>_xlfn.LET(_xlpm.x,_xlfn.XLOOKUP($A194,'[1]2. Abinitio IF'!$C:$C,'[1]2. Abinitio IF'!$BA:$BA," "), IF(_xlpm.x=0," ",_xlpm.x))</f>
        <v>327953</v>
      </c>
      <c r="F194" s="7" t="str">
        <f>_xlfn.LET(_xlpm.x,_xlfn.XLOOKUP($A194,'[1]2. Abinitio IF'!$C:$C,'[1]2. Abinitio IF'!$BG:$BG," "),IF(_xlpm.x=0," ",_xlpm.x))</f>
        <v>LIKP</v>
      </c>
      <c r="G194" s="20"/>
      <c r="H194" s="19"/>
      <c r="I194" s="19"/>
      <c r="J194" s="19"/>
      <c r="K194" s="19"/>
      <c r="L194" s="20" t="s">
        <v>240</v>
      </c>
      <c r="M194" s="19"/>
    </row>
    <row r="195" spans="1:13" ht="117.75" customHeight="1">
      <c r="A195" s="18" t="s">
        <v>241</v>
      </c>
      <c r="B195" s="21" t="s">
        <v>76</v>
      </c>
      <c r="C195" s="19" t="s">
        <v>77</v>
      </c>
      <c r="D195" s="7" t="str">
        <f>_xlfn.LET(_xlpm.x,_xlfn.XLOOKUP(A195,'[1]2. Abinitio IF'!$C:$C,'[1]2. Abinitio IF'!$AY:$AY," "), IF(_xlpm.x=0," ",_xlpm.x))</f>
        <v>Master</v>
      </c>
      <c r="E195" s="8">
        <f>_xlfn.LET(_xlpm.x,_xlfn.XLOOKUP($A195,'[1]2. Abinitio IF'!$C:$C,'[1]2. Abinitio IF'!$BA:$BA," "), IF(_xlpm.x=0," ",_xlpm.x))</f>
        <v>315575</v>
      </c>
      <c r="F195" s="7" t="str">
        <f>_xlfn.LET(_xlpm.x,_xlfn.XLOOKUP($A195,'[1]2. Abinitio IF'!$C:$C,'[1]2. Abinitio IF'!$BG:$BG," "),IF(_xlpm.x=0," ",_xlpm.x))</f>
        <v>MKPF</v>
      </c>
      <c r="G195" s="20" t="s">
        <v>242</v>
      </c>
      <c r="H195" s="19"/>
      <c r="I195" s="19"/>
      <c r="J195" s="19"/>
      <c r="K195" s="19" t="s">
        <v>198</v>
      </c>
      <c r="L195" s="20" t="s">
        <v>243</v>
      </c>
      <c r="M195" s="19"/>
    </row>
    <row r="196" spans="1:13" ht="43.5">
      <c r="A196" s="18" t="s">
        <v>244</v>
      </c>
      <c r="B196" s="19" t="s">
        <v>218</v>
      </c>
      <c r="C196" s="19" t="s">
        <v>219</v>
      </c>
      <c r="D196" s="7" t="str">
        <f>_xlfn.LET(_xlpm.x,_xlfn.XLOOKUP(A196,'[1]2. Abinitio IF'!$C:$C,'[1]2. Abinitio IF'!$AY:$AY," "), IF(_xlpm.x=0," ",_xlpm.x))</f>
        <v>Master</v>
      </c>
      <c r="E196" s="8">
        <f>_xlfn.LET(_xlpm.x,_xlfn.XLOOKUP($A196,'[1]2. Abinitio IF'!$C:$C,'[1]2. Abinitio IF'!$BA:$BA," "), IF(_xlpm.x=0," ",_xlpm.x))</f>
        <v>201532</v>
      </c>
      <c r="F196" s="7" t="str">
        <f>_xlfn.LET(_xlpm.x,_xlfn.XLOOKUP($A196,'[1]2. Abinitio IF'!$C:$C,'[1]2. Abinitio IF'!$BG:$BG," "),IF(_xlpm.x=0," ",_xlpm.x))</f>
        <v>/CCEJ/TZKTFI0092</v>
      </c>
      <c r="G196" s="20"/>
      <c r="H196" s="19"/>
      <c r="I196" s="19"/>
      <c r="J196" s="19"/>
      <c r="K196" s="19"/>
      <c r="L196" s="28" t="s">
        <v>245</v>
      </c>
      <c r="M196" s="19"/>
    </row>
    <row r="197" spans="1:13" ht="43.5">
      <c r="A197" s="18" t="s">
        <v>246</v>
      </c>
      <c r="B197" s="19" t="s">
        <v>218</v>
      </c>
      <c r="C197" s="19" t="s">
        <v>219</v>
      </c>
      <c r="D197" s="7" t="str">
        <f>_xlfn.LET(_xlpm.x,_xlfn.XLOOKUP(A197,'[1]2. Abinitio IF'!$C:$C,'[1]2. Abinitio IF'!$AY:$AY," "), IF(_xlpm.x=0," ",_xlpm.x))</f>
        <v>Master</v>
      </c>
      <c r="E197" s="8">
        <f>_xlfn.LET(_xlpm.x,_xlfn.XLOOKUP($A197,'[1]2. Abinitio IF'!$C:$C,'[1]2. Abinitio IF'!$BA:$BA," "), IF(_xlpm.x=0," ",_xlpm.x))</f>
        <v>201532</v>
      </c>
      <c r="F197" s="7" t="str">
        <f>_xlfn.LET(_xlpm.x,_xlfn.XLOOKUP($A197,'[1]2. Abinitio IF'!$C:$C,'[1]2. Abinitio IF'!$BG:$BG," "),IF(_xlpm.x=0," ",_xlpm.x))</f>
        <v>/CCEJ/TZKTFI0091</v>
      </c>
      <c r="G197" s="20"/>
      <c r="H197" s="19"/>
      <c r="I197" s="19"/>
      <c r="J197" s="19"/>
      <c r="K197" s="19"/>
      <c r="L197" s="28" t="s">
        <v>247</v>
      </c>
      <c r="M197" s="19"/>
    </row>
    <row r="198" spans="1:13" ht="14.45">
      <c r="A198" s="18" t="s">
        <v>248</v>
      </c>
      <c r="B198" s="19" t="s">
        <v>15</v>
      </c>
      <c r="C198" s="19" t="s">
        <v>16</v>
      </c>
      <c r="D198" s="7" t="str">
        <f>_xlfn.LET(_xlpm.x,_xlfn.XLOOKUP(A198,'[1]2. Abinitio IF'!$C:$C,'[1]2. Abinitio IF'!$AY:$AY," "), IF(_xlpm.x=0," ",_xlpm.x))</f>
        <v>Transactional</v>
      </c>
      <c r="E198" s="8">
        <f>_xlfn.LET(_xlpm.x,_xlfn.XLOOKUP($A198,'[1]2. Abinitio IF'!$C:$C,'[1]2. Abinitio IF'!$BA:$BA," "), IF(_xlpm.x=0," ",_xlpm.x))</f>
        <v>200000</v>
      </c>
      <c r="F198" s="7" t="str">
        <f>_xlfn.LET(_xlpm.x,_xlfn.XLOOKUP($A198,'[1]2. Abinitio IF'!$C:$C,'[1]2. Abinitio IF'!$BG:$BG," "),IF(_xlpm.x=0," ",_xlpm.x))</f>
        <v xml:space="preserve"> </v>
      </c>
      <c r="G198" s="20"/>
      <c r="H198" s="19"/>
      <c r="I198" s="19"/>
      <c r="J198" s="19"/>
      <c r="K198" s="19"/>
      <c r="L198"/>
      <c r="M198" s="19"/>
    </row>
    <row r="199" spans="1:13" ht="14.45">
      <c r="A199" s="18" t="s">
        <v>249</v>
      </c>
      <c r="B199" s="19" t="s">
        <v>222</v>
      </c>
      <c r="C199" s="19" t="s">
        <v>223</v>
      </c>
      <c r="D199" s="7" t="str">
        <f>_xlfn.LET(_xlpm.x,_xlfn.XLOOKUP(A199,'[1]2. Abinitio IF'!$C:$C,'[1]2. Abinitio IF'!$AY:$AY," "), IF(_xlpm.x=0," ",_xlpm.x))</f>
        <v>Master</v>
      </c>
      <c r="E199" s="8">
        <f>_xlfn.LET(_xlpm.x,_xlfn.XLOOKUP($A199,'[1]2. Abinitio IF'!$C:$C,'[1]2. Abinitio IF'!$BA:$BA," "), IF(_xlpm.x=0," ",_xlpm.x))</f>
        <v>177328</v>
      </c>
      <c r="F199" s="7" t="str">
        <f>_xlfn.LET(_xlpm.x,_xlfn.XLOOKUP($A199,'[1]2. Abinitio IF'!$C:$C,'[1]2. Abinitio IF'!$BG:$BG," "),IF(_xlpm.x=0," ",_xlpm.x))</f>
        <v>PLAS</v>
      </c>
      <c r="G199" s="20"/>
      <c r="H199" s="19"/>
      <c r="I199" s="19"/>
      <c r="J199" s="19"/>
      <c r="K199" s="19"/>
      <c r="L199" t="s">
        <v>250</v>
      </c>
      <c r="M199" s="19"/>
    </row>
    <row r="200" spans="1:13" ht="26.1">
      <c r="A200" s="18" t="s">
        <v>251</v>
      </c>
      <c r="B200" s="19" t="s">
        <v>222</v>
      </c>
      <c r="C200" s="19" t="s">
        <v>223</v>
      </c>
      <c r="D200" s="7" t="str">
        <f>_xlfn.LET(_xlpm.x,_xlfn.XLOOKUP(A200,'[1]2. Abinitio IF'!$C:$C,'[1]2. Abinitio IF'!$AY:$AY," "), IF(_xlpm.x=0," ",_xlpm.x))</f>
        <v>Master</v>
      </c>
      <c r="E200" s="8">
        <f>_xlfn.LET(_xlpm.x,_xlfn.XLOOKUP($A200,'[1]2. Abinitio IF'!$C:$C,'[1]2. Abinitio IF'!$BA:$BA," "), IF(_xlpm.x=0," ",_xlpm.x))</f>
        <v>177033</v>
      </c>
      <c r="F200" s="7" t="str">
        <f>_xlfn.LET(_xlpm.x,_xlfn.XLOOKUP($A200,'[1]2. Abinitio IF'!$C:$C,'[1]2. Abinitio IF'!$BG:$BG," "),IF(_xlpm.x=0," ",_xlpm.x))</f>
        <v>PLPO</v>
      </c>
      <c r="G200" s="20"/>
      <c r="H200" s="19"/>
      <c r="I200" s="19"/>
      <c r="J200" s="19"/>
      <c r="K200" s="19"/>
      <c r="L200" s="20" t="s">
        <v>252</v>
      </c>
      <c r="M200" s="19"/>
    </row>
    <row r="201" spans="1:13" ht="158.25" customHeight="1">
      <c r="A201" s="22" t="s">
        <v>253</v>
      </c>
      <c r="B201" s="19" t="s">
        <v>15</v>
      </c>
      <c r="C201" s="19" t="s">
        <v>16</v>
      </c>
      <c r="D201" s="7" t="str">
        <f>_xlfn.LET(_xlpm.x,_xlfn.XLOOKUP(A201,'[1]2. Abinitio IF'!$C:$C,'[1]2. Abinitio IF'!$AY:$AY," "), IF(_xlpm.x=0," ",_xlpm.x))</f>
        <v>Transactional</v>
      </c>
      <c r="E201" s="8">
        <f>_xlfn.LET(_xlpm.x,_xlfn.XLOOKUP($A201,'[1]2. Abinitio IF'!$C:$C,'[1]2. Abinitio IF'!$BA:$BA," "), IF(_xlpm.x=0," ",_xlpm.x))</f>
        <v>127752</v>
      </c>
      <c r="F201" s="7" t="str">
        <f>_xlfn.LET(_xlpm.x,_xlfn.XLOOKUP($A201,'[1]2. Abinitio IF'!$C:$C,'[1]2. Abinitio IF'!$BG:$BG," "),IF(_xlpm.x=0," ",_xlpm.x))</f>
        <v>VBRK, join VBRP, join VBAK, join VBPA</v>
      </c>
      <c r="G201" s="20" t="s">
        <v>254</v>
      </c>
      <c r="H201" s="19"/>
      <c r="I201" s="19"/>
      <c r="J201" s="19"/>
      <c r="K201" s="19"/>
      <c r="L201" s="20" t="s">
        <v>255</v>
      </c>
      <c r="M201" s="19"/>
    </row>
    <row r="202" spans="1:13">
      <c r="A202" s="17" t="s">
        <v>256</v>
      </c>
      <c r="B202" s="9" t="s">
        <v>76</v>
      </c>
      <c r="C202" s="7" t="s">
        <v>77</v>
      </c>
      <c r="D202" s="7" t="str">
        <f>_xlfn.LET(_xlpm.x,_xlfn.XLOOKUP(A202,'[1]2. Abinitio IF'!$C:$C,'[1]2. Abinitio IF'!$AY:$AY," "), IF(_xlpm.x=0," ",_xlpm.x))</f>
        <v>Master</v>
      </c>
      <c r="E202" s="8">
        <f>_xlfn.LET(_xlpm.x,_xlfn.XLOOKUP($A202,'[1]2. Abinitio IF'!$C:$C,'[1]2. Abinitio IF'!$BA:$BA," "), IF(_xlpm.x=0," ",_xlpm.x))</f>
        <v>90823</v>
      </c>
      <c r="F202" s="7" t="str">
        <f>_xlfn.LET(_xlpm.x,_xlfn.XLOOKUP($A202,'[1]2. Abinitio IF'!$C:$C,'[1]2. Abinitio IF'!$BG:$BG," "),IF(_xlpm.x=0," ",_xlpm.x))</f>
        <v>EBAN</v>
      </c>
      <c r="G202" s="7" t="s">
        <v>197</v>
      </c>
      <c r="L202" s="7"/>
    </row>
    <row r="203" spans="1:13">
      <c r="A203" s="5" t="s">
        <v>257</v>
      </c>
      <c r="B203" s="7" t="s">
        <v>235</v>
      </c>
      <c r="D203" s="7" t="str">
        <f>_xlfn.LET(_xlpm.x,_xlfn.XLOOKUP(A203,'[1]2. Abinitio IF'!$C:$C,'[1]2. Abinitio IF'!$AY:$AY," "), IF(_xlpm.x=0," ",_xlpm.x))</f>
        <v>Master</v>
      </c>
      <c r="E203" s="8">
        <f>_xlfn.LET(_xlpm.x,_xlfn.XLOOKUP($A203,'[1]2. Abinitio IF'!$C:$C,'[1]2. Abinitio IF'!$BA:$BA," "), IF(_xlpm.x=0," ",_xlpm.x))</f>
        <v>72806</v>
      </c>
      <c r="F203" s="7" t="str">
        <f>_xlfn.LET(_xlpm.x,_xlfn.XLOOKUP($A203,'[1]2. Abinitio IF'!$C:$C,'[1]2. Abinitio IF'!$BG:$BG," "),IF(_xlpm.x=0," ",_xlpm.x))</f>
        <v>STKO</v>
      </c>
      <c r="G203" s="7"/>
      <c r="L203" s="7" t="s">
        <v>258</v>
      </c>
      <c r="M203" s="7" t="s">
        <v>259</v>
      </c>
    </row>
    <row r="204" spans="1:13">
      <c r="A204" s="5" t="s">
        <v>260</v>
      </c>
      <c r="B204" s="9" t="s">
        <v>76</v>
      </c>
      <c r="C204" s="7" t="s">
        <v>77</v>
      </c>
      <c r="D204" s="7" t="str">
        <f>_xlfn.LET(_xlpm.x,_xlfn.XLOOKUP(A204,'[1]2. Abinitio IF'!$C:$C,'[1]2. Abinitio IF'!$AY:$AY," "), IF(_xlpm.x=0," ",_xlpm.x))</f>
        <v>Master</v>
      </c>
      <c r="E204" s="8">
        <f>_xlfn.LET(_xlpm.x,_xlfn.XLOOKUP($A204,'[1]2. Abinitio IF'!$C:$C,'[1]2. Abinitio IF'!$BA:$BA," "), IF(_xlpm.x=0," ",_xlpm.x))</f>
        <v>71670</v>
      </c>
      <c r="F204" s="7" t="str">
        <f>_xlfn.LET(_xlpm.x,_xlfn.XLOOKUP($A204,'[1]2. Abinitio IF'!$C:$C,'[1]2. Abinitio IF'!$BG:$BG," "),IF(_xlpm.x=0," ",_xlpm.x))</f>
        <v>EKPO</v>
      </c>
      <c r="G204" s="7" t="s">
        <v>197</v>
      </c>
      <c r="L204" s="7"/>
    </row>
    <row r="205" spans="1:13">
      <c r="A205" s="5" t="s">
        <v>261</v>
      </c>
      <c r="B205" s="7" t="s">
        <v>235</v>
      </c>
      <c r="D205" s="7" t="str">
        <f>_xlfn.LET(_xlpm.x,_xlfn.XLOOKUP(A205,'[1]2. Abinitio IF'!$C:$C,'[1]2. Abinitio IF'!$AY:$AY," "), IF(_xlpm.x=0," ",_xlpm.x))</f>
        <v>Master</v>
      </c>
      <c r="E205" s="8">
        <f>_xlfn.LET(_xlpm.x,_xlfn.XLOOKUP($A205,'[1]2. Abinitio IF'!$C:$C,'[1]2. Abinitio IF'!$BA:$BA," "), IF(_xlpm.x=0," ",_xlpm.x))</f>
        <v>70581</v>
      </c>
      <c r="F205" s="7" t="str">
        <f>_xlfn.LET(_xlpm.x,_xlfn.XLOOKUP($A205,'[1]2. Abinitio IF'!$C:$C,'[1]2. Abinitio IF'!$BG:$BG," "),IF(_xlpm.x=0," ",_xlpm.x))</f>
        <v>MAST</v>
      </c>
      <c r="G205" s="7"/>
      <c r="L205" s="7"/>
    </row>
    <row r="206" spans="1:13">
      <c r="A206" s="5" t="s">
        <v>262</v>
      </c>
      <c r="B206" s="7" t="s">
        <v>15</v>
      </c>
      <c r="C206" s="7" t="s">
        <v>16</v>
      </c>
      <c r="D206" s="7" t="str">
        <f>_xlfn.LET(_xlpm.x,_xlfn.XLOOKUP(A206,'[1]2. Abinitio IF'!$C:$C,'[1]2. Abinitio IF'!$AY:$AY," "), IF(_xlpm.x=0," ",_xlpm.x))</f>
        <v>Transactional</v>
      </c>
      <c r="E206" s="8">
        <f>_xlfn.LET(_xlpm.x,_xlfn.XLOOKUP($A206,'[1]2. Abinitio IF'!$C:$C,'[1]2. Abinitio IF'!$BA:$BA," "), IF(_xlpm.x=0," ",_xlpm.x))</f>
        <v>68853</v>
      </c>
      <c r="F206" s="7" t="str">
        <f>_xlfn.LET(_xlpm.x,_xlfn.XLOOKUP($A206,'[1]2. Abinitio IF'!$C:$C,'[1]2. Abinitio IF'!$BG:$BG," "),IF(_xlpm.x=0," ",_xlpm.x))</f>
        <v>EDIDC/EDID4
BasicType=ORDERS05
Extension=/CCEJ/ORDERS05_01
MsgType=/CCEJ/OTC_ORDRSP</v>
      </c>
      <c r="G206" s="7"/>
      <c r="L206" s="7" t="s">
        <v>263</v>
      </c>
    </row>
    <row r="207" spans="1:13">
      <c r="A207" s="16" t="s">
        <v>264</v>
      </c>
      <c r="B207" s="7" t="s">
        <v>76</v>
      </c>
      <c r="D207" s="7" t="str">
        <f>_xlfn.LET(_xlpm.x,_xlfn.XLOOKUP(A207,'[1]2. Abinitio IF'!$C:$C,'[1]2. Abinitio IF'!$AY:$AY," "), IF(_xlpm.x=0," ",_xlpm.x))</f>
        <v>Transactional</v>
      </c>
      <c r="E207" s="8">
        <f>_xlfn.LET(_xlpm.x,_xlfn.XLOOKUP($A207,'[1]2. Abinitio IF'!$C:$C,'[1]2. Abinitio IF'!$BA:$BA," "), IF(_xlpm.x=0," ",_xlpm.x))</f>
        <v>48973</v>
      </c>
      <c r="F207" s="7" t="str">
        <f>_xlfn.LET(_xlpm.x,_xlfn.XLOOKUP($A207,'[1]2. Abinitio IF'!$C:$C,'[1]2. Abinitio IF'!$BG:$BG," "),IF(_xlpm.x=0," ",_xlpm.x))</f>
        <v>MARA, join MAKT, join MARM, join MLAN
SALESREPORT."ccbji.zj_sales.salesreport.md.data_load_view::ABI_v_c1_sr_material_new"</v>
      </c>
      <c r="G207" s="7"/>
      <c r="L207" s="7" t="s">
        <v>258</v>
      </c>
      <c r="M207" s="7" t="s">
        <v>265</v>
      </c>
    </row>
    <row r="208" spans="1:13" ht="51.95">
      <c r="A208" s="23" t="s">
        <v>266</v>
      </c>
      <c r="B208" s="24" t="s">
        <v>222</v>
      </c>
      <c r="C208" s="24" t="s">
        <v>223</v>
      </c>
      <c r="D208" s="7" t="str">
        <f>_xlfn.LET(_xlpm.x,_xlfn.XLOOKUP(A208,'[1]2. Abinitio IF'!$C:$C,'[1]2. Abinitio IF'!$AY:$AY," "), IF(_xlpm.x=0," ",_xlpm.x))</f>
        <v>Master</v>
      </c>
      <c r="E208" s="8">
        <f>_xlfn.LET(_xlpm.x,_xlfn.XLOOKUP($A208,'[1]2. Abinitio IF'!$C:$C,'[1]2. Abinitio IF'!$BA:$BA," "), IF(_xlpm.x=0," ",_xlpm.x))</f>
        <v>46854</v>
      </c>
      <c r="F208" s="7" t="str">
        <f>_xlfn.LET(_xlpm.x,_xlfn.XLOOKUP($A208,'[1]2. Abinitio IF'!$C:$C,'[1]2. Abinitio IF'!$BG:$BG," "),IF(_xlpm.x=0," ",_xlpm.x))</f>
        <v>PLKO</v>
      </c>
      <c r="G208" s="24"/>
      <c r="H208" s="24"/>
      <c r="I208" s="24"/>
      <c r="J208" s="24"/>
      <c r="K208" s="24"/>
      <c r="L208" s="25" t="s">
        <v>267</v>
      </c>
      <c r="M208" s="25" t="s">
        <v>268</v>
      </c>
    </row>
    <row r="209" spans="1:13">
      <c r="A209" s="17" t="s">
        <v>269</v>
      </c>
      <c r="B209" s="9" t="s">
        <v>15</v>
      </c>
      <c r="C209" s="7" t="s">
        <v>16</v>
      </c>
      <c r="D209" s="7" t="str">
        <f>_xlfn.LET(_xlpm.x,_xlfn.XLOOKUP(A209,'[1]2. Abinitio IF'!$C:$C,'[1]2. Abinitio IF'!$AY:$AY," "), IF(_xlpm.x=0," ",_xlpm.x))</f>
        <v>Transactional</v>
      </c>
      <c r="E209" s="8">
        <f>_xlfn.LET(_xlpm.x,_xlfn.XLOOKUP($A209,'[1]2. Abinitio IF'!$C:$C,'[1]2. Abinitio IF'!$BA:$BA," "), IF(_xlpm.x=0," ",_xlpm.x))</f>
        <v>39013</v>
      </c>
      <c r="F209" s="7" t="str">
        <f>_xlfn.LET(_xlpm.x,_xlfn.XLOOKUP($A209,'[1]2. Abinitio IF'!$C:$C,'[1]2. Abinitio IF'!$BG:$BG," "),IF(_xlpm.x=0," ",_xlpm.x))</f>
        <v>KNA1
SALESREPORT."ccbji.zj_sales.salesreport.md.data_load_view::ABI_v_c1_sr_employee"</v>
      </c>
      <c r="G209" s="7"/>
      <c r="L209" s="7" t="s">
        <v>270</v>
      </c>
      <c r="M209" s="7" t="s">
        <v>271</v>
      </c>
    </row>
    <row r="210" spans="1:13">
      <c r="A210" s="5" t="s">
        <v>272</v>
      </c>
      <c r="B210" s="7" t="s">
        <v>15</v>
      </c>
      <c r="D210" s="7" t="str">
        <f>_xlfn.LET(_xlpm.x,_xlfn.XLOOKUP(A210,'[1]2. Abinitio IF'!$C:$C,'[1]2. Abinitio IF'!$AY:$AY," "), IF(_xlpm.x=0," ",_xlpm.x))</f>
        <v>Transactional</v>
      </c>
      <c r="E210" s="8">
        <f>_xlfn.LET(_xlpm.x,_xlfn.XLOOKUP($A210,'[1]2. Abinitio IF'!$C:$C,'[1]2. Abinitio IF'!$BA:$BA," "), IF(_xlpm.x=0," ",_xlpm.x))</f>
        <v>36517</v>
      </c>
      <c r="F210" s="7" t="str">
        <f>_xlfn.LET(_xlpm.x,_xlfn.XLOOKUP($A210,'[1]2. Abinitio IF'!$C:$C,'[1]2. Abinitio IF'!$BG:$BG," "),IF(_xlpm.x=0," ",_xlpm.x))</f>
        <v>VBRK, VBPA, VBRP,  KNA1, MARA, /CCEJ/TZKTSD0023, MEAN, MVKE, MLGN, MLAN, A002, KNVI, KNOP, MARM</v>
      </c>
      <c r="G210" s="7"/>
      <c r="L210" s="7" t="s">
        <v>258</v>
      </c>
      <c r="M210" s="7" t="s">
        <v>273</v>
      </c>
    </row>
    <row r="211" spans="1:13">
      <c r="A211" s="5" t="s">
        <v>274</v>
      </c>
      <c r="B211" s="7" t="s">
        <v>15</v>
      </c>
      <c r="C211" s="7" t="s">
        <v>16</v>
      </c>
      <c r="D211" s="7" t="str">
        <f>_xlfn.LET(_xlpm.x,_xlfn.XLOOKUP(A211,'[1]2. Abinitio IF'!$C:$C,'[1]2. Abinitio IF'!$AY:$AY," "), IF(_xlpm.x=0," ",_xlpm.x))</f>
        <v>Transactional</v>
      </c>
      <c r="E211" s="8">
        <f>_xlfn.LET(_xlpm.x,_xlfn.XLOOKUP($A211,'[1]2. Abinitio IF'!$C:$C,'[1]2. Abinitio IF'!$BA:$BA," "), IF(_xlpm.x=0," ",_xlpm.x))</f>
        <v>34907</v>
      </c>
      <c r="F211" s="7" t="str">
        <f>_xlfn.LET(_xlpm.x,_xlfn.XLOOKUP($A211,'[1]2. Abinitio IF'!$C:$C,'[1]2. Abinitio IF'!$BG:$BG," "),IF(_xlpm.x=0," ",_xlpm.x))</f>
        <v>EDIDC/EDID4
BasicType=/CCEJ/SD_BL_PROF_IDOC_CCEJ
MsgType=/CCEJ/OTC_BL_PROFORMA_INV</v>
      </c>
      <c r="G211" s="7"/>
      <c r="L211" s="7" t="s">
        <v>258</v>
      </c>
      <c r="M211" s="7" t="s">
        <v>275</v>
      </c>
    </row>
    <row r="212" spans="1:13">
      <c r="A212" s="5" t="s">
        <v>276</v>
      </c>
      <c r="B212" s="7" t="s">
        <v>15</v>
      </c>
      <c r="C212" s="7" t="s">
        <v>16</v>
      </c>
      <c r="D212" s="7" t="str">
        <f>_xlfn.LET(_xlpm.x,_xlfn.XLOOKUP(A212,'[1]2. Abinitio IF'!$C:$C,'[1]2. Abinitio IF'!$AY:$AY," "), IF(_xlpm.x=0," ",_xlpm.x))</f>
        <v>Transactional</v>
      </c>
      <c r="E212" s="8">
        <f>_xlfn.LET(_xlpm.x,_xlfn.XLOOKUP($A212,'[1]2. Abinitio IF'!$C:$C,'[1]2. Abinitio IF'!$BA:$BA," "), IF(_xlpm.x=0," ",_xlpm.x))</f>
        <v>34877</v>
      </c>
      <c r="F212" s="7" t="str">
        <f>_xlfn.LET(_xlpm.x,_xlfn.XLOOKUP($A212,'[1]2. Abinitio IF'!$C:$C,'[1]2. Abinitio IF'!$BG:$BG," "),IF(_xlpm.x=0," ",_xlpm.x))</f>
        <v>EDIDC/EDID4
BasicType=/CCEJ/SD_BL_PROF_IDOC_CCEJ
MsgType=/CCEJ/OTC_BL_PROFORMA_INV</v>
      </c>
      <c r="G212" s="7"/>
      <c r="L212" s="7"/>
    </row>
    <row r="213" spans="1:13">
      <c r="A213" s="5" t="s">
        <v>277</v>
      </c>
      <c r="B213" s="9" t="s">
        <v>15</v>
      </c>
      <c r="C213" s="7" t="s">
        <v>16</v>
      </c>
      <c r="D213" s="7" t="str">
        <f>_xlfn.LET(_xlpm.x,_xlfn.XLOOKUP(A213,'[1]2. Abinitio IF'!$C:$C,'[1]2. Abinitio IF'!$AY:$AY," "), IF(_xlpm.x=0," ",_xlpm.x))</f>
        <v>Master</v>
      </c>
      <c r="E213" s="8">
        <f>_xlfn.LET(_xlpm.x,_xlfn.XLOOKUP($A213,'[1]2. Abinitio IF'!$C:$C,'[1]2. Abinitio IF'!$BA:$BA," "), IF(_xlpm.x=0," ",_xlpm.x))</f>
        <v>31624</v>
      </c>
      <c r="F213" s="7" t="str">
        <f>_xlfn.LET(_xlpm.x,_xlfn.XLOOKUP($A213,'[1]2. Abinitio IF'!$C:$C,'[1]2. Abinitio IF'!$BG:$BG," "),IF(_xlpm.x=0," ",_xlpm.x))</f>
        <v>/CCEJ/TZKTSD0100
/CCEJ/TZKTFI0006
/CCEJ/TZKTSD0035</v>
      </c>
      <c r="G213" s="7"/>
      <c r="L213" s="7"/>
    </row>
    <row r="214" spans="1:13">
      <c r="A214" s="5" t="s">
        <v>278</v>
      </c>
      <c r="B214" s="7" t="s">
        <v>18</v>
      </c>
      <c r="D214" s="7" t="str">
        <f>_xlfn.LET(_xlpm.x,_xlfn.XLOOKUP(A214,'[1]2. Abinitio IF'!$C:$C,'[1]2. Abinitio IF'!$AY:$AY," "), IF(_xlpm.x=0," ",_xlpm.x))</f>
        <v>Transactional</v>
      </c>
      <c r="E214" s="8">
        <f>_xlfn.LET(_xlpm.x,_xlfn.XLOOKUP($A214,'[1]2. Abinitio IF'!$C:$C,'[1]2. Abinitio IF'!$BA:$BA," "), IF(_xlpm.x=0," ",_xlpm.x))</f>
        <v>30334</v>
      </c>
      <c r="F214" s="7" t="str">
        <f>_xlfn.LET(_xlpm.x,_xlfn.XLOOKUP($A214,'[1]2. Abinitio IF'!$C:$C,'[1]2. Abinitio IF'!$BG:$BG," "),IF(_xlpm.x=0," ",_xlpm.x))</f>
        <v>/CCBJI/T_JCTINVR</v>
      </c>
      <c r="G214" s="7"/>
      <c r="L214" s="7"/>
    </row>
    <row r="215" spans="1:13" ht="23.1" customHeight="1">
      <c r="A215" s="5" t="s">
        <v>279</v>
      </c>
      <c r="B215" s="9" t="s">
        <v>24</v>
      </c>
      <c r="C215" s="9" t="s">
        <v>25</v>
      </c>
      <c r="D215" s="7" t="str">
        <f>_xlfn.LET(_xlpm.x,_xlfn.XLOOKUP(A215,'[1]2. Abinitio IF'!$C:$C,'[1]2. Abinitio IF'!$AY:$AY," "), IF(_xlpm.x=0," ",_xlpm.x))</f>
        <v>Master</v>
      </c>
      <c r="E215" s="8">
        <f>_xlfn.LET(_xlpm.x,_xlfn.XLOOKUP($A215,'[1]2. Abinitio IF'!$C:$C,'[1]2. Abinitio IF'!$BA:$BA," "), IF(_xlpm.x=0," ",_xlpm.x))</f>
        <v>30222</v>
      </c>
      <c r="F215" s="7" t="str">
        <f>_xlfn.LET(_xlpm.x,_xlfn.XLOOKUP($A215,'[1]2. Abinitio IF'!$C:$C,'[1]2. Abinitio IF'!$BG:$BG," "),IF(_xlpm.x=0," ",_xlpm.x))</f>
        <v>BSAK</v>
      </c>
      <c r="G215" s="7" t="s">
        <v>26</v>
      </c>
      <c r="L215" s="7" t="s">
        <v>280</v>
      </c>
    </row>
    <row r="216" spans="1:13">
      <c r="A216" s="5" t="s">
        <v>281</v>
      </c>
      <c r="B216" s="7" t="s">
        <v>15</v>
      </c>
      <c r="C216" s="7" t="s">
        <v>16</v>
      </c>
      <c r="D216" s="7" t="str">
        <f>_xlfn.LET(_xlpm.x,_xlfn.XLOOKUP(A216,'[1]2. Abinitio IF'!$C:$C,'[1]2. Abinitio IF'!$AY:$AY," "), IF(_xlpm.x=0," ",_xlpm.x))</f>
        <v xml:space="preserve"> </v>
      </c>
      <c r="E216" s="8">
        <f>_xlfn.LET(_xlpm.x,_xlfn.XLOOKUP($A216,'[1]2. Abinitio IF'!$C:$C,'[1]2. Abinitio IF'!$BA:$BA," "), IF(_xlpm.x=0," ",_xlpm.x))</f>
        <v>29739</v>
      </c>
      <c r="F216" s="7" t="str">
        <f>_xlfn.LET(_xlpm.x,_xlfn.XLOOKUP($A216,'[1]2. Abinitio IF'!$C:$C,'[1]2. Abinitio IF'!$BG:$BG," "),IF(_xlpm.x=0," ",_xlpm.x))</f>
        <v>BasicType=ACC_DOCUMENT03
MsgType=/CCEJ/FI_DOC_POST</v>
      </c>
      <c r="G216" s="7"/>
      <c r="L216" s="7"/>
    </row>
    <row r="217" spans="1:13">
      <c r="A217" s="5" t="s">
        <v>282</v>
      </c>
      <c r="B217" s="7" t="s">
        <v>18</v>
      </c>
      <c r="D217" s="7" t="str">
        <f>_xlfn.LET(_xlpm.x,_xlfn.XLOOKUP(A217,'[1]2. Abinitio IF'!$C:$C,'[1]2. Abinitio IF'!$AY:$AY," "), IF(_xlpm.x=0," ",_xlpm.x))</f>
        <v>Master</v>
      </c>
      <c r="E217" s="8">
        <f>_xlfn.LET(_xlpm.x,_xlfn.XLOOKUP($A217,'[1]2. Abinitio IF'!$C:$C,'[1]2. Abinitio IF'!$BA:$BA," "), IF(_xlpm.x=0," ",_xlpm.x))</f>
        <v>28520</v>
      </c>
      <c r="F217" s="7" t="str">
        <f>_xlfn.LET(_xlpm.x,_xlfn.XLOOKUP($A217,'[1]2. Abinitio IF'!$C:$C,'[1]2. Abinitio IF'!$BG:$BG," "),IF(_xlpm.x=0," ",_xlpm.x))</f>
        <v>ZAPO_WTADDI</v>
      </c>
      <c r="G217" s="7"/>
      <c r="L217" s="7"/>
    </row>
    <row r="218" spans="1:13">
      <c r="A218" s="5" t="s">
        <v>283</v>
      </c>
      <c r="B218" s="7" t="s">
        <v>15</v>
      </c>
      <c r="C218" s="7" t="s">
        <v>16</v>
      </c>
      <c r="D218" s="7" t="str">
        <f>_xlfn.LET(_xlpm.x,_xlfn.XLOOKUP(A218,'[1]2. Abinitio IF'!$C:$C,'[1]2. Abinitio IF'!$AY:$AY," "), IF(_xlpm.x=0," ",_xlpm.x))</f>
        <v>Transactional</v>
      </c>
      <c r="E218" s="8">
        <f>_xlfn.LET(_xlpm.x,_xlfn.XLOOKUP($A218,'[1]2. Abinitio IF'!$C:$C,'[1]2. Abinitio IF'!$BA:$BA," "), IF(_xlpm.x=0," ",_xlpm.x))</f>
        <v>27425</v>
      </c>
      <c r="F218" s="7" t="str">
        <f>_xlfn.LET(_xlpm.x,_xlfn.XLOOKUP($A218,'[1]2. Abinitio IF'!$C:$C,'[1]2. Abinitio IF'!$BG:$BG," "),IF(_xlpm.x=0," ",_xlpm.x))</f>
        <v>BAPI_SALESORDER_SIMULATE</v>
      </c>
      <c r="G218" s="7"/>
      <c r="L218" s="7"/>
    </row>
    <row r="219" spans="1:13">
      <c r="A219" s="5" t="s">
        <v>284</v>
      </c>
      <c r="B219" s="7" t="s">
        <v>24</v>
      </c>
      <c r="D219" s="7" t="str">
        <f>_xlfn.LET(_xlpm.x,_xlfn.XLOOKUP(A219,'[1]2. Abinitio IF'!$C:$C,'[1]2. Abinitio IF'!$AY:$AY," "), IF(_xlpm.x=0," ",_xlpm.x))</f>
        <v>Master</v>
      </c>
      <c r="E219" s="8">
        <f>_xlfn.LET(_xlpm.x,_xlfn.XLOOKUP($A219,'[1]2. Abinitio IF'!$C:$C,'[1]2. Abinitio IF'!$BA:$BA," "), IF(_xlpm.x=0," ",_xlpm.x))</f>
        <v>21832</v>
      </c>
      <c r="F219" s="7" t="str">
        <f>_xlfn.LET(_xlpm.x,_xlfn.XLOOKUP($A219,'[1]2. Abinitio IF'!$C:$C,'[1]2. Abinitio IF'!$BG:$BG," "),IF(_xlpm.x=0," ",_xlpm.x))</f>
        <v>CEPCT</v>
      </c>
      <c r="G219" s="7"/>
      <c r="L219" s="7"/>
    </row>
    <row r="220" spans="1:13">
      <c r="A220" s="5" t="s">
        <v>285</v>
      </c>
      <c r="B220" s="9" t="s">
        <v>76</v>
      </c>
      <c r="C220" s="7" t="s">
        <v>77</v>
      </c>
      <c r="D220" s="7" t="str">
        <f>_xlfn.LET(_xlpm.x,_xlfn.XLOOKUP(A220,'[1]2. Abinitio IF'!$C:$C,'[1]2. Abinitio IF'!$AY:$AY," "), IF(_xlpm.x=0," ",_xlpm.x))</f>
        <v>Master</v>
      </c>
      <c r="E220" s="8">
        <f>_xlfn.LET(_xlpm.x,_xlfn.XLOOKUP($A220,'[1]2. Abinitio IF'!$C:$C,'[1]2. Abinitio IF'!$BA:$BA," "), IF(_xlpm.x=0," ",_xlpm.x))</f>
        <v>17091</v>
      </c>
      <c r="F220" s="7" t="str">
        <f>_xlfn.LET(_xlpm.x,_xlfn.XLOOKUP($A220,'[1]2. Abinitio IF'!$C:$C,'[1]2. Abinitio IF'!$BG:$BG," "),IF(_xlpm.x=0," ",_xlpm.x))</f>
        <v>RSEG</v>
      </c>
      <c r="G220" s="7" t="s">
        <v>197</v>
      </c>
      <c r="L220" s="7"/>
    </row>
    <row r="221" spans="1:13">
      <c r="A221" s="5" t="s">
        <v>286</v>
      </c>
      <c r="B221" s="9" t="s">
        <v>76</v>
      </c>
      <c r="C221" s="7" t="s">
        <v>77</v>
      </c>
      <c r="D221" s="7" t="str">
        <f>_xlfn.LET(_xlpm.x,_xlfn.XLOOKUP(A221,'[1]2. Abinitio IF'!$C:$C,'[1]2. Abinitio IF'!$AY:$AY," "), IF(_xlpm.x=0," ",_xlpm.x))</f>
        <v>Master</v>
      </c>
      <c r="E221" s="8">
        <f>_xlfn.LET(_xlpm.x,_xlfn.XLOOKUP($A221,'[1]2. Abinitio IF'!$C:$C,'[1]2. Abinitio IF'!$BA:$BA," "), IF(_xlpm.x=0," ",_xlpm.x))</f>
        <v>15496</v>
      </c>
      <c r="F221" s="7" t="str">
        <f>_xlfn.LET(_xlpm.x,_xlfn.XLOOKUP($A221,'[1]2. Abinitio IF'!$C:$C,'[1]2. Abinitio IF'!$BG:$BG," "),IF(_xlpm.x=0," ",_xlpm.x))</f>
        <v>EKKO</v>
      </c>
      <c r="G221" s="7" t="s">
        <v>197</v>
      </c>
      <c r="L221" s="7"/>
    </row>
    <row r="222" spans="1:13">
      <c r="A222" s="5" t="s">
        <v>287</v>
      </c>
      <c r="B222" s="7" t="s">
        <v>288</v>
      </c>
      <c r="D222" s="7" t="str">
        <f>_xlfn.LET(_xlpm.x,_xlfn.XLOOKUP(A222,'[1]2. Abinitio IF'!$C:$C,'[1]2. Abinitio IF'!$AY:$AY," "), IF(_xlpm.x=0," ",_xlpm.x))</f>
        <v>Master</v>
      </c>
      <c r="E222" s="8">
        <f>_xlfn.LET(_xlpm.x,_xlfn.XLOOKUP($A222,'[1]2. Abinitio IF'!$C:$C,'[1]2. Abinitio IF'!$BA:$BA," "), IF(_xlpm.x=0," ",_xlpm.x))</f>
        <v>14358</v>
      </c>
      <c r="F222" s="7" t="str">
        <f>_xlfn.LET(_xlpm.x,_xlfn.XLOOKUP($A222,'[1]2. Abinitio IF'!$C:$C,'[1]2. Abinitio IF'!$BG:$BG," "),IF(_xlpm.x=0," ",_xlpm.x))</f>
        <v>PRPS</v>
      </c>
      <c r="G222" s="7"/>
      <c r="L222" s="7"/>
    </row>
    <row r="223" spans="1:13">
      <c r="A223" s="5" t="s">
        <v>289</v>
      </c>
      <c r="B223" s="7" t="s">
        <v>15</v>
      </c>
      <c r="C223" s="7" t="s">
        <v>16</v>
      </c>
      <c r="D223" s="7" t="str">
        <f>_xlfn.LET(_xlpm.x,_xlfn.XLOOKUP(A223,'[1]2. Abinitio IF'!$C:$C,'[1]2. Abinitio IF'!$AY:$AY," "), IF(_xlpm.x=0," ",_xlpm.x))</f>
        <v xml:space="preserve"> </v>
      </c>
      <c r="E223" s="8">
        <f>_xlfn.LET(_xlpm.x,_xlfn.XLOOKUP($A223,'[1]2. Abinitio IF'!$C:$C,'[1]2. Abinitio IF'!$BA:$BA," "), IF(_xlpm.x=0," ",_xlpm.x))</f>
        <v>14192</v>
      </c>
      <c r="F223" s="7" t="str">
        <f>_xlfn.LET(_xlpm.x,_xlfn.XLOOKUP($A223,'[1]2. Abinitio IF'!$C:$C,'[1]2. Abinitio IF'!$BG:$BG," "),IF(_xlpm.x=0," ",_xlpm.x))</f>
        <v>KNA1</v>
      </c>
      <c r="G223" s="7" t="s">
        <v>290</v>
      </c>
      <c r="L223" s="7"/>
    </row>
    <row r="224" spans="1:13">
      <c r="A224" s="5" t="s">
        <v>291</v>
      </c>
      <c r="B224" s="7" t="s">
        <v>15</v>
      </c>
      <c r="C224" s="7" t="s">
        <v>16</v>
      </c>
      <c r="D224" s="7" t="str">
        <f>_xlfn.LET(_xlpm.x,_xlfn.XLOOKUP(A224,'[1]2. Abinitio IF'!$C:$C,'[1]2. Abinitio IF'!$AY:$AY," "), IF(_xlpm.x=0," ",_xlpm.x))</f>
        <v xml:space="preserve"> </v>
      </c>
      <c r="E224" s="8">
        <f>_xlfn.LET(_xlpm.x,_xlfn.XLOOKUP($A224,'[1]2. Abinitio IF'!$C:$C,'[1]2. Abinitio IF'!$BA:$BA," "), IF(_xlpm.x=0," ",_xlpm.x))</f>
        <v>14192</v>
      </c>
      <c r="F224" s="7" t="str">
        <f>_xlfn.LET(_xlpm.x,_xlfn.XLOOKUP($A224,'[1]2. Abinitio IF'!$C:$C,'[1]2. Abinitio IF'!$BG:$BG," "),IF(_xlpm.x=0," ",_xlpm.x))</f>
        <v>MLAN</v>
      </c>
      <c r="G224" s="7" t="s">
        <v>292</v>
      </c>
      <c r="L224" s="7"/>
    </row>
    <row r="225" spans="1:13">
      <c r="A225" s="16" t="s">
        <v>293</v>
      </c>
      <c r="B225" s="7" t="s">
        <v>15</v>
      </c>
      <c r="C225" s="7" t="s">
        <v>16</v>
      </c>
      <c r="D225" s="7" t="str">
        <f>_xlfn.LET(_xlpm.x,_xlfn.XLOOKUP(A225,'[1]2. Abinitio IF'!$C:$C,'[1]2. Abinitio IF'!$AY:$AY," "), IF(_xlpm.x=0," ",_xlpm.x))</f>
        <v xml:space="preserve"> </v>
      </c>
      <c r="E225" s="8">
        <f>_xlfn.LET(_xlpm.x,_xlfn.XLOOKUP($A225,'[1]2. Abinitio IF'!$C:$C,'[1]2. Abinitio IF'!$BA:$BA," "), IF(_xlpm.x=0," ",_xlpm.x))</f>
        <v>14192</v>
      </c>
      <c r="F225" s="7" t="str">
        <f>_xlfn.LET(_xlpm.x,_xlfn.XLOOKUP($A225,'[1]2. Abinitio IF'!$C:$C,'[1]2. Abinitio IF'!$BG:$BG," "),IF(_xlpm.x=0," ",_xlpm.x))</f>
        <v>BasicType=/CCEJ/VMINGREDIENT01
MsgType=/CCEJ/VMINGREDIENT</v>
      </c>
      <c r="G225" s="7"/>
      <c r="L225" s="7"/>
    </row>
    <row r="226" spans="1:13" ht="51.95">
      <c r="A226" s="23" t="s">
        <v>294</v>
      </c>
      <c r="B226" s="24" t="s">
        <v>222</v>
      </c>
      <c r="C226" s="24" t="s">
        <v>223</v>
      </c>
      <c r="D226" s="7" t="str">
        <f>_xlfn.LET(_xlpm.x,_xlfn.XLOOKUP(A226,'[1]2. Abinitio IF'!$C:$C,'[1]2. Abinitio IF'!$AY:$AY," "), IF(_xlpm.x=0," ",_xlpm.x))</f>
        <v>Master</v>
      </c>
      <c r="E226" s="8">
        <f>_xlfn.LET(_xlpm.x,_xlfn.XLOOKUP($A226,'[1]2. Abinitio IF'!$C:$C,'[1]2. Abinitio IF'!$BA:$BA," "), IF(_xlpm.x=0," ",_xlpm.x))</f>
        <v>12473</v>
      </c>
      <c r="F226" s="7" t="str">
        <f>_xlfn.LET(_xlpm.x,_xlfn.XLOOKUP($A226,'[1]2. Abinitio IF'!$C:$C,'[1]2. Abinitio IF'!$BG:$BG," "),IF(_xlpm.x=0," ",_xlpm.x))</f>
        <v>CRHD</v>
      </c>
      <c r="G226" s="24"/>
      <c r="H226" s="24"/>
      <c r="I226" s="24"/>
      <c r="J226" s="24"/>
      <c r="K226" s="24"/>
      <c r="L226" s="25" t="s">
        <v>295</v>
      </c>
      <c r="M226" s="24"/>
    </row>
    <row r="227" spans="1:13">
      <c r="A227" s="17" t="s">
        <v>296</v>
      </c>
      <c r="B227" s="7" t="s">
        <v>24</v>
      </c>
      <c r="D227" s="7" t="str">
        <f>_xlfn.LET(_xlpm.x,_xlfn.XLOOKUP(A227,'[1]2. Abinitio IF'!$C:$C,'[1]2. Abinitio IF'!$AY:$AY," "), IF(_xlpm.x=0," ",_xlpm.x))</f>
        <v>Master</v>
      </c>
      <c r="E227" s="8">
        <f>_xlfn.LET(_xlpm.x,_xlfn.XLOOKUP($A227,'[1]2. Abinitio IF'!$C:$C,'[1]2. Abinitio IF'!$BA:$BA," "), IF(_xlpm.x=0," ",_xlpm.x))</f>
        <v>10922</v>
      </c>
      <c r="F227" s="7" t="str">
        <f>_xlfn.LET(_xlpm.x,_xlfn.XLOOKUP($A227,'[1]2. Abinitio IF'!$C:$C,'[1]2. Abinitio IF'!$BG:$BG," "),IF(_xlpm.x=0," ",_xlpm.x))</f>
        <v>CEPC</v>
      </c>
      <c r="G227" s="7"/>
      <c r="L227" s="7"/>
    </row>
    <row r="228" spans="1:13">
      <c r="A228" s="5" t="s">
        <v>297</v>
      </c>
      <c r="B228" s="7" t="s">
        <v>24</v>
      </c>
      <c r="D228" s="7" t="str">
        <f>_xlfn.LET(_xlpm.x,_xlfn.XLOOKUP(A228,'[1]2. Abinitio IF'!$C:$C,'[1]2. Abinitio IF'!$AY:$AY," "), IF(_xlpm.x=0," ",_xlpm.x))</f>
        <v>Master</v>
      </c>
      <c r="E228" s="8">
        <f>_xlfn.LET(_xlpm.x,_xlfn.XLOOKUP($A228,'[1]2. Abinitio IF'!$C:$C,'[1]2. Abinitio IF'!$BA:$BA," "), IF(_xlpm.x=0," ",_xlpm.x))</f>
        <v>10895</v>
      </c>
      <c r="F228" s="7" t="str">
        <f>_xlfn.LET(_xlpm.x,_xlfn.XLOOKUP($A228,'[1]2. Abinitio IF'!$C:$C,'[1]2. Abinitio IF'!$BG:$BG," "),IF(_xlpm.x=0," ",_xlpm.x))</f>
        <v>CEPC_BUKRS</v>
      </c>
      <c r="G228" s="7"/>
      <c r="L228" s="7"/>
    </row>
    <row r="229" spans="1:13">
      <c r="A229" s="5" t="s">
        <v>298</v>
      </c>
      <c r="B229" s="9" t="s">
        <v>76</v>
      </c>
      <c r="C229" s="7" t="s">
        <v>77</v>
      </c>
      <c r="D229" s="7" t="str">
        <f>_xlfn.LET(_xlpm.x,_xlfn.XLOOKUP(A229,'[1]2. Abinitio IF'!$C:$C,'[1]2. Abinitio IF'!$AY:$AY," "), IF(_xlpm.x=0," ",_xlpm.x))</f>
        <v>Master</v>
      </c>
      <c r="E229" s="8">
        <f>_xlfn.LET(_xlpm.x,_xlfn.XLOOKUP($A229,'[1]2. Abinitio IF'!$C:$C,'[1]2. Abinitio IF'!$BA:$BA," "), IF(_xlpm.x=0," ",_xlpm.x))</f>
        <v>10542</v>
      </c>
      <c r="F229" s="7" t="str">
        <f>_xlfn.LET(_xlpm.x,_xlfn.XLOOKUP($A229,'[1]2. Abinitio IF'!$C:$C,'[1]2. Abinitio IF'!$BG:$BG," "),IF(_xlpm.x=0," ",_xlpm.x))</f>
        <v>RBKP</v>
      </c>
      <c r="G229" s="7" t="s">
        <v>197</v>
      </c>
      <c r="L229" s="7"/>
    </row>
    <row r="230" spans="1:13">
      <c r="A230" s="5" t="s">
        <v>299</v>
      </c>
      <c r="B230" s="9" t="s">
        <v>18</v>
      </c>
      <c r="D230" s="7" t="str">
        <f>_xlfn.LET(_xlpm.x,_xlfn.XLOOKUP(A230,'[1]2. Abinitio IF'!$C:$C,'[1]2. Abinitio IF'!$AY:$AY," "), IF(_xlpm.x=0," ",_xlpm.x))</f>
        <v>Transactional</v>
      </c>
      <c r="E230" s="8">
        <f>_xlfn.LET(_xlpm.x,_xlfn.XLOOKUP($A230,'[1]2. Abinitio IF'!$C:$C,'[1]2. Abinitio IF'!$BA:$BA," "), IF(_xlpm.x=0," ",_xlpm.x))</f>
        <v>8662</v>
      </c>
      <c r="F230" s="7" t="str">
        <f>_xlfn.LET(_xlpm.x,_xlfn.XLOOKUP($A230,'[1]2. Abinitio IF'!$C:$C,'[1]2. Abinitio IF'!$BG:$BG," "),IF(_xlpm.x=0," ",_xlpm.x))</f>
        <v>EDIDC/EDID4
BasicType=/CCEJ/TRUCK_STOCK
MsgType=/CCEJ/TRUCK_STOCK</v>
      </c>
      <c r="G230" s="7"/>
      <c r="L230" s="7"/>
    </row>
    <row r="231" spans="1:13">
      <c r="A231" s="5" t="s">
        <v>300</v>
      </c>
      <c r="B231" s="9" t="s">
        <v>18</v>
      </c>
      <c r="D231" s="7" t="str">
        <f>_xlfn.LET(_xlpm.x,_xlfn.XLOOKUP(A231,'[1]2. Abinitio IF'!$C:$C,'[1]2. Abinitio IF'!$AY:$AY," "), IF(_xlpm.x=0," ",_xlpm.x))</f>
        <v>Transactional</v>
      </c>
      <c r="E231" s="8">
        <f>_xlfn.LET(_xlpm.x,_xlfn.XLOOKUP($A231,'[1]2. Abinitio IF'!$C:$C,'[1]2. Abinitio IF'!$BA:$BA," "), IF(_xlpm.x=0," ",_xlpm.x))</f>
        <v>8662</v>
      </c>
      <c r="F231" s="7" t="str">
        <f>_xlfn.LET(_xlpm.x,_xlfn.XLOOKUP($A231,'[1]2. Abinitio IF'!$C:$C,'[1]2. Abinitio IF'!$BG:$BG," "),IF(_xlpm.x=0," ",_xlpm.x))</f>
        <v>EDIDC/EDID4
BasicType=/CCEJ/TRUCK_STOCK
MsgType=/CCEJ/TRUCK_STOCK</v>
      </c>
      <c r="G231" s="7"/>
      <c r="L231" s="7"/>
    </row>
    <row r="232" spans="1:13">
      <c r="A232" s="5" t="s">
        <v>301</v>
      </c>
      <c r="B232" s="9" t="s">
        <v>18</v>
      </c>
      <c r="D232" s="7" t="str">
        <f>_xlfn.LET(_xlpm.x,_xlfn.XLOOKUP(A232,'[1]2. Abinitio IF'!$C:$C,'[1]2. Abinitio IF'!$AY:$AY," "), IF(_xlpm.x=0," ",_xlpm.x))</f>
        <v>Transactional</v>
      </c>
      <c r="E232" s="8">
        <f>_xlfn.LET(_xlpm.x,_xlfn.XLOOKUP($A232,'[1]2. Abinitio IF'!$C:$C,'[1]2. Abinitio IF'!$BA:$BA," "), IF(_xlpm.x=0," ",_xlpm.x))</f>
        <v>8662</v>
      </c>
      <c r="F232" s="7" t="str">
        <f>_xlfn.LET(_xlpm.x,_xlfn.XLOOKUP($A232,'[1]2. Abinitio IF'!$C:$C,'[1]2. Abinitio IF'!$BG:$BG," "),IF(_xlpm.x=0," ",_xlpm.x))</f>
        <v>EDIDC/EDID4
BasicType=/CCEJ/TRUCK_STOCK
MsgType=/CCEJ/TRUCK_STOCK</v>
      </c>
      <c r="G232" s="7"/>
      <c r="L232" s="7"/>
    </row>
    <row r="233" spans="1:13">
      <c r="A233" s="5" t="s">
        <v>302</v>
      </c>
      <c r="B233" s="9" t="s">
        <v>18</v>
      </c>
      <c r="D233" s="7" t="str">
        <f>_xlfn.LET(_xlpm.x,_xlfn.XLOOKUP(A233,'[1]2. Abinitio IF'!$C:$C,'[1]2. Abinitio IF'!$AY:$AY," "), IF(_xlpm.x=0," ",_xlpm.x))</f>
        <v>Transactional</v>
      </c>
      <c r="E233" s="8">
        <f>_xlfn.LET(_xlpm.x,_xlfn.XLOOKUP($A233,'[1]2. Abinitio IF'!$C:$C,'[1]2. Abinitio IF'!$BA:$BA," "), IF(_xlpm.x=0," ",_xlpm.x))</f>
        <v>8662</v>
      </c>
      <c r="F233" s="7" t="str">
        <f>_xlfn.LET(_xlpm.x,_xlfn.XLOOKUP($A233,'[1]2. Abinitio IF'!$C:$C,'[1]2. Abinitio IF'!$BG:$BG," "),IF(_xlpm.x=0," ",_xlpm.x))</f>
        <v>EDIDC/EDID4
BasicType=/CCEJ/TRUCK_STOCK
MsgType=/CCEJ/TRUCK_STOCK</v>
      </c>
      <c r="G233" s="7"/>
      <c r="L233" s="7"/>
    </row>
    <row r="234" spans="1:13">
      <c r="A234" s="5" t="s">
        <v>303</v>
      </c>
      <c r="B234" s="7" t="s">
        <v>15</v>
      </c>
      <c r="C234" s="7" t="s">
        <v>16</v>
      </c>
      <c r="D234" s="7" t="str">
        <f>_xlfn.LET(_xlpm.x,_xlfn.XLOOKUP(A234,'[1]2. Abinitio IF'!$C:$C,'[1]2. Abinitio IF'!$AY:$AY," "), IF(_xlpm.x=0," ",_xlpm.x))</f>
        <v>Transactional</v>
      </c>
      <c r="E234" s="8">
        <f>_xlfn.LET(_xlpm.x,_xlfn.XLOOKUP($A234,'[1]2. Abinitio IF'!$C:$C,'[1]2. Abinitio IF'!$BA:$BA," "), IF(_xlpm.x=0," ",_xlpm.x))</f>
        <v>7381</v>
      </c>
      <c r="F234" s="7" t="str">
        <f>_xlfn.LET(_xlpm.x,_xlfn.XLOOKUP($A234,'[1]2. Abinitio IF'!$C:$C,'[1]2. Abinitio IF'!$BG:$BG," "),IF(_xlpm.x=0," ",_xlpm.x))</f>
        <v>EDIDC/EDID4
BasicType=/CCEJ/HD_TOUR_VTTK
MsgType=/CCEJ/SHPMNT_HH</v>
      </c>
      <c r="G234" s="7"/>
      <c r="L234" s="7"/>
    </row>
    <row r="235" spans="1:13">
      <c r="A235" s="5" t="s">
        <v>304</v>
      </c>
      <c r="B235" s="9" t="s">
        <v>18</v>
      </c>
      <c r="D235" s="7" t="str">
        <f>_xlfn.LET(_xlpm.x,_xlfn.XLOOKUP(A235,'[1]2. Abinitio IF'!$C:$C,'[1]2. Abinitio IF'!$AY:$AY," "), IF(_xlpm.x=0," ",_xlpm.x))</f>
        <v>Transactional</v>
      </c>
      <c r="E235" s="8">
        <f>_xlfn.LET(_xlpm.x,_xlfn.XLOOKUP($A235,'[1]2. Abinitio IF'!$C:$C,'[1]2. Abinitio IF'!$BA:$BA," "), IF(_xlpm.x=0," ",_xlpm.x))</f>
        <v>6015</v>
      </c>
      <c r="F235" s="7" t="str">
        <f>_xlfn.LET(_xlpm.x,_xlfn.XLOOKUP($A235,'[1]2. Abinitio IF'!$C:$C,'[1]2. Abinitio IF'!$BG:$BG," "),IF(_xlpm.x=0," ",_xlpm.x))</f>
        <v>EDIDC/EDID4
BasicType=/CCEJ/TRUCK_STOCK
MsgType=/CCEJ/TRUCK_STOCK</v>
      </c>
      <c r="G235" s="7"/>
      <c r="L235" s="7"/>
    </row>
    <row r="236" spans="1:13">
      <c r="A236" s="5" t="s">
        <v>305</v>
      </c>
      <c r="B236" s="9" t="s">
        <v>18</v>
      </c>
      <c r="D236" s="7" t="str">
        <f>_xlfn.LET(_xlpm.x,_xlfn.XLOOKUP(A236,'[1]2. Abinitio IF'!$C:$C,'[1]2. Abinitio IF'!$AY:$AY," "), IF(_xlpm.x=0," ",_xlpm.x))</f>
        <v>Master</v>
      </c>
      <c r="E236" s="8">
        <f>_xlfn.LET(_xlpm.x,_xlfn.XLOOKUP($A236,'[1]2. Abinitio IF'!$C:$C,'[1]2. Abinitio IF'!$BA:$BA," "), IF(_xlpm.x=0," ",_xlpm.x))</f>
        <v>5030</v>
      </c>
      <c r="F236" s="7" t="str">
        <f>_xlfn.LET(_xlpm.x,_xlfn.XLOOKUP($A236,'[1]2. Abinitio IF'!$C:$C,'[1]2. Abinitio IF'!$BG:$BG," "),IF(_xlpm.x=0," ",_xlpm.x))</f>
        <v>CCEJ_TROUTEEXT, join CCEJ_TLOGIHIERAL
SALESREPORT."ccbji.zj_sales.salesreport.md.data_load_view::ABI_v_c1_sr_route_extension"</v>
      </c>
      <c r="G236" s="7"/>
      <c r="L236" s="7"/>
    </row>
    <row r="237" spans="1:13">
      <c r="A237" s="5" t="s">
        <v>306</v>
      </c>
      <c r="B237" s="7" t="s">
        <v>15</v>
      </c>
      <c r="C237" s="7" t="s">
        <v>16</v>
      </c>
      <c r="D237" s="7" t="str">
        <f>_xlfn.LET(_xlpm.x,_xlfn.XLOOKUP(A237,'[1]2. Abinitio IF'!$C:$C,'[1]2. Abinitio IF'!$AY:$AY," "), IF(_xlpm.x=0," ",_xlpm.x))</f>
        <v>Transactional</v>
      </c>
      <c r="E237" s="8">
        <f>_xlfn.LET(_xlpm.x,_xlfn.XLOOKUP($A237,'[1]2. Abinitio IF'!$C:$C,'[1]2. Abinitio IF'!$BA:$BA," "), IF(_xlpm.x=0," ",_xlpm.x))</f>
        <v>4336</v>
      </c>
      <c r="F237" s="7" t="str">
        <f>_xlfn.LET(_xlpm.x,_xlfn.XLOOKUP($A237,'[1]2. Abinitio IF'!$C:$C,'[1]2. Abinitio IF'!$BG:$BG," "),IF(_xlpm.x=0," ",_xlpm.x))</f>
        <v>EDIDC/EDID4
BasicType=/CCEJ/DISP_ROUTE_INFO_01
MsgType=/CCEJ/DISP_ROUTE_INFO</v>
      </c>
      <c r="G237" s="7"/>
      <c r="L237" s="7"/>
    </row>
    <row r="238" spans="1:13">
      <c r="A238" s="5" t="s">
        <v>307</v>
      </c>
      <c r="B238" s="7" t="s">
        <v>15</v>
      </c>
      <c r="C238" s="7" t="s">
        <v>16</v>
      </c>
      <c r="D238" s="7" t="str">
        <f>_xlfn.LET(_xlpm.x,_xlfn.XLOOKUP(A238,'[1]2. Abinitio IF'!$C:$C,'[1]2. Abinitio IF'!$AY:$AY," "), IF(_xlpm.x=0," ",_xlpm.x))</f>
        <v>Transactional</v>
      </c>
      <c r="E238" s="8">
        <f>_xlfn.LET(_xlpm.x,_xlfn.XLOOKUP($A238,'[1]2. Abinitio IF'!$C:$C,'[1]2. Abinitio IF'!$BA:$BA," "), IF(_xlpm.x=0," ",_xlpm.x))</f>
        <v>4011</v>
      </c>
      <c r="F238" s="7" t="str">
        <f>_xlfn.LET(_xlpm.x,_xlfn.XLOOKUP($A238,'[1]2. Abinitio IF'!$C:$C,'[1]2. Abinitio IF'!$BG:$BG," "),IF(_xlpm.x=0," ",_xlpm.x))</f>
        <v>EDIDC/EDID4
BasicType=/CCEJ/DISP_ROUTE_INFO_01
MsgType=/CCEJ/DISP_ROUTE_INFO</v>
      </c>
      <c r="G238" s="7"/>
      <c r="L238" s="7"/>
    </row>
    <row r="239" spans="1:13">
      <c r="A239" s="5" t="s">
        <v>308</v>
      </c>
      <c r="B239" s="9" t="s">
        <v>76</v>
      </c>
      <c r="C239" s="7" t="s">
        <v>77</v>
      </c>
      <c r="D239" s="7" t="str">
        <f>_xlfn.LET(_xlpm.x,_xlfn.XLOOKUP(A239,'[1]2. Abinitio IF'!$C:$C,'[1]2. Abinitio IF'!$AY:$AY," "), IF(_xlpm.x=0," ",_xlpm.x))</f>
        <v>Master</v>
      </c>
      <c r="E239" s="8">
        <f>_xlfn.LET(_xlpm.x,_xlfn.XLOOKUP($A239,'[1]2. Abinitio IF'!$C:$C,'[1]2. Abinitio IF'!$BA:$BA," "), IF(_xlpm.x=0," ",_xlpm.x))</f>
        <v>3500</v>
      </c>
      <c r="F239" s="7" t="str">
        <f>_xlfn.LET(_xlpm.x,_xlfn.XLOOKUP($A239,'[1]2. Abinitio IF'!$C:$C,'[1]2. Abinitio IF'!$BG:$BG," "),IF(_xlpm.x=0," ",_xlpm.x))</f>
        <v>EBKN</v>
      </c>
      <c r="G239" s="7" t="s">
        <v>197</v>
      </c>
      <c r="L239" s="7"/>
    </row>
    <row r="240" spans="1:13">
      <c r="A240" s="5" t="s">
        <v>309</v>
      </c>
      <c r="B240" s="9" t="s">
        <v>15</v>
      </c>
      <c r="D240" s="7" t="str">
        <f>_xlfn.LET(_xlpm.x,_xlfn.XLOOKUP(A240,'[1]2. Abinitio IF'!$C:$C,'[1]2. Abinitio IF'!$AY:$AY," "), IF(_xlpm.x=0," ",_xlpm.x))</f>
        <v xml:space="preserve"> </v>
      </c>
      <c r="E240" s="8">
        <f>_xlfn.LET(_xlpm.x,_xlfn.XLOOKUP($A240,'[1]2. Abinitio IF'!$C:$C,'[1]2. Abinitio IF'!$BA:$BA," "), IF(_xlpm.x=0," ",_xlpm.x))</f>
        <v>3353</v>
      </c>
      <c r="F240" s="7" t="str">
        <f>_xlfn.LET(_xlpm.x,_xlfn.XLOOKUP($A240,'[1]2. Abinitio IF'!$C:$C,'[1]2. Abinitio IF'!$BG:$BG," "),IF(_xlpm.x=0," ",_xlpm.x))</f>
        <v>VTTK
join VBFA
join LIKP
LIPS
EBAN
EKPO</v>
      </c>
      <c r="G240" s="7"/>
      <c r="L240" s="7"/>
    </row>
    <row r="241" spans="1:12">
      <c r="A241" s="5" t="s">
        <v>310</v>
      </c>
      <c r="B241" s="7" t="s">
        <v>15</v>
      </c>
      <c r="C241" s="7" t="s">
        <v>16</v>
      </c>
      <c r="D241" s="7" t="str">
        <f>_xlfn.LET(_xlpm.x,_xlfn.XLOOKUP(A241,'[1]2. Abinitio IF'!$C:$C,'[1]2. Abinitio IF'!$AY:$AY," "), IF(_xlpm.x=0," ",_xlpm.x))</f>
        <v>Transactional</v>
      </c>
      <c r="E241" s="8">
        <f>_xlfn.LET(_xlpm.x,_xlfn.XLOOKUP($A241,'[1]2. Abinitio IF'!$C:$C,'[1]2. Abinitio IF'!$BA:$BA," "), IF(_xlpm.x=0," ",_xlpm.x))</f>
        <v>3225</v>
      </c>
      <c r="F241" s="7" t="str">
        <f>_xlfn.LET(_xlpm.x,_xlfn.XLOOKUP($A241,'[1]2. Abinitio IF'!$C:$C,'[1]2. Abinitio IF'!$BG:$BG," "),IF(_xlpm.x=0," ",_xlpm.x))</f>
        <v>VTTK join VBFA join LIKP
LIPS
EBAN, EKPO, MCH1</v>
      </c>
      <c r="G241" s="7"/>
      <c r="L241" s="7"/>
    </row>
    <row r="242" spans="1:12">
      <c r="A242" s="5" t="s">
        <v>311</v>
      </c>
      <c r="B242" s="7" t="s">
        <v>15</v>
      </c>
      <c r="C242" s="7" t="s">
        <v>16</v>
      </c>
      <c r="D242" s="7" t="str">
        <f>_xlfn.LET(_xlpm.x,_xlfn.XLOOKUP(A242,'[1]2. Abinitio IF'!$C:$C,'[1]2. Abinitio IF'!$AY:$AY," "), IF(_xlpm.x=0," ",_xlpm.x))</f>
        <v>Transactional</v>
      </c>
      <c r="E242" s="8">
        <f>_xlfn.LET(_xlpm.x,_xlfn.XLOOKUP($A242,'[1]2. Abinitio IF'!$C:$C,'[1]2. Abinitio IF'!$BA:$BA," "), IF(_xlpm.x=0," ",_xlpm.x))</f>
        <v>2697</v>
      </c>
      <c r="F242" s="7" t="str">
        <f>_xlfn.LET(_xlpm.x,_xlfn.XLOOKUP($A242,'[1]2. Abinitio IF'!$C:$C,'[1]2. Abinitio IF'!$BG:$BG," "),IF(_xlpm.x=0," ",_xlpm.x))</f>
        <v>EDIDC/EDID4
BasicType=/CCEJ/HD_TOUR_VTTK
MsgType=/CCEJ/SHPMNT_HH</v>
      </c>
      <c r="G242" s="7"/>
      <c r="L242" s="7"/>
    </row>
    <row r="243" spans="1:12">
      <c r="A243" s="5" t="s">
        <v>312</v>
      </c>
      <c r="B243" s="7" t="s">
        <v>76</v>
      </c>
      <c r="C243" s="7" t="s">
        <v>77</v>
      </c>
      <c r="D243" s="7" t="str">
        <f>_xlfn.LET(_xlpm.x,_xlfn.XLOOKUP(A243,'[1]2. Abinitio IF'!$C:$C,'[1]2. Abinitio IF'!$AY:$AY," "), IF(_xlpm.x=0," ",_xlpm.x))</f>
        <v>Master</v>
      </c>
      <c r="E243" s="8">
        <f>_xlfn.LET(_xlpm.x,_xlfn.XLOOKUP($A243,'[1]2. Abinitio IF'!$C:$C,'[1]2. Abinitio IF'!$BA:$BA," "), IF(_xlpm.x=0," ",_xlpm.x))</f>
        <v>2180</v>
      </c>
      <c r="F243" s="7" t="str">
        <f>_xlfn.LET(_xlpm.x,_xlfn.XLOOKUP($A243,'[1]2. Abinitio IF'!$C:$C,'[1]2. Abinitio IF'!$BG:$BG," "),IF(_xlpm.x=0," ",_xlpm.x))</f>
        <v>T001W</v>
      </c>
      <c r="G243" s="7" t="s">
        <v>197</v>
      </c>
      <c r="L243" s="7"/>
    </row>
    <row r="244" spans="1:12">
      <c r="A244" s="5" t="s">
        <v>313</v>
      </c>
      <c r="B244" s="7" t="s">
        <v>39</v>
      </c>
      <c r="C244" s="7" t="s">
        <v>16</v>
      </c>
      <c r="D244" s="7" t="str">
        <f>_xlfn.LET(_xlpm.x,_xlfn.XLOOKUP(A244,'[1]2. Abinitio IF'!$C:$C,'[1]2. Abinitio IF'!$AY:$AY," "), IF(_xlpm.x=0," ",_xlpm.x))</f>
        <v xml:space="preserve"> </v>
      </c>
      <c r="E244" s="8">
        <f>_xlfn.LET(_xlpm.x,_xlfn.XLOOKUP($A244,'[1]2. Abinitio IF'!$C:$C,'[1]2. Abinitio IF'!$BA:$BA," "), IF(_xlpm.x=0," ",_xlpm.x))</f>
        <v>1972</v>
      </c>
      <c r="F244" s="7" t="str">
        <f>_xlfn.LET(_xlpm.x,_xlfn.XLOOKUP($A244,'[1]2. Abinitio IF'!$C:$C,'[1]2. Abinitio IF'!$BG:$BG," "),IF(_xlpm.x=0," ",_xlpm.x))</f>
        <v>BAPI_SOURCEDETERMIN_GETSOS
BAPI_VENDOR_GETDETAIL
RFC_READ_TABLE</v>
      </c>
      <c r="G244" s="7"/>
      <c r="L244" s="7"/>
    </row>
    <row r="245" spans="1:12">
      <c r="A245" s="5" t="s">
        <v>314</v>
      </c>
      <c r="B245" s="7" t="s">
        <v>15</v>
      </c>
      <c r="C245" s="7" t="s">
        <v>16</v>
      </c>
      <c r="D245" s="7" t="str">
        <f>_xlfn.LET(_xlpm.x,_xlfn.XLOOKUP(A245,'[1]2. Abinitio IF'!$C:$C,'[1]2. Abinitio IF'!$AY:$AY," "), IF(_xlpm.x=0," ",_xlpm.x))</f>
        <v>Transactional</v>
      </c>
      <c r="E245" s="8">
        <f>_xlfn.LET(_xlpm.x,_xlfn.XLOOKUP($A245,'[1]2. Abinitio IF'!$C:$C,'[1]2. Abinitio IF'!$BA:$BA," "), IF(_xlpm.x=0," ",_xlpm.x))</f>
        <v>1163</v>
      </c>
      <c r="F245" s="7" t="str">
        <f>_xlfn.LET(_xlpm.x,_xlfn.XLOOKUP($A245,'[1]2. Abinitio IF'!$C:$C,'[1]2. Abinitio IF'!$BG:$BG," "),IF(_xlpm.x=0," ",_xlpm.x))</f>
        <v>BasicType=/DSD/VC_VL_CHANGEFROMDATA01
MsgType=/DSD/VC_VL_CHANGEFROMDATA</v>
      </c>
      <c r="G245" s="7"/>
      <c r="L245" s="7"/>
    </row>
    <row r="246" spans="1:12">
      <c r="A246" s="5" t="s">
        <v>315</v>
      </c>
      <c r="B246" s="7" t="s">
        <v>15</v>
      </c>
      <c r="C246" s="7" t="s">
        <v>16</v>
      </c>
      <c r="D246" s="7" t="str">
        <f>_xlfn.LET(_xlpm.x,_xlfn.XLOOKUP(A246,'[1]2. Abinitio IF'!$C:$C,'[1]2. Abinitio IF'!$AY:$AY," "), IF(_xlpm.x=0," ",_xlpm.x))</f>
        <v>Transactional</v>
      </c>
      <c r="E246" s="8">
        <f>_xlfn.LET(_xlpm.x,_xlfn.XLOOKUP($A246,'[1]2. Abinitio IF'!$C:$C,'[1]2. Abinitio IF'!$BA:$BA," "), IF(_xlpm.x=0," ",_xlpm.x))</f>
        <v>935</v>
      </c>
      <c r="F246" s="7" t="str">
        <f>_xlfn.LET(_xlpm.x,_xlfn.XLOOKUP($A246,'[1]2. Abinitio IF'!$C:$C,'[1]2. Abinitio IF'!$BG:$BG," "),IF(_xlpm.x=0," ",_xlpm.x))</f>
        <v>BasicType=/DSD/VC_VL_CHANGEFROMDATA01
MsgType=/DSD/VC_VL_CHANGEFROMDATA</v>
      </c>
      <c r="G246" s="7"/>
      <c r="L246" s="7"/>
    </row>
    <row r="247" spans="1:12">
      <c r="A247" s="5" t="s">
        <v>316</v>
      </c>
      <c r="B247" s="7" t="s">
        <v>15</v>
      </c>
      <c r="C247" s="7" t="s">
        <v>16</v>
      </c>
      <c r="D247" s="7" t="str">
        <f>_xlfn.LET(_xlpm.x,_xlfn.XLOOKUP(A247,'[1]2. Abinitio IF'!$C:$C,'[1]2. Abinitio IF'!$AY:$AY," "), IF(_xlpm.x=0," ",_xlpm.x))</f>
        <v xml:space="preserve"> </v>
      </c>
      <c r="E247" s="8">
        <f>_xlfn.LET(_xlpm.x,_xlfn.XLOOKUP($A247,'[1]2. Abinitio IF'!$C:$C,'[1]2. Abinitio IF'!$BA:$BA," "), IF(_xlpm.x=0," ",_xlpm.x))</f>
        <v>903</v>
      </c>
      <c r="F247" s="7" t="str">
        <f>_xlfn.LET(_xlpm.x,_xlfn.XLOOKUP($A247,'[1]2. Abinitio IF'!$C:$C,'[1]2. Abinitio IF'!$BG:$BG," "),IF(_xlpm.x=0," ",_xlpm.x))</f>
        <v>BAPI_SOURCEDETERMIN_GETSOS
BAPI_VENDOR_GETDETAIL
RFC_READ_TABLE</v>
      </c>
      <c r="G247" s="7"/>
      <c r="L247" s="7"/>
    </row>
    <row r="248" spans="1:12">
      <c r="A248" s="5" t="s">
        <v>317</v>
      </c>
      <c r="B248" s="7" t="s">
        <v>15</v>
      </c>
      <c r="C248" s="7" t="s">
        <v>16</v>
      </c>
      <c r="D248" s="7" t="str">
        <f>_xlfn.LET(_xlpm.x,_xlfn.XLOOKUP(A248,'[1]2. Abinitio IF'!$C:$C,'[1]2. Abinitio IF'!$AY:$AY," "), IF(_xlpm.x=0," ",_xlpm.x))</f>
        <v>Transactional</v>
      </c>
      <c r="E248" s="8">
        <f>_xlfn.LET(_xlpm.x,_xlfn.XLOOKUP($A248,'[1]2. Abinitio IF'!$C:$C,'[1]2. Abinitio IF'!$BA:$BA," "), IF(_xlpm.x=0," ",_xlpm.x))</f>
        <v>803</v>
      </c>
      <c r="F248" s="7" t="str">
        <f>_xlfn.LET(_xlpm.x,_xlfn.XLOOKUP($A248,'[1]2. Abinitio IF'!$C:$C,'[1]2. Abinitio IF'!$BG:$BG," "),IF(_xlpm.x=0," ",_xlpm.x))</f>
        <v>BasicType=/CCEJ/SALESORDER_CREATEFROMDAT
MsgType=/CCEJ/SALESORDER_CREATE</v>
      </c>
      <c r="G248" s="7"/>
      <c r="L248" s="7"/>
    </row>
    <row r="249" spans="1:12" ht="117">
      <c r="A249" s="5" t="s">
        <v>318</v>
      </c>
      <c r="B249" s="9" t="s">
        <v>24</v>
      </c>
      <c r="C249" s="9" t="s">
        <v>25</v>
      </c>
      <c r="D249" s="7" t="str">
        <f>_xlfn.LET(_xlpm.x,_xlfn.XLOOKUP(A249,'[1]2. Abinitio IF'!$C:$C,'[1]2. Abinitio IF'!$AY:$AY," "), IF(_xlpm.x=0," ",_xlpm.x))</f>
        <v>Transactional</v>
      </c>
      <c r="E249" s="8">
        <f>_xlfn.LET(_xlpm.x,_xlfn.XLOOKUP($A249,'[1]2. Abinitio IF'!$C:$C,'[1]2. Abinitio IF'!$BA:$BA," "), IF(_xlpm.x=0," ",_xlpm.x))</f>
        <v>711</v>
      </c>
      <c r="F249" s="7" t="str">
        <f>_xlfn.LET(_xlpm.x,_xlfn.XLOOKUP($A249,'[1]2. Abinitio IF'!$C:$C,'[1]2. Abinitio IF'!$BG:$BG," "),IF(_xlpm.x=0," ",_xlpm.x))</f>
        <v>EDIDC/EDID4
BasicType=/CCEJ/RTR_AR_INV_SUM
MsgType=/CCEJ/RTR_AR_INV_SUM</v>
      </c>
      <c r="G249" s="7"/>
      <c r="L249" s="14" t="s">
        <v>319</v>
      </c>
    </row>
    <row r="250" spans="1:12">
      <c r="A250" s="5" t="s">
        <v>320</v>
      </c>
      <c r="B250" s="7" t="s">
        <v>15</v>
      </c>
      <c r="C250" s="7" t="s">
        <v>16</v>
      </c>
      <c r="D250" s="7" t="str">
        <f>_xlfn.LET(_xlpm.x,_xlfn.XLOOKUP(A250,'[1]2. Abinitio IF'!$C:$C,'[1]2. Abinitio IF'!$AY:$AY," "), IF(_xlpm.x=0," ",_xlpm.x))</f>
        <v>Master</v>
      </c>
      <c r="E250" s="8">
        <f>_xlfn.LET(_xlpm.x,_xlfn.XLOOKUP($A250,'[1]2. Abinitio IF'!$C:$C,'[1]2. Abinitio IF'!$BA:$BA," "), IF(_xlpm.x=0," ",_xlpm.x))</f>
        <v>647</v>
      </c>
      <c r="F250" s="7" t="str">
        <f>_xlfn.LET(_xlpm.x,_xlfn.XLOOKUP($A250,'[1]2. Abinitio IF'!$C:$C,'[1]2. Abinitio IF'!$BG:$BG," "),IF(_xlpm.x=0," ",_xlpm.x))</f>
        <v>BasicType=/CCBJI/BTOB01_EMAIL
MsgType=/CCBJI/BTOB_EMAIL</v>
      </c>
      <c r="G250" s="7"/>
      <c r="L250" s="7"/>
    </row>
    <row r="251" spans="1:12">
      <c r="A251" s="5" t="s">
        <v>321</v>
      </c>
      <c r="B251" s="7" t="s">
        <v>18</v>
      </c>
      <c r="D251" s="7" t="str">
        <f>_xlfn.LET(_xlpm.x,_xlfn.XLOOKUP(A251,'[1]2. Abinitio IF'!$C:$C,'[1]2. Abinitio IF'!$AY:$AY," "), IF(_xlpm.x=0," ",_xlpm.x))</f>
        <v>Transactional</v>
      </c>
      <c r="E251" s="8">
        <f>_xlfn.LET(_xlpm.x,_xlfn.XLOOKUP($A251,'[1]2. Abinitio IF'!$C:$C,'[1]2. Abinitio IF'!$BA:$BA," "), IF(_xlpm.x=0," ",_xlpm.x))</f>
        <v>552</v>
      </c>
      <c r="F251" s="7" t="str">
        <f>_xlfn.LET(_xlpm.x,_xlfn.XLOOKUP($A251,'[1]2. Abinitio IF'!$C:$C,'[1]2. Abinitio IF'!$BG:$BG," "),IF(_xlpm.x=0," ",_xlpm.x))</f>
        <v>EDIDC
BasicType=/CCEJ/SD_BL_PROF_IDOC_CCEJ
MsgType=/CCEJ/OTC_BL_PROFORMA_INV</v>
      </c>
      <c r="G251" s="7"/>
      <c r="L251" s="7"/>
    </row>
    <row r="252" spans="1:12">
      <c r="A252" s="5" t="s">
        <v>322</v>
      </c>
      <c r="B252" s="7" t="s">
        <v>18</v>
      </c>
      <c r="D252" s="7" t="str">
        <f>_xlfn.LET(_xlpm.x,_xlfn.XLOOKUP(A252,'[1]2. Abinitio IF'!$C:$C,'[1]2. Abinitio IF'!$AY:$AY," "), IF(_xlpm.x=0," ",_xlpm.x))</f>
        <v>Master</v>
      </c>
      <c r="E252" s="8">
        <f>_xlfn.LET(_xlpm.x,_xlfn.XLOOKUP($A252,'[1]2. Abinitio IF'!$C:$C,'[1]2. Abinitio IF'!$BA:$BA," "), IF(_xlpm.x=0," ",_xlpm.x))</f>
        <v>535</v>
      </c>
      <c r="F252" s="7" t="str">
        <f>_xlfn.LET(_xlpm.x,_xlfn.XLOOKUP($A252,'[1]2. Abinitio IF'!$C:$C,'[1]2. Abinitio IF'!$BG:$BG," "),IF(_xlpm.x=0," ",_xlpm.x))</f>
        <v>T134T</v>
      </c>
      <c r="G252" s="7"/>
      <c r="L252" s="7"/>
    </row>
    <row r="253" spans="1:12">
      <c r="A253" s="5" t="s">
        <v>323</v>
      </c>
      <c r="B253" s="7" t="s">
        <v>18</v>
      </c>
      <c r="D253" s="7" t="str">
        <f>_xlfn.LET(_xlpm.x,_xlfn.XLOOKUP(A253,'[1]2. Abinitio IF'!$C:$C,'[1]2. Abinitio IF'!$AY:$AY," "), IF(_xlpm.x=0," ",_xlpm.x))</f>
        <v>Master</v>
      </c>
      <c r="E253" s="8">
        <f>_xlfn.LET(_xlpm.x,_xlfn.XLOOKUP($A253,'[1]2. Abinitio IF'!$C:$C,'[1]2. Abinitio IF'!$BA:$BA," "), IF(_xlpm.x=0," ",_xlpm.x))</f>
        <v>486</v>
      </c>
      <c r="F253" s="7" t="str">
        <f>_xlfn.LET(_xlpm.x,_xlfn.XLOOKUP($A253,'[1]2. Abinitio IF'!$C:$C,'[1]2. Abinitio IF'!$BG:$BG," "),IF(_xlpm.x=0," ",_xlpm.x))</f>
        <v>/CCEJ/TZKTSD0010</v>
      </c>
      <c r="G253" s="7"/>
      <c r="L253" s="7"/>
    </row>
    <row r="254" spans="1:12">
      <c r="A254" s="5" t="s">
        <v>324</v>
      </c>
      <c r="B254" s="7" t="s">
        <v>18</v>
      </c>
      <c r="D254" s="7" t="str">
        <f>_xlfn.LET(_xlpm.x,_xlfn.XLOOKUP(A254,'[1]2. Abinitio IF'!$C:$C,'[1]2. Abinitio IF'!$AY:$AY," "), IF(_xlpm.x=0," ",_xlpm.x))</f>
        <v>Master</v>
      </c>
      <c r="E254" s="8">
        <f>_xlfn.LET(_xlpm.x,_xlfn.XLOOKUP($A254,'[1]2. Abinitio IF'!$C:$C,'[1]2. Abinitio IF'!$BA:$BA," "), IF(_xlpm.x=0," ",_xlpm.x))</f>
        <v>481</v>
      </c>
      <c r="F254" s="7" t="str">
        <f>_xlfn.LET(_xlpm.x,_xlfn.XLOOKUP($A254,'[1]2. Abinitio IF'!$C:$C,'[1]2. Abinitio IF'!$BG:$BG," "),IF(_xlpm.x=0," ",_xlpm.x))</f>
        <v>/CCEJ/TZKTSD0035</v>
      </c>
      <c r="G254" s="7"/>
      <c r="L254" s="7"/>
    </row>
    <row r="255" spans="1:12">
      <c r="A255" s="5" t="s">
        <v>325</v>
      </c>
      <c r="B255" s="7" t="s">
        <v>15</v>
      </c>
      <c r="C255" s="7" t="s">
        <v>16</v>
      </c>
      <c r="D255" s="7" t="str">
        <f>_xlfn.LET(_xlpm.x,_xlfn.XLOOKUP(A255,'[1]2. Abinitio IF'!$C:$C,'[1]2. Abinitio IF'!$AY:$AY," "), IF(_xlpm.x=0," ",_xlpm.x))</f>
        <v>Master</v>
      </c>
      <c r="E255" s="8">
        <f>_xlfn.LET(_xlpm.x,_xlfn.XLOOKUP($A255,'[1]2. Abinitio IF'!$C:$C,'[1]2. Abinitio IF'!$BA:$BA," "), IF(_xlpm.x=0," ",_xlpm.x))</f>
        <v>452</v>
      </c>
      <c r="F255" s="7" t="str">
        <f>_xlfn.LET(_xlpm.x,_xlfn.XLOOKUP($A255,'[1]2. Abinitio IF'!$C:$C,'[1]2. Abinitio IF'!$BG:$BG," "),IF(_xlpm.x=0," ",_xlpm.x))</f>
        <v>BasicType=/CCBJI/SUPP_INV
MsgType=/CCBJI/SUPP_INV</v>
      </c>
      <c r="G255" s="7"/>
      <c r="L255" s="7"/>
    </row>
    <row r="256" spans="1:12">
      <c r="A256" s="5" t="s">
        <v>326</v>
      </c>
      <c r="B256" s="7" t="s">
        <v>18</v>
      </c>
      <c r="D256" s="7" t="str">
        <f>_xlfn.LET(_xlpm.x,_xlfn.XLOOKUP(A256,'[1]2. Abinitio IF'!$C:$C,'[1]2. Abinitio IF'!$AY:$AY," "), IF(_xlpm.x=0," ",_xlpm.x))</f>
        <v>Master</v>
      </c>
      <c r="E256" s="8">
        <f>_xlfn.LET(_xlpm.x,_xlfn.XLOOKUP($A256,'[1]2. Abinitio IF'!$C:$C,'[1]2. Abinitio IF'!$BA:$BA," "), IF(_xlpm.x=0," ",_xlpm.x))</f>
        <v>322</v>
      </c>
      <c r="F256" s="7" t="str">
        <f>_xlfn.LET(_xlpm.x,_xlfn.XLOOKUP($A256,'[1]2. Abinitio IF'!$C:$C,'[1]2. Abinitio IF'!$BG:$BG," "),IF(_xlpm.x=0," ",_xlpm.x))</f>
        <v>/CCEJ/TZKTFI0006</v>
      </c>
      <c r="G256" s="7"/>
      <c r="L256" s="7"/>
    </row>
    <row r="257" spans="1:7" s="7" customFormat="1">
      <c r="A257" s="5" t="s">
        <v>327</v>
      </c>
      <c r="B257" s="7" t="s">
        <v>39</v>
      </c>
      <c r="C257" s="7" t="s">
        <v>16</v>
      </c>
      <c r="D257" s="7" t="str">
        <f>_xlfn.LET(_xlpm.x,_xlfn.XLOOKUP(A257,'[1]2. Abinitio IF'!$C:$C,'[1]2. Abinitio IF'!$AY:$AY," "), IF(_xlpm.x=0," ",_xlpm.x))</f>
        <v>Transactional</v>
      </c>
      <c r="E257" s="8">
        <f>_xlfn.LET(_xlpm.x,_xlfn.XLOOKUP($A257,'[1]2. Abinitio IF'!$C:$C,'[1]2. Abinitio IF'!$BA:$BA," "), IF(_xlpm.x=0," ",_xlpm.x))</f>
        <v>244</v>
      </c>
      <c r="F257" s="7" t="str">
        <f>_xlfn.LET(_xlpm.x,_xlfn.XLOOKUP($A257,'[1]2. Abinitio IF'!$C:$C,'[1]2. Abinitio IF'!$BG:$BG," "),IF(_xlpm.x=0," ",_xlpm.x))</f>
        <v>RFC_READ_TABLE
PurchaseOrder.CreateFromData1
PurchaseOrder.Change</v>
      </c>
    </row>
    <row r="258" spans="1:7" s="7" customFormat="1">
      <c r="A258" s="5" t="s">
        <v>328</v>
      </c>
      <c r="B258" s="7" t="s">
        <v>18</v>
      </c>
      <c r="D258" s="7" t="str">
        <f>_xlfn.LET(_xlpm.x,_xlfn.XLOOKUP(A258,'[1]2. Abinitio IF'!$C:$C,'[1]2. Abinitio IF'!$AY:$AY," "), IF(_xlpm.x=0," ",_xlpm.x))</f>
        <v>Master</v>
      </c>
      <c r="E258" s="8">
        <f>_xlfn.LET(_xlpm.x,_xlfn.XLOOKUP($A258,'[1]2. Abinitio IF'!$C:$C,'[1]2. Abinitio IF'!$BA:$BA," "), IF(_xlpm.x=0," ",_xlpm.x))</f>
        <v>183</v>
      </c>
      <c r="F258" s="7" t="str">
        <f>_xlfn.LET(_xlpm.x,_xlfn.XLOOKUP($A258,'[1]2. Abinitio IF'!$C:$C,'[1]2. Abinitio IF'!$BG:$BG," "),IF(_xlpm.x=0," ",_xlpm.x))</f>
        <v>T134T</v>
      </c>
    </row>
    <row r="259" spans="1:7" s="7" customFormat="1">
      <c r="A259" s="5" t="s">
        <v>329</v>
      </c>
      <c r="B259" s="7" t="s">
        <v>15</v>
      </c>
      <c r="D259" s="7" t="str">
        <f>_xlfn.LET(_xlpm.x,_xlfn.XLOOKUP(A259,'[1]2. Abinitio IF'!$C:$C,'[1]2. Abinitio IF'!$AY:$AY," "), IF(_xlpm.x=0," ",_xlpm.x))</f>
        <v>Master</v>
      </c>
      <c r="E259" s="8">
        <f>_xlfn.LET(_xlpm.x,_xlfn.XLOOKUP($A259,'[1]2. Abinitio IF'!$C:$C,'[1]2. Abinitio IF'!$BA:$BA," "), IF(_xlpm.x=0," ",_xlpm.x))</f>
        <v>168</v>
      </c>
      <c r="F259" s="7" t="str">
        <f>_xlfn.LET(_xlpm.x,_xlfn.XLOOKUP($A259,'[1]2. Abinitio IF'!$C:$C,'[1]2. Abinitio IF'!$BG:$BG," "),IF(_xlpm.x=0," ",_xlpm.x))</f>
        <v>ADR6
ADRC
KNVA
KNB1
KNA1
KNVP
KNVK
KNVI
KNVV</v>
      </c>
    </row>
    <row r="260" spans="1:7" s="7" customFormat="1">
      <c r="A260" s="5" t="s">
        <v>330</v>
      </c>
      <c r="B260" s="7" t="s">
        <v>15</v>
      </c>
      <c r="D260" s="7" t="str">
        <f>_xlfn.LET(_xlpm.x,_xlfn.XLOOKUP(A260,'[1]2. Abinitio IF'!$C:$C,'[1]2. Abinitio IF'!$AY:$AY," "), IF(_xlpm.x=0," ",_xlpm.x))</f>
        <v>Master</v>
      </c>
      <c r="E260" s="8">
        <f>_xlfn.LET(_xlpm.x,_xlfn.XLOOKUP($A260,'[1]2. Abinitio IF'!$C:$C,'[1]2. Abinitio IF'!$BA:$BA," "), IF(_xlpm.x=0," ",_xlpm.x))</f>
        <v>126</v>
      </c>
      <c r="F260" s="7" t="str">
        <f>_xlfn.LET(_xlpm.x,_xlfn.XLOOKUP($A260,'[1]2. Abinitio IF'!$C:$C,'[1]2. Abinitio IF'!$BG:$BG," "),IF(_xlpm.x=0," ",_xlpm.x))</f>
        <v>TVK7T</v>
      </c>
    </row>
    <row r="261" spans="1:7" s="7" customFormat="1">
      <c r="A261" s="5" t="s">
        <v>331</v>
      </c>
      <c r="B261" s="7" t="s">
        <v>18</v>
      </c>
      <c r="D261" s="7" t="str">
        <f>_xlfn.LET(_xlpm.x,_xlfn.XLOOKUP(A261,'[1]2. Abinitio IF'!$C:$C,'[1]2. Abinitio IF'!$AY:$AY," "), IF(_xlpm.x=0," ",_xlpm.x))</f>
        <v>Master</v>
      </c>
      <c r="E261" s="8">
        <f>_xlfn.LET(_xlpm.x,_xlfn.XLOOKUP($A261,'[1]2. Abinitio IF'!$C:$C,'[1]2. Abinitio IF'!$BA:$BA," "), IF(_xlpm.x=0," ",_xlpm.x))</f>
        <v>119</v>
      </c>
      <c r="F261" s="7" t="str">
        <f>_xlfn.LET(_xlpm.x,_xlfn.XLOOKUP($A261,'[1]2. Abinitio IF'!$C:$C,'[1]2. Abinitio IF'!$BG:$BG," "),IF(_xlpm.x=0," ",_xlpm.x))</f>
        <v>/CCBJI/T_JDCDATA</v>
      </c>
    </row>
    <row r="262" spans="1:7" s="7" customFormat="1">
      <c r="A262" s="5" t="s">
        <v>332</v>
      </c>
      <c r="B262" s="7" t="s">
        <v>18</v>
      </c>
      <c r="D262" s="7" t="str">
        <f>_xlfn.LET(_xlpm.x,_xlfn.XLOOKUP(A262,'[1]2. Abinitio IF'!$C:$C,'[1]2. Abinitio IF'!$AY:$AY," "), IF(_xlpm.x=0," ",_xlpm.x))</f>
        <v>Master</v>
      </c>
      <c r="E262" s="8">
        <f>_xlfn.LET(_xlpm.x,_xlfn.XLOOKUP($A262,'[1]2. Abinitio IF'!$C:$C,'[1]2. Abinitio IF'!$BA:$BA," "), IF(_xlpm.x=0," ",_xlpm.x))</f>
        <v>109</v>
      </c>
      <c r="F262" s="7" t="str">
        <f>_xlfn.LET(_xlpm.x,_xlfn.XLOOKUP($A262,'[1]2. Abinitio IF'!$C:$C,'[1]2. Abinitio IF'!$BG:$BG," "),IF(_xlpm.x=0," ",_xlpm.x))</f>
        <v>/CCEJ/TZKTFI0006</v>
      </c>
    </row>
    <row r="263" spans="1:7" s="7" customFormat="1">
      <c r="A263" s="5" t="s">
        <v>333</v>
      </c>
      <c r="B263" s="7" t="s">
        <v>39</v>
      </c>
      <c r="C263" s="7" t="s">
        <v>16</v>
      </c>
      <c r="D263" s="7" t="str">
        <f>_xlfn.LET(_xlpm.x,_xlfn.XLOOKUP(A263,'[1]2. Abinitio IF'!$C:$C,'[1]2. Abinitio IF'!$AY:$AY," "), IF(_xlpm.x=0," ",_xlpm.x))</f>
        <v>Transactional</v>
      </c>
      <c r="E263" s="8">
        <f>_xlfn.LET(_xlpm.x,_xlfn.XLOOKUP($A263,'[1]2. Abinitio IF'!$C:$C,'[1]2. Abinitio IF'!$BA:$BA," "), IF(_xlpm.x=0," ",_xlpm.x))</f>
        <v>92</v>
      </c>
      <c r="F263" s="7" t="str">
        <f>_xlfn.LET(_xlpm.x,_xlfn.XLOOKUP($A263,'[1]2. Abinitio IF'!$C:$C,'[1]2. Abinitio IF'!$BG:$BG," "),IF(_xlpm.x=0," ",_xlpm.x))</f>
        <v>AcctngDocument.Post
AcctngDocument.Check</v>
      </c>
    </row>
    <row r="264" spans="1:7" s="7" customFormat="1">
      <c r="A264" s="5" t="s">
        <v>334</v>
      </c>
      <c r="B264" s="7" t="s">
        <v>39</v>
      </c>
      <c r="C264" s="7" t="s">
        <v>16</v>
      </c>
      <c r="D264" s="7" t="str">
        <f>_xlfn.LET(_xlpm.x,_xlfn.XLOOKUP(A264,'[1]2. Abinitio IF'!$C:$C,'[1]2. Abinitio IF'!$AY:$AY," "), IF(_xlpm.x=0," ",_xlpm.x))</f>
        <v>Transactional</v>
      </c>
      <c r="E264" s="8">
        <f>_xlfn.LET(_xlpm.x,_xlfn.XLOOKUP($A264,'[1]2. Abinitio IF'!$C:$C,'[1]2. Abinitio IF'!$BA:$BA," "), IF(_xlpm.x=0," ",_xlpm.x))</f>
        <v>63</v>
      </c>
      <c r="F264" s="7" t="str">
        <f>_xlfn.LET(_xlpm.x,_xlfn.XLOOKUP($A264,'[1]2. Abinitio IF'!$C:$C,'[1]2. Abinitio IF'!$BG:$BG," "),IF(_xlpm.x=0," ",_xlpm.x))</f>
        <v>BAPI_ACC_DOCUMENT_POST</v>
      </c>
    </row>
    <row r="265" spans="1:7" s="7" customFormat="1">
      <c r="A265" s="5" t="s">
        <v>335</v>
      </c>
      <c r="B265" s="7" t="s">
        <v>15</v>
      </c>
      <c r="D265" s="7" t="str">
        <f>_xlfn.LET(_xlpm.x,_xlfn.XLOOKUP(A265,'[1]2. Abinitio IF'!$C:$C,'[1]2. Abinitio IF'!$AY:$AY," "), IF(_xlpm.x=0," ",_xlpm.x))</f>
        <v>Master</v>
      </c>
      <c r="E265" s="8">
        <f>_xlfn.LET(_xlpm.x,_xlfn.XLOOKUP($A265,'[1]2. Abinitio IF'!$C:$C,'[1]2. Abinitio IF'!$BA:$BA," "), IF(_xlpm.x=0," ",_xlpm.x))</f>
        <v>48</v>
      </c>
      <c r="F265" s="7" t="str">
        <f>_xlfn.LET(_xlpm.x,_xlfn.XLOOKUP($A265,'[1]2. Abinitio IF'!$C:$C,'[1]2. Abinitio IF'!$BG:$BG," "),IF(_xlpm.x=0," ",_xlpm.x))</f>
        <v>TVK6T</v>
      </c>
    </row>
    <row r="266" spans="1:7" s="7" customFormat="1">
      <c r="A266" s="5" t="s">
        <v>336</v>
      </c>
      <c r="B266" s="7" t="s">
        <v>18</v>
      </c>
      <c r="D266" s="7" t="str">
        <f>_xlfn.LET(_xlpm.x,_xlfn.XLOOKUP(A266,'[1]2. Abinitio IF'!$C:$C,'[1]2. Abinitio IF'!$AY:$AY," "), IF(_xlpm.x=0," ",_xlpm.x))</f>
        <v>Transactional</v>
      </c>
      <c r="E266" s="8">
        <f>_xlfn.LET(_xlpm.x,_xlfn.XLOOKUP($A266,'[1]2. Abinitio IF'!$C:$C,'[1]2. Abinitio IF'!$BA:$BA," "), IF(_xlpm.x=0," ",_xlpm.x))</f>
        <v>46</v>
      </c>
      <c r="F266" s="7" t="str">
        <f>_xlfn.LET(_xlpm.x,_xlfn.XLOOKUP($A266,'[1]2. Abinitio IF'!$C:$C,'[1]2. Abinitio IF'!$BG:$BG," "),IF(_xlpm.x=0," ",_xlpm.x))</f>
        <v>/CCEJ/TZKTSD0005</v>
      </c>
    </row>
    <row r="267" spans="1:7" s="7" customFormat="1">
      <c r="A267" s="5" t="s">
        <v>337</v>
      </c>
      <c r="B267" s="7" t="s">
        <v>18</v>
      </c>
      <c r="D267" s="7" t="str">
        <f>_xlfn.LET(_xlpm.x,_xlfn.XLOOKUP(A267,'[1]2. Abinitio IF'!$C:$C,'[1]2. Abinitio IF'!$AY:$AY," "), IF(_xlpm.x=0," ",_xlpm.x))</f>
        <v>Master</v>
      </c>
      <c r="E267" s="8">
        <f>_xlfn.LET(_xlpm.x,_xlfn.XLOOKUP($A267,'[1]2. Abinitio IF'!$C:$C,'[1]2. Abinitio IF'!$BA:$BA," "), IF(_xlpm.x=0," ",_xlpm.x))</f>
        <v>46</v>
      </c>
      <c r="F267" s="7" t="str">
        <f>_xlfn.LET(_xlpm.x,_xlfn.XLOOKUP($A267,'[1]2. Abinitio IF'!$C:$C,'[1]2. Abinitio IF'!$BG:$BG," "),IF(_xlpm.x=0," ",_xlpm.x))</f>
        <v>/SCL/TMDM_BCAT</v>
      </c>
    </row>
    <row r="268" spans="1:7" s="7" customFormat="1">
      <c r="A268" s="5" t="s">
        <v>338</v>
      </c>
      <c r="B268" s="7" t="s">
        <v>15</v>
      </c>
      <c r="D268" s="7" t="str">
        <f>_xlfn.LET(_xlpm.x,_xlfn.XLOOKUP(A268,'[1]2. Abinitio IF'!$C:$C,'[1]2. Abinitio IF'!$AY:$AY," "), IF(_xlpm.x=0," ",_xlpm.x))</f>
        <v>Master</v>
      </c>
      <c r="E268" s="8">
        <f>_xlfn.LET(_xlpm.x,_xlfn.XLOOKUP($A268,'[1]2. Abinitio IF'!$C:$C,'[1]2. Abinitio IF'!$BA:$BA," "), IF(_xlpm.x=0," ",_xlpm.x))</f>
        <v>45</v>
      </c>
      <c r="F268" s="7" t="str">
        <f>_xlfn.LET(_xlpm.x,_xlfn.XLOOKUP($A268,'[1]2. Abinitio IF'!$C:$C,'[1]2. Abinitio IF'!$BG:$BG," "),IF(_xlpm.x=0," ",_xlpm.x))</f>
        <v>TVK7</v>
      </c>
    </row>
    <row r="269" spans="1:7" s="7" customFormat="1">
      <c r="A269" s="5" t="s">
        <v>339</v>
      </c>
      <c r="B269" s="7" t="s">
        <v>39</v>
      </c>
      <c r="C269" s="7" t="s">
        <v>16</v>
      </c>
      <c r="D269" s="7" t="str">
        <f>_xlfn.LET(_xlpm.x,_xlfn.XLOOKUP(A269,'[1]2. Abinitio IF'!$C:$C,'[1]2. Abinitio IF'!$AY:$AY," "), IF(_xlpm.x=0," ",_xlpm.x))</f>
        <v>Transactional</v>
      </c>
      <c r="E269" s="8">
        <f>_xlfn.LET(_xlpm.x,_xlfn.XLOOKUP($A269,'[1]2. Abinitio IF'!$C:$C,'[1]2. Abinitio IF'!$BA:$BA," "), IF(_xlpm.x=0," ",_xlpm.x))</f>
        <v>43</v>
      </c>
      <c r="F269" s="7" t="str">
        <f>_xlfn.LET(_xlpm.x,_xlfn.XLOOKUP($A269,'[1]2. Abinitio IF'!$C:$C,'[1]2. Abinitio IF'!$BG:$BG," "),IF(_xlpm.x=0," ",_xlpm.x))</f>
        <v>BAPI_ACC_DOCUMENT_POST</v>
      </c>
    </row>
    <row r="270" spans="1:7" s="7" customFormat="1">
      <c r="A270" s="5" t="s">
        <v>340</v>
      </c>
      <c r="B270" s="7" t="s">
        <v>15</v>
      </c>
      <c r="C270" s="7" t="s">
        <v>16</v>
      </c>
      <c r="D270" s="7" t="str">
        <f>_xlfn.LET(_xlpm.x,_xlfn.XLOOKUP(A270,'[1]2. Abinitio IF'!$C:$C,'[1]2. Abinitio IF'!$AY:$AY," "), IF(_xlpm.x=0," ",_xlpm.x))</f>
        <v xml:space="preserve"> </v>
      </c>
      <c r="E270" s="8">
        <f>_xlfn.LET(_xlpm.x,_xlfn.XLOOKUP($A270,'[1]2. Abinitio IF'!$C:$C,'[1]2. Abinitio IF'!$BA:$BA," "), IF(_xlpm.x=0," ",_xlpm.x))</f>
        <v>42</v>
      </c>
      <c r="F270" s="7" t="str">
        <f>_xlfn.LET(_xlpm.x,_xlfn.XLOOKUP($A270,'[1]2. Abinitio IF'!$C:$C,'[1]2. Abinitio IF'!$BG:$BG," "),IF(_xlpm.x=0," ",_xlpm.x))</f>
        <v>VTTK, join VBFA, join LIKP
LIPS</v>
      </c>
      <c r="G270" s="7" t="s">
        <v>341</v>
      </c>
    </row>
    <row r="271" spans="1:7" s="7" customFormat="1">
      <c r="A271" s="5" t="s">
        <v>342</v>
      </c>
      <c r="B271" s="7" t="s">
        <v>15</v>
      </c>
      <c r="D271" s="7" t="str">
        <f>_xlfn.LET(_xlpm.x,_xlfn.XLOOKUP(A271,'[1]2. Abinitio IF'!$C:$C,'[1]2. Abinitio IF'!$AY:$AY," "), IF(_xlpm.x=0," ",_xlpm.x))</f>
        <v>Transactional</v>
      </c>
      <c r="E271" s="8">
        <f>_xlfn.LET(_xlpm.x,_xlfn.XLOOKUP($A271,'[1]2. Abinitio IF'!$C:$C,'[1]2. Abinitio IF'!$BA:$BA," "), IF(_xlpm.x=0," ",_xlpm.x))</f>
        <v>42</v>
      </c>
      <c r="F271" s="7" t="str">
        <f>_xlfn.LET(_xlpm.x,_xlfn.XLOOKUP($A271,'[1]2. Abinitio IF'!$C:$C,'[1]2. Abinitio IF'!$BG:$BG," "),IF(_xlpm.x=0," ",_xlpm.x))</f>
        <v>/CCEJ/H_KNVV</v>
      </c>
    </row>
    <row r="272" spans="1:7" s="7" customFormat="1">
      <c r="A272" s="5" t="s">
        <v>343</v>
      </c>
      <c r="B272" s="7" t="s">
        <v>15</v>
      </c>
      <c r="D272" s="7" t="str">
        <f>_xlfn.LET(_xlpm.x,_xlfn.XLOOKUP(A272,'[1]2. Abinitio IF'!$C:$C,'[1]2. Abinitio IF'!$AY:$AY," "), IF(_xlpm.x=0," ",_xlpm.x))</f>
        <v>Master</v>
      </c>
      <c r="E272" s="8">
        <f>_xlfn.LET(_xlpm.x,_xlfn.XLOOKUP($A272,'[1]2. Abinitio IF'!$C:$C,'[1]2. Abinitio IF'!$BA:$BA," "), IF(_xlpm.x=0," ",_xlpm.x))</f>
        <v>38</v>
      </c>
      <c r="F272" s="7" t="str">
        <f>_xlfn.LET(_xlpm.x,_xlfn.XLOOKUP($A272,'[1]2. Abinitio IF'!$C:$C,'[1]2. Abinitio IF'!$BG:$BG," "),IF(_xlpm.x=0," ",_xlpm.x))</f>
        <v>TVK1T</v>
      </c>
    </row>
    <row r="273" spans="1:13">
      <c r="A273" s="5" t="s">
        <v>344</v>
      </c>
      <c r="B273" s="7" t="s">
        <v>15</v>
      </c>
      <c r="D273" s="7" t="str">
        <f>_xlfn.LET(_xlpm.x,_xlfn.XLOOKUP(A273,'[1]2. Abinitio IF'!$C:$C,'[1]2. Abinitio IF'!$AY:$AY," "), IF(_xlpm.x=0," ",_xlpm.x))</f>
        <v>Transactional</v>
      </c>
      <c r="E273" s="8">
        <f>_xlfn.LET(_xlpm.x,_xlfn.XLOOKUP($A273,'[1]2. Abinitio IF'!$C:$C,'[1]2. Abinitio IF'!$BA:$BA," "), IF(_xlpm.x=0," ",_xlpm.x))</f>
        <v>37</v>
      </c>
      <c r="F273" s="7" t="str">
        <f>_xlfn.LET(_xlpm.x,_xlfn.XLOOKUP($A273,'[1]2. Abinitio IF'!$C:$C,'[1]2. Abinitio IF'!$BG:$BG," "),IF(_xlpm.x=0," ",_xlpm.x))</f>
        <v>/CCEJ/H_KNA1</v>
      </c>
      <c r="G273" s="7"/>
      <c r="L273" s="7"/>
    </row>
    <row r="274" spans="1:13">
      <c r="A274" s="5" t="s">
        <v>345</v>
      </c>
      <c r="B274" s="7" t="s">
        <v>15</v>
      </c>
      <c r="C274" s="7" t="s">
        <v>16</v>
      </c>
      <c r="D274" s="7" t="str">
        <f>_xlfn.LET(_xlpm.x,_xlfn.XLOOKUP(A274,'[1]2. Abinitio IF'!$C:$C,'[1]2. Abinitio IF'!$AY:$AY," "), IF(_xlpm.x=0," ",_xlpm.x))</f>
        <v xml:space="preserve"> </v>
      </c>
      <c r="E274" s="8">
        <f>_xlfn.LET(_xlpm.x,_xlfn.XLOOKUP($A274,'[1]2. Abinitio IF'!$C:$C,'[1]2. Abinitio IF'!$BA:$BA," "), IF(_xlpm.x=0," ",_xlpm.x))</f>
        <v>36</v>
      </c>
      <c r="F274" s="7" t="str">
        <f>_xlfn.LET(_xlpm.x,_xlfn.XLOOKUP($A274,'[1]2. Abinitio IF'!$C:$C,'[1]2. Abinitio IF'!$BG:$BG," "),IF(_xlpm.x=0," ",_xlpm.x))</f>
        <v>VTTK, join VBFA, join LIKP
LIPS</v>
      </c>
      <c r="G274" s="7" t="s">
        <v>341</v>
      </c>
      <c r="L274" s="7"/>
    </row>
    <row r="275" spans="1:13">
      <c r="A275" s="5" t="s">
        <v>346</v>
      </c>
      <c r="B275" s="7" t="s">
        <v>15</v>
      </c>
      <c r="C275" s="7" t="s">
        <v>16</v>
      </c>
      <c r="D275" s="7" t="str">
        <f>_xlfn.LET(_xlpm.x,_xlfn.XLOOKUP(A275,'[1]2. Abinitio IF'!$C:$C,'[1]2. Abinitio IF'!$AY:$AY," "), IF(_xlpm.x=0," ",_xlpm.x))</f>
        <v xml:space="preserve"> </v>
      </c>
      <c r="E275" s="8">
        <f>_xlfn.LET(_xlpm.x,_xlfn.XLOOKUP($A275,'[1]2. Abinitio IF'!$C:$C,'[1]2. Abinitio IF'!$BA:$BA," "), IF(_xlpm.x=0," ",_xlpm.x))</f>
        <v>36</v>
      </c>
      <c r="F275" s="7" t="str">
        <f>_xlfn.LET(_xlpm.x,_xlfn.XLOOKUP($A275,'[1]2. Abinitio IF'!$C:$C,'[1]2. Abinitio IF'!$BG:$BG," "),IF(_xlpm.x=0," ",_xlpm.x))</f>
        <v>VTTK, join VBFA, join LIKP
LIPS</v>
      </c>
      <c r="G275" s="7" t="s">
        <v>341</v>
      </c>
      <c r="L275" s="7"/>
    </row>
    <row r="276" spans="1:13">
      <c r="A276" s="5" t="s">
        <v>347</v>
      </c>
      <c r="B276" s="7" t="s">
        <v>39</v>
      </c>
      <c r="C276" s="7" t="s">
        <v>16</v>
      </c>
      <c r="D276" s="7" t="str">
        <f>_xlfn.LET(_xlpm.x,_xlfn.XLOOKUP(A276,'[1]2. Abinitio IF'!$C:$C,'[1]2. Abinitio IF'!$AY:$AY," "), IF(_xlpm.x=0," ",_xlpm.x))</f>
        <v>Transactional</v>
      </c>
      <c r="E276" s="8">
        <f>_xlfn.LET(_xlpm.x,_xlfn.XLOOKUP($A276,'[1]2. Abinitio IF'!$C:$C,'[1]2. Abinitio IF'!$BA:$BA," "), IF(_xlpm.x=0," ",_xlpm.x))</f>
        <v>33</v>
      </c>
      <c r="F276" s="7" t="str">
        <f>_xlfn.LET(_xlpm.x,_xlfn.XLOOKUP($A276,'[1]2. Abinitio IF'!$C:$C,'[1]2. Abinitio IF'!$BG:$BG," "),IF(_xlpm.x=0," ",_xlpm.x))</f>
        <v>RFC_READ_TABLE</v>
      </c>
      <c r="G276" s="7"/>
      <c r="L276" s="7"/>
    </row>
    <row r="277" spans="1:13">
      <c r="A277" s="5" t="s">
        <v>348</v>
      </c>
      <c r="B277" s="7" t="s">
        <v>18</v>
      </c>
      <c r="D277" s="7" t="str">
        <f>_xlfn.LET(_xlpm.x,_xlfn.XLOOKUP(A277,'[1]2. Abinitio IF'!$C:$C,'[1]2. Abinitio IF'!$AY:$AY," "), IF(_xlpm.x=0," ",_xlpm.x))</f>
        <v>Transactional</v>
      </c>
      <c r="E277" s="8">
        <f>_xlfn.LET(_xlpm.x,_xlfn.XLOOKUP($A277,'[1]2. Abinitio IF'!$C:$C,'[1]2. Abinitio IF'!$BA:$BA," "), IF(_xlpm.x=0," ",_xlpm.x))</f>
        <v>27</v>
      </c>
      <c r="F277" s="7" t="str">
        <f>_xlfn.LET(_xlpm.x,_xlfn.XLOOKUP($A277,'[1]2. Abinitio IF'!$C:$C,'[1]2. Abinitio IF'!$BG:$BG," "),IF(_xlpm.x=0," ",_xlpm.x))</f>
        <v>/CCEJ/ZKTFI0003</v>
      </c>
      <c r="G277" s="7"/>
      <c r="L277" s="7"/>
    </row>
    <row r="278" spans="1:13">
      <c r="A278" s="5" t="s">
        <v>349</v>
      </c>
      <c r="B278" s="7" t="s">
        <v>15</v>
      </c>
      <c r="C278" s="7" t="s">
        <v>16</v>
      </c>
      <c r="D278" s="7" t="str">
        <f>_xlfn.LET(_xlpm.x,_xlfn.XLOOKUP(A278,'[1]2. Abinitio IF'!$C:$C,'[1]2. Abinitio IF'!$AY:$AY," "), IF(_xlpm.x=0," ",_xlpm.x))</f>
        <v xml:space="preserve"> </v>
      </c>
      <c r="E278" s="8">
        <f>_xlfn.LET(_xlpm.x,_xlfn.XLOOKUP($A278,'[1]2. Abinitio IF'!$C:$C,'[1]2. Abinitio IF'!$BA:$BA," "), IF(_xlpm.x=0," ",_xlpm.x))</f>
        <v>22</v>
      </c>
      <c r="F278" s="7" t="str">
        <f>_xlfn.LET(_xlpm.x,_xlfn.XLOOKUP($A278,'[1]2. Abinitio IF'!$C:$C,'[1]2. Abinitio IF'!$BG:$BG," "),IF(_xlpm.x=0," ",_xlpm.x))</f>
        <v>VTTK, join VBFA, join LIKP
LIPS</v>
      </c>
      <c r="G278" s="7" t="s">
        <v>341</v>
      </c>
      <c r="L278" s="7"/>
    </row>
    <row r="279" spans="1:13">
      <c r="A279" s="5" t="s">
        <v>350</v>
      </c>
      <c r="B279" s="7" t="s">
        <v>18</v>
      </c>
      <c r="D279" s="7" t="str">
        <f>_xlfn.LET(_xlpm.x,_xlfn.XLOOKUP(A279,'[1]2. Abinitio IF'!$C:$C,'[1]2. Abinitio IF'!$AY:$AY," "), IF(_xlpm.x=0," ",_xlpm.x))</f>
        <v>Transactional</v>
      </c>
      <c r="E279" s="8">
        <f>_xlfn.LET(_xlpm.x,_xlfn.XLOOKUP($A279,'[1]2. Abinitio IF'!$C:$C,'[1]2. Abinitio IF'!$BA:$BA," "), IF(_xlpm.x=0," ",_xlpm.x))</f>
        <v>22</v>
      </c>
      <c r="F279" s="7" t="str">
        <f>_xlfn.LET(_xlpm.x,_xlfn.XLOOKUP($A279,'[1]2. Abinitio IF'!$C:$C,'[1]2. Abinitio IF'!$BG:$BG," "),IF(_xlpm.x=0," ",_xlpm.x))</f>
        <v>/CCEJ/TZKTSD0004</v>
      </c>
      <c r="G279" s="7"/>
      <c r="L279" s="7"/>
    </row>
    <row r="280" spans="1:13">
      <c r="A280" s="5" t="s">
        <v>351</v>
      </c>
      <c r="B280" s="7" t="s">
        <v>15</v>
      </c>
      <c r="D280" s="7" t="str">
        <f>_xlfn.LET(_xlpm.x,_xlfn.XLOOKUP(A280,'[1]2. Abinitio IF'!$C:$C,'[1]2. Abinitio IF'!$AY:$AY," "), IF(_xlpm.x=0," ",_xlpm.x))</f>
        <v>Master</v>
      </c>
      <c r="E280" s="8">
        <f>_xlfn.LET(_xlpm.x,_xlfn.XLOOKUP($A280,'[1]2. Abinitio IF'!$C:$C,'[1]2. Abinitio IF'!$BA:$BA," "), IF(_xlpm.x=0," ",_xlpm.x))</f>
        <v>20</v>
      </c>
      <c r="F280" s="7" t="str">
        <f>_xlfn.LET(_xlpm.x,_xlfn.XLOOKUP($A280,'[1]2. Abinitio IF'!$C:$C,'[1]2. Abinitio IF'!$BG:$BG," "),IF(_xlpm.x=0," ",_xlpm.x))</f>
        <v>TVK6</v>
      </c>
      <c r="G280" s="7"/>
      <c r="L280" s="7"/>
    </row>
    <row r="281" spans="1:13">
      <c r="A281" s="16" t="s">
        <v>352</v>
      </c>
      <c r="B281" s="7" t="s">
        <v>15</v>
      </c>
      <c r="D281" s="7" t="str">
        <f>_xlfn.LET(_xlpm.x,_xlfn.XLOOKUP(A281,'[1]2. Abinitio IF'!$C:$C,'[1]2. Abinitio IF'!$AY:$AY," "), IF(_xlpm.x=0," ",_xlpm.x))</f>
        <v>Master</v>
      </c>
      <c r="E281" s="8">
        <f>_xlfn.LET(_xlpm.x,_xlfn.XLOOKUP($A281,'[1]2. Abinitio IF'!$C:$C,'[1]2. Abinitio IF'!$BA:$BA," "), IF(_xlpm.x=0," ",_xlpm.x))</f>
        <v>16</v>
      </c>
      <c r="F281" s="7" t="str">
        <f>_xlfn.LET(_xlpm.x,_xlfn.XLOOKUP($A281,'[1]2. Abinitio IF'!$C:$C,'[1]2. Abinitio IF'!$BG:$BG," "),IF(_xlpm.x=0," ",_xlpm.x))</f>
        <v>TVK1</v>
      </c>
      <c r="G281" s="7"/>
      <c r="L281" s="7"/>
    </row>
    <row r="282" spans="1:13">
      <c r="A282" s="23" t="s">
        <v>353</v>
      </c>
      <c r="B282" s="24" t="s">
        <v>15</v>
      </c>
      <c r="C282" s="24"/>
      <c r="D282" s="7" t="str">
        <f>_xlfn.LET(_xlpm.x,_xlfn.XLOOKUP(A282,'[1]2. Abinitio IF'!$C:$C,'[1]2. Abinitio IF'!$AY:$AY," "), IF(_xlpm.x=0," ",_xlpm.x))</f>
        <v>Transactional</v>
      </c>
      <c r="E282" s="8">
        <f>_xlfn.LET(_xlpm.x,_xlfn.XLOOKUP($A282,'[1]2. Abinitio IF'!$C:$C,'[1]2. Abinitio IF'!$BA:$BA," "), IF(_xlpm.x=0," ",_xlpm.x))</f>
        <v>14</v>
      </c>
      <c r="F282" s="7" t="str">
        <f>_xlfn.LET(_xlpm.x,_xlfn.XLOOKUP($A282,'[1]2. Abinitio IF'!$C:$C,'[1]2. Abinitio IF'!$BG:$BG," "),IF(_xlpm.x=0," ",_xlpm.x))</f>
        <v>/CCEJ/T_PLNT_DET</v>
      </c>
      <c r="G282" s="24"/>
      <c r="H282" s="24"/>
      <c r="I282" s="24"/>
      <c r="J282" s="24"/>
      <c r="K282" s="24"/>
      <c r="L282" s="24"/>
      <c r="M282" s="24"/>
    </row>
    <row r="283" spans="1:13">
      <c r="A283" s="17" t="s">
        <v>354</v>
      </c>
      <c r="B283" s="7" t="s">
        <v>18</v>
      </c>
      <c r="D283" s="7" t="str">
        <f>_xlfn.LET(_xlpm.x,_xlfn.XLOOKUP(A283,'[1]2. Abinitio IF'!$C:$C,'[1]2. Abinitio IF'!$AY:$AY," "), IF(_xlpm.x=0," ",_xlpm.x))</f>
        <v>Master</v>
      </c>
      <c r="E283" s="8">
        <f>_xlfn.LET(_xlpm.x,_xlfn.XLOOKUP($A283,'[1]2. Abinitio IF'!$C:$C,'[1]2. Abinitio IF'!$BA:$BA," "), IF(_xlpm.x=0," ",_xlpm.x))</f>
        <v>13</v>
      </c>
      <c r="F283" s="7" t="str">
        <f>_xlfn.LET(_xlpm.x,_xlfn.XLOOKUP($A283,'[1]2. Abinitio IF'!$C:$C,'[1]2. Abinitio IF'!$BG:$BG," "),IF(_xlpm.x=0," ",_xlpm.x))</f>
        <v>/SCL/OTC_SUBCAT</v>
      </c>
      <c r="G283" s="7"/>
      <c r="L283" s="7"/>
    </row>
    <row r="284" spans="1:13">
      <c r="A284" s="5" t="s">
        <v>355</v>
      </c>
      <c r="B284" s="7" t="s">
        <v>15</v>
      </c>
      <c r="C284" s="7" t="s">
        <v>16</v>
      </c>
      <c r="D284" s="7" t="str">
        <f>_xlfn.LET(_xlpm.x,_xlfn.XLOOKUP(A284,'[1]2. Abinitio IF'!$C:$C,'[1]2. Abinitio IF'!$AY:$AY," "), IF(_xlpm.x=0," ",_xlpm.x))</f>
        <v>Master</v>
      </c>
      <c r="E284" s="8">
        <f>_xlfn.LET(_xlpm.x,_xlfn.XLOOKUP($A284,'[1]2. Abinitio IF'!$C:$C,'[1]2. Abinitio IF'!$BA:$BA," "), IF(_xlpm.x=0," ",_xlpm.x))</f>
        <v>11</v>
      </c>
      <c r="F284" s="7" t="str">
        <f>_xlfn.LET(_xlpm.x,_xlfn.XLOOKUP($A284,'[1]2. Abinitio IF'!$C:$C,'[1]2. Abinitio IF'!$BG:$BG," "),IF(_xlpm.x=0," ",_xlpm.x))</f>
        <v>BAPI_CUSTOMER_GETDETAIL2</v>
      </c>
      <c r="G284" s="7"/>
      <c r="L284" s="7"/>
    </row>
    <row r="285" spans="1:13">
      <c r="A285" s="5" t="s">
        <v>356</v>
      </c>
      <c r="B285" s="7" t="s">
        <v>18</v>
      </c>
      <c r="D285" s="7" t="str">
        <f>_xlfn.LET(_xlpm.x,_xlfn.XLOOKUP(A285,'[1]2. Abinitio IF'!$C:$C,'[1]2. Abinitio IF'!$AY:$AY," "), IF(_xlpm.x=0," ",_xlpm.x))</f>
        <v>Transactional</v>
      </c>
      <c r="E285" s="8">
        <f>_xlfn.LET(_xlpm.x,_xlfn.XLOOKUP($A285,'[1]2. Abinitio IF'!$C:$C,'[1]2. Abinitio IF'!$BA:$BA," "), IF(_xlpm.x=0," ",_xlpm.x))</f>
        <v>10</v>
      </c>
      <c r="F285" s="7" t="str">
        <f>_xlfn.LET(_xlpm.x,_xlfn.XLOOKUP($A285,'[1]2. Abinitio IF'!$C:$C,'[1]2. Abinitio IF'!$BG:$BG," "),IF(_xlpm.x=0," ",_xlpm.x))</f>
        <v>/CCEJ/TZKTSD0042</v>
      </c>
      <c r="G285" s="7"/>
      <c r="L285" s="7"/>
    </row>
    <row r="286" spans="1:13">
      <c r="A286" s="5" t="s">
        <v>357</v>
      </c>
      <c r="B286" s="7" t="s">
        <v>39</v>
      </c>
      <c r="C286" s="7" t="s">
        <v>16</v>
      </c>
      <c r="D286" s="7" t="str">
        <f>_xlfn.LET(_xlpm.x,_xlfn.XLOOKUP(A286,'[1]2. Abinitio IF'!$C:$C,'[1]2. Abinitio IF'!$AY:$AY," "), IF(_xlpm.x=0," ",_xlpm.x))</f>
        <v>Transactional</v>
      </c>
      <c r="E286" s="8">
        <f>_xlfn.LET(_xlpm.x,_xlfn.XLOOKUP($A286,'[1]2. Abinitio IF'!$C:$C,'[1]2. Abinitio IF'!$BA:$BA," "), IF(_xlpm.x=0," ",_xlpm.x))</f>
        <v>6</v>
      </c>
      <c r="F286" s="7" t="str">
        <f>_xlfn.LET(_xlpm.x,_xlfn.XLOOKUP($A286,'[1]2. Abinitio IF'!$C:$C,'[1]2. Abinitio IF'!$BG:$BG," "),IF(_xlpm.x=0," ",_xlpm.x))</f>
        <v>BAPI_ACC_DOCUMENT_POST</v>
      </c>
      <c r="G286" s="7"/>
      <c r="L286" s="7"/>
    </row>
    <row r="287" spans="1:13">
      <c r="A287" s="5" t="s">
        <v>358</v>
      </c>
      <c r="B287" s="7" t="s">
        <v>18</v>
      </c>
      <c r="D287" s="7" t="str">
        <f>_xlfn.LET(_xlpm.x,_xlfn.XLOOKUP(A287,'[1]2. Abinitio IF'!$C:$C,'[1]2. Abinitio IF'!$AY:$AY," "), IF(_xlpm.x=0," ",_xlpm.x))</f>
        <v>Transactional</v>
      </c>
      <c r="E287" s="8">
        <f>_xlfn.LET(_xlpm.x,_xlfn.XLOOKUP($A287,'[1]2. Abinitio IF'!$C:$C,'[1]2. Abinitio IF'!$BA:$BA," "), IF(_xlpm.x=0," ",_xlpm.x))</f>
        <v>5</v>
      </c>
      <c r="F287" s="7" t="str">
        <f>_xlfn.LET(_xlpm.x,_xlfn.XLOOKUP($A287,'[1]2. Abinitio IF'!$C:$C,'[1]2. Abinitio IF'!$BG:$BG," "),IF(_xlpm.x=0," ",_xlpm.x))</f>
        <v>EDIDC/EDID4
BasicType=MATMAS05
Extension=/CCEJ/MATMAS05E
MsgType=/CCEJ/MATMAS</v>
      </c>
      <c r="G287" s="7"/>
      <c r="L287" s="7"/>
    </row>
    <row r="288" spans="1:13">
      <c r="A288" s="5" t="s">
        <v>359</v>
      </c>
      <c r="B288" s="7" t="s">
        <v>39</v>
      </c>
      <c r="C288" s="7" t="s">
        <v>16</v>
      </c>
      <c r="D288" s="7" t="str">
        <f>_xlfn.LET(_xlpm.x,_xlfn.XLOOKUP(A288,'[1]2. Abinitio IF'!$C:$C,'[1]2. Abinitio IF'!$AY:$AY," "), IF(_xlpm.x=0," ",_xlpm.x))</f>
        <v>Transactional</v>
      </c>
      <c r="E288" s="8">
        <f>_xlfn.LET(_xlpm.x,_xlfn.XLOOKUP($A288,'[1]2. Abinitio IF'!$C:$C,'[1]2. Abinitio IF'!$BA:$BA," "), IF(_xlpm.x=0," ",_xlpm.x))</f>
        <v>4</v>
      </c>
      <c r="F288" s="7" t="str">
        <f>_xlfn.LET(_xlpm.x,_xlfn.XLOOKUP($A288,'[1]2. Abinitio IF'!$C:$C,'[1]2. Abinitio IF'!$BG:$BG," "),IF(_xlpm.x=0," ",_xlpm.x))</f>
        <v>EDIDC/EDID4
BasicType=/CCEJ/AP_INFO_SUB
MsgType=/CCEJ/AP_INFO_SUB</v>
      </c>
      <c r="G288" s="7"/>
      <c r="L288" s="7"/>
    </row>
    <row r="289" spans="1:6" s="7" customFormat="1">
      <c r="A289" s="5" t="s">
        <v>360</v>
      </c>
      <c r="B289" s="7" t="s">
        <v>39</v>
      </c>
      <c r="C289" s="7" t="s">
        <v>16</v>
      </c>
      <c r="D289" s="7" t="str">
        <f>_xlfn.LET(_xlpm.x,_xlfn.XLOOKUP(A289,'[1]2. Abinitio IF'!$C:$C,'[1]2. Abinitio IF'!$AY:$AY," "), IF(_xlpm.x=0," ",_xlpm.x))</f>
        <v>Transactional</v>
      </c>
      <c r="E289" s="8">
        <f>_xlfn.LET(_xlpm.x,_xlfn.XLOOKUP($A289,'[1]2. Abinitio IF'!$C:$C,'[1]2. Abinitio IF'!$BA:$BA," "), IF(_xlpm.x=0," ",_xlpm.x))</f>
        <v>3</v>
      </c>
      <c r="F289" s="7" t="str">
        <f>_xlfn.LET(_xlpm.x,_xlfn.XLOOKUP($A289,'[1]2. Abinitio IF'!$C:$C,'[1]2. Abinitio IF'!$BG:$BG," "),IF(_xlpm.x=0," ",_xlpm.x))</f>
        <v>BAPI_ACC_DOCUMENT_POST</v>
      </c>
    </row>
    <row r="290" spans="1:6" s="7" customFormat="1">
      <c r="A290" s="5" t="s">
        <v>361</v>
      </c>
      <c r="B290" s="7" t="s">
        <v>15</v>
      </c>
      <c r="C290" s="7" t="s">
        <v>16</v>
      </c>
      <c r="D290" s="7" t="str">
        <f>_xlfn.LET(_xlpm.x,_xlfn.XLOOKUP(A290,'[1]2. Abinitio IF'!$C:$C,'[1]2. Abinitio IF'!$AY:$AY," "), IF(_xlpm.x=0," ",_xlpm.x))</f>
        <v>Master</v>
      </c>
      <c r="E290" s="8">
        <f>_xlfn.LET(_xlpm.x,_xlfn.XLOOKUP($A290,'[1]2. Abinitio IF'!$C:$C,'[1]2. Abinitio IF'!$BA:$BA," "), IF(_xlpm.x=0," ",_xlpm.x))</f>
        <v>2</v>
      </c>
      <c r="F290" s="7" t="str">
        <f>_xlfn.LET(_xlpm.x,_xlfn.XLOOKUP($A290,'[1]2. Abinitio IF'!$C:$C,'[1]2. Abinitio IF'!$BG:$BG," "),IF(_xlpm.x=0," ",_xlpm.x))</f>
        <v>BAPI_CUSTOMER_GETDETAIL2</v>
      </c>
    </row>
    <row r="291" spans="1:6" s="7" customFormat="1">
      <c r="A291" s="5" t="s">
        <v>362</v>
      </c>
      <c r="B291" s="7" t="s">
        <v>18</v>
      </c>
      <c r="D291" s="7" t="str">
        <f>_xlfn.LET(_xlpm.x,_xlfn.XLOOKUP(A291,'[1]2. Abinitio IF'!$C:$C,'[1]2. Abinitio IF'!$AY:$AY," "), IF(_xlpm.x=0," ",_xlpm.x))</f>
        <v>Transactional</v>
      </c>
      <c r="E291" s="8">
        <f>_xlfn.LET(_xlpm.x,_xlfn.XLOOKUP($A291,'[1]2. Abinitio IF'!$C:$C,'[1]2. Abinitio IF'!$BA:$BA," "), IF(_xlpm.x=0," ",_xlpm.x))</f>
        <v>2</v>
      </c>
      <c r="F291" s="7" t="str">
        <f>_xlfn.LET(_xlpm.x,_xlfn.XLOOKUP($A291,'[1]2. Abinitio IF'!$C:$C,'[1]2. Abinitio IF'!$BG:$BG," "),IF(_xlpm.x=0," ",_xlpm.x))</f>
        <v>EDIDC/EDID4
BasicType=CREMAS05
Extension=/CCEJ/CREMAS05E
MsgType=/CCEJ/CREMAS_FULL</v>
      </c>
    </row>
    <row r="292" spans="1:6" s="7" customFormat="1">
      <c r="A292" s="5" t="s">
        <v>363</v>
      </c>
      <c r="B292" s="7" t="s">
        <v>18</v>
      </c>
      <c r="D292" s="7" t="str">
        <f>_xlfn.LET(_xlpm.x,_xlfn.XLOOKUP(A292,'[1]2. Abinitio IF'!$C:$C,'[1]2. Abinitio IF'!$AY:$AY," "), IF(_xlpm.x=0," ",_xlpm.x))</f>
        <v>Transactional</v>
      </c>
      <c r="E292" s="8">
        <f>_xlfn.LET(_xlpm.x,_xlfn.XLOOKUP($A292,'[1]2. Abinitio IF'!$C:$C,'[1]2. Abinitio IF'!$BA:$BA," "), IF(_xlpm.x=0," ",_xlpm.x))</f>
        <v>2</v>
      </c>
      <c r="F292" s="7" t="str">
        <f>_xlfn.LET(_xlpm.x,_xlfn.XLOOKUP($A292,'[1]2. Abinitio IF'!$C:$C,'[1]2. Abinitio IF'!$BG:$BG," "),IF(_xlpm.x=0," ",_xlpm.x))</f>
        <v>EDIDC/EDID4
BasicType=/CCEJ/EQUIPMENT
MsgType=/CCEJ/EQUIPMENT</v>
      </c>
    </row>
    <row r="293" spans="1:6" s="7" customFormat="1">
      <c r="A293" s="5" t="s">
        <v>364</v>
      </c>
      <c r="B293" s="7" t="s">
        <v>15</v>
      </c>
      <c r="C293" s="7" t="s">
        <v>16</v>
      </c>
      <c r="D293" s="7" t="str">
        <f>_xlfn.LET(_xlpm.x,_xlfn.XLOOKUP(A293,'[1]2. Abinitio IF'!$C:$C,'[1]2. Abinitio IF'!$AY:$AY," "), IF(_xlpm.x=0," ",_xlpm.x))</f>
        <v>Transactional</v>
      </c>
      <c r="E293" s="8">
        <f>_xlfn.LET(_xlpm.x,_xlfn.XLOOKUP($A293,'[1]2. Abinitio IF'!$C:$C,'[1]2. Abinitio IF'!$BA:$BA," "), IF(_xlpm.x=0," ",_xlpm.x))</f>
        <v>1</v>
      </c>
      <c r="F293" s="7" t="str">
        <f>_xlfn.LET(_xlpm.x,_xlfn.XLOOKUP($A293,'[1]2. Abinitio IF'!$C:$C,'[1]2. Abinitio IF'!$BG:$BG," "),IF(_xlpm.x=0," ",_xlpm.x))</f>
        <v>BasicType=ACC_DOCUMENT03
MsgType=/CCEJ/FI_DOC_POST</v>
      </c>
    </row>
    <row r="294" spans="1:6" s="7" customFormat="1">
      <c r="A294" s="5" t="s">
        <v>365</v>
      </c>
      <c r="B294" s="7" t="s">
        <v>15</v>
      </c>
      <c r="C294" s="7" t="s">
        <v>16</v>
      </c>
      <c r="D294" s="7" t="str">
        <f>_xlfn.LET(_xlpm.x,_xlfn.XLOOKUP(A294,'[1]2. Abinitio IF'!$C:$C,'[1]2. Abinitio IF'!$AY:$AY," "), IF(_xlpm.x=0," ",_xlpm.x))</f>
        <v>Transactional</v>
      </c>
      <c r="E294" s="8">
        <f>_xlfn.LET(_xlpm.x,_xlfn.XLOOKUP($A294,'[1]2. Abinitio IF'!$C:$C,'[1]2. Abinitio IF'!$BA:$BA," "), IF(_xlpm.x=0," ",_xlpm.x))</f>
        <v>1</v>
      </c>
      <c r="F294" s="7" t="str">
        <f>_xlfn.LET(_xlpm.x,_xlfn.XLOOKUP($A294,'[1]2. Abinitio IF'!$C:$C,'[1]2. Abinitio IF'!$BG:$BG," "),IF(_xlpm.x=0," ",_xlpm.x))</f>
        <v>BasicType=ACC_DOCUMENT03
MsgType=/CCEJ/FI_DOC_POST</v>
      </c>
    </row>
    <row r="295" spans="1:6" s="7" customFormat="1">
      <c r="A295" s="5" t="s">
        <v>366</v>
      </c>
      <c r="B295" s="7" t="s">
        <v>15</v>
      </c>
      <c r="C295" s="7" t="s">
        <v>16</v>
      </c>
      <c r="D295" s="7" t="str">
        <f>_xlfn.LET(_xlpm.x,_xlfn.XLOOKUP(A295,'[1]2. Abinitio IF'!$C:$C,'[1]2. Abinitio IF'!$AY:$AY," "), IF(_xlpm.x=0," ",_xlpm.x))</f>
        <v>Transactional</v>
      </c>
      <c r="E295" s="8">
        <f>_xlfn.LET(_xlpm.x,_xlfn.XLOOKUP($A295,'[1]2. Abinitio IF'!$C:$C,'[1]2. Abinitio IF'!$BA:$BA," "), IF(_xlpm.x=0," ",_xlpm.x))</f>
        <v>1</v>
      </c>
      <c r="F295" s="7" t="str">
        <f>_xlfn.LET(_xlpm.x,_xlfn.XLOOKUP($A295,'[1]2. Abinitio IF'!$C:$C,'[1]2. Abinitio IF'!$BG:$BG," "),IF(_xlpm.x=0," ",_xlpm.x))</f>
        <v>BasicType=ACC_DOCUMENT03
MsgType=/CCEJ/FI_DOC_POST</v>
      </c>
    </row>
    <row r="296" spans="1:6" s="7" customFormat="1">
      <c r="A296" s="5" t="s">
        <v>367</v>
      </c>
      <c r="B296" s="7" t="s">
        <v>15</v>
      </c>
      <c r="C296" s="7" t="s">
        <v>16</v>
      </c>
      <c r="D296" s="7" t="str">
        <f>_xlfn.LET(_xlpm.x,_xlfn.XLOOKUP(A296,'[1]2. Abinitio IF'!$C:$C,'[1]2. Abinitio IF'!$AY:$AY," "), IF(_xlpm.x=0," ",_xlpm.x))</f>
        <v>Transactional</v>
      </c>
      <c r="E296" s="8">
        <f>_xlfn.LET(_xlpm.x,_xlfn.XLOOKUP($A296,'[1]2. Abinitio IF'!$C:$C,'[1]2. Abinitio IF'!$BA:$BA," "), IF(_xlpm.x=0," ",_xlpm.x))</f>
        <v>1</v>
      </c>
      <c r="F296" s="7" t="str">
        <f>_xlfn.LET(_xlpm.x,_xlfn.XLOOKUP($A296,'[1]2. Abinitio IF'!$C:$C,'[1]2. Abinitio IF'!$BG:$BG," "),IF(_xlpm.x=0," ",_xlpm.x))</f>
        <v>BasicType=ACC_DOCUMENT03
MsgType=/CCEJ/FI_DOC_POST</v>
      </c>
    </row>
    <row r="297" spans="1:6" s="7" customFormat="1">
      <c r="A297" s="5" t="s">
        <v>368</v>
      </c>
      <c r="B297" s="7" t="s">
        <v>15</v>
      </c>
      <c r="C297" s="7" t="s">
        <v>16</v>
      </c>
      <c r="D297" s="7" t="str">
        <f>_xlfn.LET(_xlpm.x,_xlfn.XLOOKUP(A297,'[1]2. Abinitio IF'!$C:$C,'[1]2. Abinitio IF'!$AY:$AY," "), IF(_xlpm.x=0," ",_xlpm.x))</f>
        <v>Transactional</v>
      </c>
      <c r="E297" s="8">
        <f>_xlfn.LET(_xlpm.x,_xlfn.XLOOKUP($A297,'[1]2. Abinitio IF'!$C:$C,'[1]2. Abinitio IF'!$BA:$BA," "), IF(_xlpm.x=0," ",_xlpm.x))</f>
        <v>1</v>
      </c>
      <c r="F297" s="7" t="str">
        <f>_xlfn.LET(_xlpm.x,_xlfn.XLOOKUP($A297,'[1]2. Abinitio IF'!$C:$C,'[1]2. Abinitio IF'!$BG:$BG," "),IF(_xlpm.x=0," ",_xlpm.x))</f>
        <v>BasicType=/CCEJ/PAY_BLK_REL_BASIC
MsgType=/CCEJ/MSG_BLK_REL</v>
      </c>
    </row>
    <row r="298" spans="1:6" s="7" customFormat="1">
      <c r="A298" s="5" t="s">
        <v>369</v>
      </c>
      <c r="B298" s="7" t="s">
        <v>15</v>
      </c>
      <c r="C298" s="7" t="s">
        <v>16</v>
      </c>
      <c r="D298" s="7" t="str">
        <f>_xlfn.LET(_xlpm.x,_xlfn.XLOOKUP(A298,'[1]2. Abinitio IF'!$C:$C,'[1]2. Abinitio IF'!$AY:$AY," "), IF(_xlpm.x=0," ",_xlpm.x))</f>
        <v>Transactional</v>
      </c>
      <c r="E298" s="8">
        <f>_xlfn.LET(_xlpm.x,_xlfn.XLOOKUP($A298,'[1]2. Abinitio IF'!$C:$C,'[1]2. Abinitio IF'!$BA:$BA," "), IF(_xlpm.x=0," ",_xlpm.x))</f>
        <v>1</v>
      </c>
      <c r="F298" s="7" t="str">
        <f>_xlfn.LET(_xlpm.x,_xlfn.XLOOKUP($A298,'[1]2. Abinitio IF'!$C:$C,'[1]2. Abinitio IF'!$BG:$BG," "),IF(_xlpm.x=0," ",_xlpm.x))</f>
        <v>BasicType=/CCEJ/SALESORDER_CREATEFROMDAT
MsgType=/CCEJ/SALESORDER_CREATE</v>
      </c>
    </row>
    <row r="299" spans="1:6" s="7" customFormat="1">
      <c r="A299" s="5" t="s">
        <v>370</v>
      </c>
      <c r="B299" s="7" t="s">
        <v>15</v>
      </c>
      <c r="C299" s="7" t="s">
        <v>16</v>
      </c>
      <c r="D299" s="7" t="str">
        <f>_xlfn.LET(_xlpm.x,_xlfn.XLOOKUP(A299,'[1]2. Abinitio IF'!$C:$C,'[1]2. Abinitio IF'!$AY:$AY," "), IF(_xlpm.x=0," ",_xlpm.x))</f>
        <v>Transactional</v>
      </c>
      <c r="E299" s="8">
        <f>_xlfn.LET(_xlpm.x,_xlfn.XLOOKUP($A299,'[1]2. Abinitio IF'!$C:$C,'[1]2. Abinitio IF'!$BA:$BA," "), IF(_xlpm.x=0," ",_xlpm.x))</f>
        <v>1</v>
      </c>
      <c r="F299" s="7" t="str">
        <f>_xlfn.LET(_xlpm.x,_xlfn.XLOOKUP($A299,'[1]2. Abinitio IF'!$C:$C,'[1]2. Abinitio IF'!$BG:$BG," "),IF(_xlpm.x=0," ",_xlpm.x))</f>
        <v>BasicType=/CCEJ/SALESORDER_CREATEFROMDAT
MsgType=/CCEJ/SALESORDER_CREATE</v>
      </c>
    </row>
    <row r="300" spans="1:6" s="7" customFormat="1">
      <c r="A300" s="5" t="s">
        <v>371</v>
      </c>
      <c r="B300" s="7" t="s">
        <v>15</v>
      </c>
      <c r="C300" s="7" t="s">
        <v>16</v>
      </c>
      <c r="D300" s="7" t="str">
        <f>_xlfn.LET(_xlpm.x,_xlfn.XLOOKUP(A300,'[1]2. Abinitio IF'!$C:$C,'[1]2. Abinitio IF'!$AY:$AY," "), IF(_xlpm.x=0," ",_xlpm.x))</f>
        <v>Transactional</v>
      </c>
      <c r="E300" s="8">
        <f>_xlfn.LET(_xlpm.x,_xlfn.XLOOKUP($A300,'[1]2. Abinitio IF'!$C:$C,'[1]2. Abinitio IF'!$BA:$BA," "), IF(_xlpm.x=0," ",_xlpm.x))</f>
        <v>1</v>
      </c>
      <c r="F300" s="7" t="str">
        <f>_xlfn.LET(_xlpm.x,_xlfn.XLOOKUP($A300,'[1]2. Abinitio IF'!$C:$C,'[1]2. Abinitio IF'!$BG:$BG," "),IF(_xlpm.x=0," ",_xlpm.x))</f>
        <v>BasicType=/CCEJ/SALESORDER_CREATEFROMDAT
MsgType=/CCEJ/SALESORDER_CREATE</v>
      </c>
    </row>
    <row r="301" spans="1:6" s="7" customFormat="1">
      <c r="A301" s="5" t="s">
        <v>372</v>
      </c>
      <c r="B301" s="7" t="s">
        <v>15</v>
      </c>
      <c r="C301" s="7" t="s">
        <v>16</v>
      </c>
      <c r="D301" s="7" t="str">
        <f>_xlfn.LET(_xlpm.x,_xlfn.XLOOKUP(A301,'[1]2. Abinitio IF'!$C:$C,'[1]2. Abinitio IF'!$AY:$AY," "), IF(_xlpm.x=0," ",_xlpm.x))</f>
        <v>Transactional</v>
      </c>
      <c r="E301" s="8">
        <f>_xlfn.LET(_xlpm.x,_xlfn.XLOOKUP($A301,'[1]2. Abinitio IF'!$C:$C,'[1]2. Abinitio IF'!$BA:$BA," "), IF(_xlpm.x=0," ",_xlpm.x))</f>
        <v>1</v>
      </c>
      <c r="F301" s="7" t="str">
        <f>_xlfn.LET(_xlpm.x,_xlfn.XLOOKUP($A301,'[1]2. Abinitio IF'!$C:$C,'[1]2. Abinitio IF'!$BG:$BG," "),IF(_xlpm.x=0," ",_xlpm.x))</f>
        <v>BasicType=/CCEJ/SALESORDER_CREATEFROMDAT
MsgType=/CCEJ/SALESORDER_CREATE</v>
      </c>
    </row>
    <row r="302" spans="1:6" s="7" customFormat="1">
      <c r="A302" s="5" t="s">
        <v>373</v>
      </c>
      <c r="B302" s="7" t="s">
        <v>15</v>
      </c>
      <c r="C302" s="7" t="s">
        <v>16</v>
      </c>
      <c r="D302" s="7" t="str">
        <f>_xlfn.LET(_xlpm.x,_xlfn.XLOOKUP(A302,'[1]2. Abinitio IF'!$C:$C,'[1]2. Abinitio IF'!$AY:$AY," "), IF(_xlpm.x=0," ",_xlpm.x))</f>
        <v>Transactional</v>
      </c>
      <c r="E302" s="8">
        <f>_xlfn.LET(_xlpm.x,_xlfn.XLOOKUP($A302,'[1]2. Abinitio IF'!$C:$C,'[1]2. Abinitio IF'!$BA:$BA," "), IF(_xlpm.x=0," ",_xlpm.x))</f>
        <v>1</v>
      </c>
      <c r="F302" s="7" t="str">
        <f>_xlfn.LET(_xlpm.x,_xlfn.XLOOKUP($A302,'[1]2. Abinitio IF'!$C:$C,'[1]2. Abinitio IF'!$BG:$BG," "),IF(_xlpm.x=0," ",_xlpm.x))</f>
        <v>BasicType=/CCEJ/SALESORDER_CREATEFROMDAT
MsgType=/CCEJ/SALESORDER_CREATE</v>
      </c>
    </row>
    <row r="303" spans="1:6" s="7" customFormat="1">
      <c r="A303" s="5" t="s">
        <v>374</v>
      </c>
      <c r="B303" s="7" t="s">
        <v>15</v>
      </c>
      <c r="C303" s="7" t="s">
        <v>16</v>
      </c>
      <c r="D303" s="7" t="str">
        <f>_xlfn.LET(_xlpm.x,_xlfn.XLOOKUP(A303,'[1]2. Abinitio IF'!$C:$C,'[1]2. Abinitio IF'!$AY:$AY," "), IF(_xlpm.x=0," ",_xlpm.x))</f>
        <v>Transactional</v>
      </c>
      <c r="E303" s="8">
        <f>_xlfn.LET(_xlpm.x,_xlfn.XLOOKUP($A303,'[1]2. Abinitio IF'!$C:$C,'[1]2. Abinitio IF'!$BA:$BA," "), IF(_xlpm.x=0," ",_xlpm.x))</f>
        <v>1</v>
      </c>
      <c r="F303" s="7" t="str">
        <f>_xlfn.LET(_xlpm.x,_xlfn.XLOOKUP($A303,'[1]2. Abinitio IF'!$C:$C,'[1]2. Abinitio IF'!$BG:$BG," "),IF(_xlpm.x=0," ",_xlpm.x))</f>
        <v>BasicType=/CCEJ/SALESORDER_CREATEFROMDAT
MsgType=/CCEJ/SALESORDER_CREATE</v>
      </c>
    </row>
    <row r="304" spans="1:6" s="7" customFormat="1">
      <c r="A304" s="5" t="s">
        <v>375</v>
      </c>
      <c r="B304" s="7" t="s">
        <v>15</v>
      </c>
      <c r="C304" s="7" t="s">
        <v>16</v>
      </c>
      <c r="D304" s="7" t="str">
        <f>_xlfn.LET(_xlpm.x,_xlfn.XLOOKUP(A304,'[1]2. Abinitio IF'!$C:$C,'[1]2. Abinitio IF'!$AY:$AY," "), IF(_xlpm.x=0," ",_xlpm.x))</f>
        <v>Transactional</v>
      </c>
      <c r="E304" s="8">
        <f>_xlfn.LET(_xlpm.x,_xlfn.XLOOKUP($A304,'[1]2. Abinitio IF'!$C:$C,'[1]2. Abinitio IF'!$BA:$BA," "), IF(_xlpm.x=0," ",_xlpm.x))</f>
        <v>1</v>
      </c>
      <c r="F304" s="7" t="str">
        <f>_xlfn.LET(_xlpm.x,_xlfn.XLOOKUP($A304,'[1]2. Abinitio IF'!$C:$C,'[1]2. Abinitio IF'!$BG:$BG," "),IF(_xlpm.x=0," ",_xlpm.x))</f>
        <v>BasicType=/CCEJ/SALESORDER_CREATEFROMDAT
MsgType=/CCEJ/SALESORDER_CREATE</v>
      </c>
    </row>
    <row r="305" spans="1:6" s="7" customFormat="1">
      <c r="A305" s="5" t="s">
        <v>376</v>
      </c>
      <c r="B305" s="7" t="s">
        <v>15</v>
      </c>
      <c r="C305" s="7" t="s">
        <v>16</v>
      </c>
      <c r="D305" s="7" t="str">
        <f>_xlfn.LET(_xlpm.x,_xlfn.XLOOKUP(A305,'[1]2. Abinitio IF'!$C:$C,'[1]2. Abinitio IF'!$AY:$AY," "), IF(_xlpm.x=0," ",_xlpm.x))</f>
        <v>Transactional</v>
      </c>
      <c r="E305" s="8">
        <f>_xlfn.LET(_xlpm.x,_xlfn.XLOOKUP($A305,'[1]2. Abinitio IF'!$C:$C,'[1]2. Abinitio IF'!$BA:$BA," "), IF(_xlpm.x=0," ",_xlpm.x))</f>
        <v>1</v>
      </c>
      <c r="F305" s="7" t="str">
        <f>_xlfn.LET(_xlpm.x,_xlfn.XLOOKUP($A305,'[1]2. Abinitio IF'!$C:$C,'[1]2. Abinitio IF'!$BG:$BG," "),IF(_xlpm.x=0," ",_xlpm.x))</f>
        <v>BasicType=/CCEJ/SALESORDER_CREATEFROMDAT
MsgType=/CCEJ/SALESORDER_CREATE</v>
      </c>
    </row>
    <row r="306" spans="1:6" s="7" customFormat="1">
      <c r="A306" s="5" t="s">
        <v>377</v>
      </c>
      <c r="B306" s="7" t="s">
        <v>15</v>
      </c>
      <c r="C306" s="7" t="s">
        <v>16</v>
      </c>
      <c r="D306" s="7" t="str">
        <f>_xlfn.LET(_xlpm.x,_xlfn.XLOOKUP(A306,'[1]2. Abinitio IF'!$C:$C,'[1]2. Abinitio IF'!$AY:$AY," "), IF(_xlpm.x=0," ",_xlpm.x))</f>
        <v>Transactional</v>
      </c>
      <c r="E306" s="8">
        <f>_xlfn.LET(_xlpm.x,_xlfn.XLOOKUP($A306,'[1]2. Abinitio IF'!$C:$C,'[1]2. Abinitio IF'!$BA:$BA," "), IF(_xlpm.x=0," ",_xlpm.x))</f>
        <v>1</v>
      </c>
      <c r="F306" s="7" t="str">
        <f>_xlfn.LET(_xlpm.x,_xlfn.XLOOKUP($A306,'[1]2. Abinitio IF'!$C:$C,'[1]2. Abinitio IF'!$BG:$BG," "),IF(_xlpm.x=0," ",_xlpm.x))</f>
        <v>BasicType=/CCEJ/SALESORDER_CREATEFROMDAT
MsgType=/CCEJ/SALESORDER_CREATE</v>
      </c>
    </row>
    <row r="307" spans="1:6" s="7" customFormat="1">
      <c r="A307" s="5" t="s">
        <v>378</v>
      </c>
      <c r="B307" s="7" t="s">
        <v>15</v>
      </c>
      <c r="C307" s="7" t="s">
        <v>16</v>
      </c>
      <c r="D307" s="7" t="str">
        <f>_xlfn.LET(_xlpm.x,_xlfn.XLOOKUP(A307,'[1]2. Abinitio IF'!$C:$C,'[1]2. Abinitio IF'!$AY:$AY," "), IF(_xlpm.x=0," ",_xlpm.x))</f>
        <v>Transactional</v>
      </c>
      <c r="E307" s="8">
        <f>_xlfn.LET(_xlpm.x,_xlfn.XLOOKUP($A307,'[1]2. Abinitio IF'!$C:$C,'[1]2. Abinitio IF'!$BA:$BA," "), IF(_xlpm.x=0," ",_xlpm.x))</f>
        <v>1</v>
      </c>
      <c r="F307" s="7" t="str">
        <f>_xlfn.LET(_xlpm.x,_xlfn.XLOOKUP($A307,'[1]2. Abinitio IF'!$C:$C,'[1]2. Abinitio IF'!$BG:$BG," "),IF(_xlpm.x=0," ",_xlpm.x))</f>
        <v>BasicType=/CCEJ/SALESORDER_CREATEFROMDAT
MsgType=/CCEJ/SALESORDER_CREATE</v>
      </c>
    </row>
    <row r="308" spans="1:6" s="7" customFormat="1">
      <c r="A308" s="5" t="s">
        <v>379</v>
      </c>
      <c r="B308" s="7" t="s">
        <v>15</v>
      </c>
      <c r="C308" s="7" t="s">
        <v>16</v>
      </c>
      <c r="D308" s="7" t="str">
        <f>_xlfn.LET(_xlpm.x,_xlfn.XLOOKUP(A308,'[1]2. Abinitio IF'!$C:$C,'[1]2. Abinitio IF'!$AY:$AY," "), IF(_xlpm.x=0," ",_xlpm.x))</f>
        <v>Transactional</v>
      </c>
      <c r="E308" s="8">
        <f>_xlfn.LET(_xlpm.x,_xlfn.XLOOKUP($A308,'[1]2. Abinitio IF'!$C:$C,'[1]2. Abinitio IF'!$BA:$BA," "), IF(_xlpm.x=0," ",_xlpm.x))</f>
        <v>1</v>
      </c>
      <c r="F308" s="7" t="str">
        <f>_xlfn.LET(_xlpm.x,_xlfn.XLOOKUP($A308,'[1]2. Abinitio IF'!$C:$C,'[1]2. Abinitio IF'!$BG:$BG," "),IF(_xlpm.x=0," ",_xlpm.x))</f>
        <v>BasicType=/CCEJ/SALESORDER_CREATEFROMDAT
MsgType=/CCEJ/SALESORDER_CREATE</v>
      </c>
    </row>
    <row r="309" spans="1:6" s="7" customFormat="1">
      <c r="A309" s="5" t="s">
        <v>380</v>
      </c>
      <c r="B309" s="7" t="s">
        <v>39</v>
      </c>
      <c r="C309" s="7" t="s">
        <v>16</v>
      </c>
      <c r="D309" s="7" t="str">
        <f>_xlfn.LET(_xlpm.x,_xlfn.XLOOKUP(A309,'[1]2. Abinitio IF'!$C:$C,'[1]2. Abinitio IF'!$AY:$AY," "), IF(_xlpm.x=0," ",_xlpm.x))</f>
        <v>Transactional</v>
      </c>
      <c r="E309" s="8">
        <f>_xlfn.LET(_xlpm.x,_xlfn.XLOOKUP($A309,'[1]2. Abinitio IF'!$C:$C,'[1]2. Abinitio IF'!$BA:$BA," "), IF(_xlpm.x=0," ",_xlpm.x))</f>
        <v>1</v>
      </c>
      <c r="F309" s="7" t="str">
        <f>_xlfn.LET(_xlpm.x,_xlfn.XLOOKUP($A309,'[1]2. Abinitio IF'!$C:$C,'[1]2. Abinitio IF'!$BG:$BG," "),IF(_xlpm.x=0," ",_xlpm.x))</f>
        <v>EDIDC/EDID4
BasicType=/CCEJ/RTR_VIRTUAL_BANK_ACCOUNT
MsgType=/CCEJ/RTR_VIRTUAL_BANK_ACCOUNT</v>
      </c>
    </row>
    <row r="310" spans="1:6" s="7" customFormat="1" ht="82.5" customHeight="1">
      <c r="A310" s="5" t="s">
        <v>381</v>
      </c>
      <c r="B310" s="7" t="s">
        <v>39</v>
      </c>
      <c r="C310" s="7" t="s">
        <v>16</v>
      </c>
      <c r="D310" s="7" t="str">
        <f>_xlfn.LET(_xlpm.x,_xlfn.XLOOKUP(A310,'[1]2. Abinitio IF'!$C:$C,'[1]2. Abinitio IF'!$AY:$AY," "), IF(_xlpm.x=0," ",_xlpm.x))</f>
        <v>Transactional</v>
      </c>
      <c r="E310" s="8">
        <f>_xlfn.LET(_xlpm.x,_xlfn.XLOOKUP($A310,'[1]2. Abinitio IF'!$C:$C,'[1]2. Abinitio IF'!$BA:$BA," "), IF(_xlpm.x=0," ",_xlpm.x))</f>
        <v>1</v>
      </c>
      <c r="F310" s="7" t="str">
        <f>_xlfn.LET(_xlpm.x,_xlfn.XLOOKUP($A310,'[1]2. Abinitio IF'!$C:$C,'[1]2. Abinitio IF'!$BG:$BG," "),IF(_xlpm.x=0," ",_xlpm.x))</f>
        <v>EDIDC/EDID4
BasicType=/CCEJ/RTR_VIRTUAL_BANK_ACCOUNT
MsgType=/CCEJ/RTR_VIRTUAL_BANK_ACCOUNT</v>
      </c>
    </row>
  </sheetData>
  <autoFilter ref="A2:M310" xr:uid="{06B77016-108B-4A1E-A42D-C12C5D715739}"/>
  <mergeCells count="1">
    <mergeCell ref="H42:H52"/>
  </mergeCells>
  <conditionalFormatting sqref="E1 E3:E1048576">
    <cfRule type="cellIs" dxfId="0" priority="1" operator="greaterThan">
      <formula>1000</formula>
    </cfRule>
  </conditionalFormatting>
  <pageMargins left="0.7" right="0.7" top="0.75" bottom="0.75" header="0.3" footer="0.3"/>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Bisht, Disha</dc:creator>
  <cp:keywords/>
  <dc:description/>
  <cp:lastModifiedBy/>
  <cp:revision/>
  <dcterms:created xsi:type="dcterms:W3CDTF">2026-07-28T04:03:06Z</dcterms:created>
  <dcterms:modified xsi:type="dcterms:W3CDTF">2026-09-23T11:38:06Z</dcterms:modified>
  <cp:category/>
  <cp:contentStatus/>
</cp:coreProperties>
</file>