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ainer_mtc1\Downloads\"/>
    </mc:Choice>
  </mc:AlternateContent>
  <xr:revisionPtr revIDLastSave="0" documentId="8_{0B57CC6B-AA96-423B-9527-D4BBAAC0DABD}" xr6:coauthVersionLast="47" xr6:coauthVersionMax="47" xr10:uidLastSave="{00000000-0000-0000-0000-000000000000}"/>
  <bookViews>
    <workbookView xWindow="-120" yWindow="-120" windowWidth="29040" windowHeight="15720" xr2:uid="{7F13471A-AE46-4CC5-961E-F824173624CB}"/>
  </bookViews>
  <sheets>
    <sheet name="DPR ( 02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6" i="3" l="1"/>
  <c r="U76" i="3"/>
  <c r="V76" i="3"/>
  <c r="W76" i="3"/>
  <c r="X76" i="3"/>
  <c r="Y76" i="3"/>
  <c r="Z76" i="3"/>
  <c r="AA76" i="3"/>
  <c r="AB76" i="3"/>
  <c r="AC76" i="3"/>
  <c r="AD76" i="3"/>
  <c r="AE76" i="3"/>
  <c r="S76" i="3"/>
  <c r="D76" i="3"/>
  <c r="E76" i="3"/>
  <c r="F76" i="3"/>
  <c r="G76" i="3"/>
  <c r="H76" i="3"/>
  <c r="I76" i="3"/>
  <c r="J76" i="3"/>
  <c r="K76" i="3"/>
  <c r="L76" i="3"/>
  <c r="M76" i="3"/>
  <c r="N76" i="3"/>
  <c r="O76" i="3"/>
  <c r="C76" i="3"/>
  <c r="G48" i="1"/>
  <c r="F48" i="1"/>
  <c r="E48" i="1"/>
  <c r="D48" i="1"/>
  <c r="C48" i="1"/>
  <c r="B48" i="1"/>
  <c r="G47" i="1"/>
  <c r="E47" i="1"/>
  <c r="C47" i="1"/>
</calcChain>
</file>

<file path=xl/sharedStrings.xml><?xml version="1.0" encoding="utf-8"?>
<sst xmlns="http://schemas.openxmlformats.org/spreadsheetml/2006/main" count="163" uniqueCount="112">
  <si>
    <t>Daily Production Report : 02-APR-2026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</si>
  <si>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</si>
  <si>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</si>
  <si>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</si>
  <si>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</si>
  <si>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</si>
  <si>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</si>
  <si>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</si>
  <si>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</si>
  <si>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</si>
  <si>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</si>
  <si>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</si>
  <si>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</si>
  <si>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</si>
  <si>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</si>
  <si>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</si>
  <si>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</si>
  <si>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</si>
  <si>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</si>
  <si>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</si>
  <si>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</si>
  <si>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</si>
  <si>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</si>
  <si>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</si>
  <si>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</si>
  <si>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</si>
  <si>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</si>
  <si>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</si>
  <si>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</si>
  <si>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</si>
  <si>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</si>
  <si>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</si>
  <si>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</si>
  <si>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</si>
  <si>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</si>
  <si>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</si>
  <si>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</si>
  <si>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</si>
  <si>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</si>
  <si>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</si>
  <si>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</si>
  <si>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</si>
  <si>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</si>
  <si>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</si>
  <si>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</si>
  <si>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</si>
  <si>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</si>
  <si>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</si>
  <si>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</si>
  <si>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</si>
  <si>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</si>
  <si>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</si>
  <si>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</si>
  <si>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</si>
  <si>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</si>
  <si>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</si>
  <si>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</si>
  <si>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</si>
  <si>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</si>
  <si>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</si>
  <si>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</si>
  <si>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</si>
  <si>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</si>
  <si>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</si>
  <si>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01.APR.2026</t>
  </si>
  <si>
    <t>ME-H4 &amp; ME-H5 ARE CLOSED DUE TO DGFF PROCESS LIMIT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</si>
  <si>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</si>
  <si>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</si>
  <si>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</si>
  <si>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25.JUN.2026 At 10:50:54</t>
  </si>
  <si>
    <t>Production Date</t>
  </si>
  <si>
    <t>01.MAR.2026</t>
  </si>
  <si>
    <t>02.MAR.2026</t>
  </si>
  <si>
    <t>03.MAR.2026</t>
  </si>
  <si>
    <t>04.MAR.2026</t>
  </si>
  <si>
    <t>05.MAR.2026</t>
  </si>
  <si>
    <t>06.MAR.2026</t>
  </si>
  <si>
    <t>07.MAR.2026</t>
  </si>
  <si>
    <t>08.MAR.2026</t>
  </si>
  <si>
    <t>09.MAR.2026</t>
  </si>
  <si>
    <t>10.MAR.2026</t>
  </si>
  <si>
    <t>11.MAR.2026</t>
  </si>
  <si>
    <t>12.MAR.2026</t>
  </si>
  <si>
    <t>13.MAR.2026</t>
  </si>
  <si>
    <t>14.MAR.2026</t>
  </si>
  <si>
    <t>15.MAR.2026</t>
  </si>
  <si>
    <t>16.MAR.2026</t>
  </si>
  <si>
    <t>17.MAR.2026</t>
  </si>
  <si>
    <t>18.MAR.2026</t>
  </si>
  <si>
    <t>19.MAR.2026</t>
  </si>
  <si>
    <t>20.MAR.2026</t>
  </si>
  <si>
    <t>21.MAR.2026</t>
  </si>
  <si>
    <t>22.MAR.2026</t>
  </si>
  <si>
    <t>23.MAR.2026</t>
  </si>
  <si>
    <t>24.MAR.2026</t>
  </si>
  <si>
    <t>25.MAR.2026</t>
  </si>
  <si>
    <t>26.MAR.2026</t>
  </si>
  <si>
    <t>27.MAR.2026</t>
  </si>
  <si>
    <t>28.MAR.2026</t>
  </si>
  <si>
    <t>29.MAR.2026</t>
  </si>
  <si>
    <t>30.MAR.2026</t>
  </si>
  <si>
    <t>31.MAR.2026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</si>
  <si>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</si>
  <si>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</si>
  <si>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</si>
  <si>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</si>
  <si>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</si>
  <si>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</si>
  <si>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</si>
  <si>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</si>
  <si>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</si>
  <si>
    <t>AVG Prod. Manual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</si>
</sst>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" fontId="0" fillId="0" borderId="3" xfId="0" applyNumberFormat="1" applyFill="1" applyBorder="1" applyAlignment="1">
      <alignment horizontal="center" vertical="center" wrapText="1"/>
    </xf>
    <xf numFmtId="164" fontId="0" fillId="0" borderId="3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0" borderId="3" xfId="0" applyFill="1" applyBorder="1" applyAlignment="1">
      <alignment horizontal="center" vertical="center" wrapText="1"/>
    </xf>
    <xf numFmtId="166" fontId="0" fillId="0" borderId="3" xfId="0" applyNumberForma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11" borderId="3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12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01.MAR.2026</c:v>
                </c:pt>
                <c:pt idx="1">
                  <c:v>02.MAR.2026</c:v>
                </c:pt>
                <c:pt idx="2">
                  <c:v>03.MAR.2026</c:v>
                </c:pt>
                <c:pt idx="3">
                  <c:v>04.MAR.2026</c:v>
                </c:pt>
                <c:pt idx="4">
                  <c:v>05.MAR.2026</c:v>
                </c:pt>
                <c:pt idx="5">
                  <c:v>06.MAR.2026</c:v>
                </c:pt>
                <c:pt idx="6">
                  <c:v>07.MAR.2026</c:v>
                </c:pt>
                <c:pt idx="7">
                  <c:v>08.MAR.2026</c:v>
                </c:pt>
                <c:pt idx="8">
                  <c:v>09.MAR.2026</c:v>
                </c:pt>
                <c:pt idx="9">
                  <c:v>10.MAR.2026</c:v>
                </c:pt>
                <c:pt idx="10">
                  <c:v>11.MAR.2026</c:v>
                </c:pt>
                <c:pt idx="11">
                  <c:v>12.MAR.2026</c:v>
                </c:pt>
                <c:pt idx="12">
                  <c:v>13.MAR.2026</c:v>
                </c:pt>
                <c:pt idx="13">
                  <c:v>14.MAR.2026</c:v>
                </c:pt>
                <c:pt idx="14">
                  <c:v>15.MAR.2026</c:v>
                </c:pt>
                <c:pt idx="15">
                  <c:v>16.MAR.2026</c:v>
                </c:pt>
                <c:pt idx="16">
                  <c:v>17.MAR.2026</c:v>
                </c:pt>
                <c:pt idx="17">
                  <c:v>18.MAR.2026</c:v>
                </c:pt>
                <c:pt idx="18">
                  <c:v>19.MAR.2026</c:v>
                </c:pt>
                <c:pt idx="19">
                  <c:v>20.MAR.2026</c:v>
                </c:pt>
                <c:pt idx="20">
                  <c:v>21.MAR.2026</c:v>
                </c:pt>
                <c:pt idx="21">
                  <c:v>22.MAR.2026</c:v>
                </c:pt>
                <c:pt idx="22">
                  <c:v>23.MAR.2026</c:v>
                </c:pt>
                <c:pt idx="23">
                  <c:v>24.MAR.2026</c:v>
                </c:pt>
                <c:pt idx="24">
                  <c:v>25.MAR.2026</c:v>
                </c:pt>
                <c:pt idx="25">
                  <c:v>26.MAR.2026</c:v>
                </c:pt>
                <c:pt idx="26">
                  <c:v>27.MAR.2026</c:v>
                </c:pt>
                <c:pt idx="27">
                  <c:v>28.MAR.2026</c:v>
                </c:pt>
                <c:pt idx="28">
                  <c:v>29.MAR.2026</c:v>
                </c:pt>
                <c:pt idx="29">
                  <c:v>30.MAR.2026</c:v>
                </c:pt>
                <c:pt idx="30">
                  <c:v>31.MAR.2026</c:v>
                </c:pt>
                <c:pt idx="31">
                  <c:v>01.APR.2026</c:v>
                </c:pt>
              </c:strCache>
            </c:strRef>
          </c:cat>
          <c:val>
            <c:numRef>
              <c:f>'2'!$C$3:$AH$3</c:f>
              <c:numCache>
                <c:formatCode>General</c:formatCode>
                <c:ptCount val="32"/>
                <c:pt idx="0">
                  <c:v>203846.98997190001</c:v>
                </c:pt>
                <c:pt idx="1">
                  <c:v>193740.47338499999</c:v>
                </c:pt>
                <c:pt idx="2">
                  <c:v>193691.38686530001</c:v>
                </c:pt>
                <c:pt idx="3">
                  <c:v>190504.1395472</c:v>
                </c:pt>
                <c:pt idx="4">
                  <c:v>203398.0402815</c:v>
                </c:pt>
                <c:pt idx="5">
                  <c:v>199093.6399832</c:v>
                </c:pt>
                <c:pt idx="6">
                  <c:v>189562.25342359999</c:v>
                </c:pt>
                <c:pt idx="7">
                  <c:v>191505.76367069999</c:v>
                </c:pt>
                <c:pt idx="8">
                  <c:v>188162.59279980001</c:v>
                </c:pt>
                <c:pt idx="9">
                  <c:v>189323.33432309999</c:v>
                </c:pt>
                <c:pt idx="10">
                  <c:v>191076.38111389999</c:v>
                </c:pt>
                <c:pt idx="11">
                  <c:v>192032.31949739999</c:v>
                </c:pt>
                <c:pt idx="12">
                  <c:v>186729.16950290001</c:v>
                </c:pt>
                <c:pt idx="13">
                  <c:v>189084.1184254</c:v>
                </c:pt>
                <c:pt idx="14">
                  <c:v>181665.48428949999</c:v>
                </c:pt>
                <c:pt idx="15">
                  <c:v>183010.550563</c:v>
                </c:pt>
                <c:pt idx="16">
                  <c:v>181127.7211127</c:v>
                </c:pt>
                <c:pt idx="17">
                  <c:v>181533.96233330001</c:v>
                </c:pt>
                <c:pt idx="18">
                  <c:v>183335.5379617</c:v>
                </c:pt>
                <c:pt idx="19">
                  <c:v>183808.44705469999</c:v>
                </c:pt>
                <c:pt idx="20">
                  <c:v>182738.19504809999</c:v>
                </c:pt>
                <c:pt idx="21">
                  <c:v>180976.67692649999</c:v>
                </c:pt>
                <c:pt idx="22">
                  <c:v>183026.59147489999</c:v>
                </c:pt>
                <c:pt idx="23">
                  <c:v>181172.43534970001</c:v>
                </c:pt>
                <c:pt idx="24">
                  <c:v>189230.26221849999</c:v>
                </c:pt>
                <c:pt idx="25">
                  <c:v>183469.63572329999</c:v>
                </c:pt>
                <c:pt idx="26">
                  <c:v>184363.41386100001</c:v>
                </c:pt>
                <c:pt idx="27">
                  <c:v>187318.1550723</c:v>
                </c:pt>
                <c:pt idx="28">
                  <c:v>184338.50240130001</c:v>
                </c:pt>
                <c:pt idx="29">
                  <c:v>188935.76166640001</c:v>
                </c:pt>
                <c:pt idx="30">
                  <c:v>186258.4765657</c:v>
                </c:pt>
                <c:pt idx="31">
                  <c:v>193337.59507489999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C-4459-896B-7764C37A78D3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01.MAR.2026</c:v>
                </c:pt>
                <c:pt idx="1">
                  <c:v>02.MAR.2026</c:v>
                </c:pt>
                <c:pt idx="2">
                  <c:v>03.MAR.2026</c:v>
                </c:pt>
                <c:pt idx="3">
                  <c:v>04.MAR.2026</c:v>
                </c:pt>
                <c:pt idx="4">
                  <c:v>05.MAR.2026</c:v>
                </c:pt>
                <c:pt idx="5">
                  <c:v>06.MAR.2026</c:v>
                </c:pt>
                <c:pt idx="6">
                  <c:v>07.MAR.2026</c:v>
                </c:pt>
                <c:pt idx="7">
                  <c:v>08.MAR.2026</c:v>
                </c:pt>
                <c:pt idx="8">
                  <c:v>09.MAR.2026</c:v>
                </c:pt>
                <c:pt idx="9">
                  <c:v>10.MAR.2026</c:v>
                </c:pt>
                <c:pt idx="10">
                  <c:v>11.MAR.2026</c:v>
                </c:pt>
                <c:pt idx="11">
                  <c:v>12.MAR.2026</c:v>
                </c:pt>
                <c:pt idx="12">
                  <c:v>13.MAR.2026</c:v>
                </c:pt>
                <c:pt idx="13">
                  <c:v>14.MAR.2026</c:v>
                </c:pt>
                <c:pt idx="14">
                  <c:v>15.MAR.2026</c:v>
                </c:pt>
                <c:pt idx="15">
                  <c:v>16.MAR.2026</c:v>
                </c:pt>
                <c:pt idx="16">
                  <c:v>17.MAR.2026</c:v>
                </c:pt>
                <c:pt idx="17">
                  <c:v>18.MAR.2026</c:v>
                </c:pt>
                <c:pt idx="18">
                  <c:v>19.MAR.2026</c:v>
                </c:pt>
                <c:pt idx="19">
                  <c:v>20.MAR.2026</c:v>
                </c:pt>
                <c:pt idx="20">
                  <c:v>21.MAR.2026</c:v>
                </c:pt>
                <c:pt idx="21">
                  <c:v>22.MAR.2026</c:v>
                </c:pt>
                <c:pt idx="22">
                  <c:v>23.MAR.2026</c:v>
                </c:pt>
                <c:pt idx="23">
                  <c:v>24.MAR.2026</c:v>
                </c:pt>
                <c:pt idx="24">
                  <c:v>25.MAR.2026</c:v>
                </c:pt>
                <c:pt idx="25">
                  <c:v>26.MAR.2026</c:v>
                </c:pt>
                <c:pt idx="26">
                  <c:v>27.MAR.2026</c:v>
                </c:pt>
                <c:pt idx="27">
                  <c:v>28.MAR.2026</c:v>
                </c:pt>
                <c:pt idx="28">
                  <c:v>29.MAR.2026</c:v>
                </c:pt>
                <c:pt idx="29">
                  <c:v>30.MAR.2026</c:v>
                </c:pt>
                <c:pt idx="30">
                  <c:v>31.MAR.2026</c:v>
                </c:pt>
                <c:pt idx="31">
                  <c:v>01.APR.2026</c:v>
                </c:pt>
              </c:strCache>
            </c:strRef>
          </c:cat>
          <c:val>
            <c:numRef>
              <c:f>'2'!$C$4:$AH$4</c:f>
              <c:numCache>
                <c:formatCode>General</c:formatCode>
                <c:ptCount val="32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C-4459-896B-7764C37A7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864944"/>
        <c:axId val="1583864464"/>
      </c:lineChart>
      <c:catAx>
        <c:axId val="158386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83864464"/>
        <c:crosses val="autoZero"/>
        <c:auto val="1"/>
        <c:lblAlgn val="ctr"/>
        <c:lblOffset val="100"/>
        <c:noMultiLvlLbl val="0"/>
      </c:catAx>
      <c:valAx>
        <c:axId val="1583864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386494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ETAINER_MTC1\DOWNLOADS\20260625104742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5</xdr:col>
      <xdr:colOff>3175</xdr:colOff>
      <xdr:row>3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2F3638-8A4D-9A46-D927-486617917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0</xdr:rowOff>
    </xdr:from>
    <xdr:to>
      <xdr:col>20</xdr:col>
      <xdr:colOff>520700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48D78-5524-B3BE-B8CC-1A89F144C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CAE7-36AD-4D06-8F76-BAB9CAB8E013}">
  <sheetPr>
    <pageSetUpPr fitToPage="1"/>
  </sheetPr>
  <dimension ref="A4:AG76"/>
  <sheetViews>
    <sheetView tabSelected="1" topLeftCell="A27" zoomScale="80" zoomScaleNormal="80" workbookViewId="0">
      <selection activeCell="A39" sqref="A39:XFD75"/>
    </sheetView>
  </sheetViews>
  <sheetFormatPr defaultRowHeight="15" x14ac:dyDescent="0.25"/>
  <cols>
    <col min="1" max="1" width="25.7109375" customWidth="1"/>
    <col min="2" max="2" width="11.85546875" customWidth="1"/>
    <col min="3" max="15" width="12.28515625" customWidth="1"/>
    <col min="16" max="16" width="12.7109375" customWidth="1"/>
    <col min="17" max="17" width="12.28515625" customWidth="1"/>
    <col min="18" max="18" width="12.7109375" customWidth="1"/>
    <col min="19" max="31" width="12.28515625" customWidth="1"/>
    <col min="32" max="33" width="12.7109375" customWidth="1"/>
  </cols>
  <sheetData>
    <row r="4" spans="1:33" x14ac:dyDescent="0.25">
      <c r="A4" s="1" t="s">
        <v>0</v>
      </c>
      <c r="B4" s="1"/>
      <c r="C4" s="1"/>
      <c r="D4" s="1"/>
      <c r="E4" s="1"/>
    </row>
    <row r="5" spans="1:33" ht="15" customHeight="1" x14ac:dyDescent="0.2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2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25">
      <c r="A7" s="19" t="s">
        <v>26</v>
      </c>
      <c r="B7" s="19"/>
      <c r="C7" s="23">
        <v>2.9249999999999998</v>
      </c>
      <c r="D7" s="23">
        <v>27</v>
      </c>
      <c r="E7" s="23">
        <v>0.23200000000000001</v>
      </c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>
        <v>0.23200000000000001</v>
      </c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25">
      <c r="A8" s="19" t="s">
        <v>27</v>
      </c>
      <c r="B8" s="19"/>
      <c r="C8" s="23">
        <v>7.4446060000000003</v>
      </c>
      <c r="D8" s="23">
        <v>6.6649919999999998</v>
      </c>
      <c r="E8" s="23">
        <v>6.665</v>
      </c>
      <c r="F8" s="23">
        <v>7.3778699999999997</v>
      </c>
      <c r="G8" s="23">
        <v>6.7799870000000002</v>
      </c>
      <c r="H8" s="23">
        <v>7.7291179999999997</v>
      </c>
      <c r="I8" s="23">
        <v>7.323245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6.570004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2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2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25">
      <c r="A11" s="19">
        <v>46082</v>
      </c>
      <c r="B11" s="19"/>
      <c r="C11" s="27">
        <v>298742</v>
      </c>
      <c r="D11" s="27">
        <v>35020.35</v>
      </c>
      <c r="E11" s="27">
        <v>128511.902</v>
      </c>
      <c r="F11" s="27">
        <v>22778</v>
      </c>
      <c r="G11" s="27">
        <v>4676</v>
      </c>
      <c r="H11" s="27">
        <v>2062.491</v>
      </c>
      <c r="I11" s="27">
        <v>191127</v>
      </c>
      <c r="J11" s="27">
        <v>151392.29999999999</v>
      </c>
      <c r="K11" s="27">
        <v>53770.45</v>
      </c>
      <c r="L11" s="27">
        <v>12231</v>
      </c>
      <c r="M11" s="27">
        <v>449370</v>
      </c>
      <c r="N11" s="27">
        <v>6969</v>
      </c>
      <c r="O11" s="27">
        <v>2813</v>
      </c>
      <c r="P11" s="28">
        <v>152684.26586263999</v>
      </c>
      <c r="Q11" s="29">
        <v>0</v>
      </c>
      <c r="R11" s="30">
        <v>0</v>
      </c>
      <c r="S11" s="31">
        <v>15.065439</v>
      </c>
      <c r="T11" s="31">
        <v>0.45500000000000002</v>
      </c>
      <c r="U11" s="31">
        <v>7.25</v>
      </c>
      <c r="V11" s="31">
        <v>3.5081000000000001E-3</v>
      </c>
      <c r="W11" s="32">
        <v>0</v>
      </c>
      <c r="X11" s="31">
        <v>10.926204</v>
      </c>
      <c r="Y11" s="31">
        <v>3.3771105000000001</v>
      </c>
      <c r="Z11" s="31">
        <v>0.28576499999999999</v>
      </c>
      <c r="AA11" s="31">
        <v>12.3441425</v>
      </c>
      <c r="AB11" s="31">
        <v>8.8355979999999992</v>
      </c>
      <c r="AC11" s="31">
        <v>0.229745</v>
      </c>
      <c r="AD11" s="31">
        <v>0.1062606</v>
      </c>
      <c r="AE11" s="32">
        <v>0</v>
      </c>
      <c r="AF11" s="25">
        <v>8.1339783957500007</v>
      </c>
      <c r="AG11" s="33">
        <v>203846.98997190699</v>
      </c>
    </row>
    <row r="12" spans="1:33" x14ac:dyDescent="0.25">
      <c r="A12" s="19">
        <v>46083</v>
      </c>
      <c r="B12" s="19"/>
      <c r="C12" s="34">
        <v>347692</v>
      </c>
      <c r="D12" s="34">
        <v>35020.35</v>
      </c>
      <c r="E12" s="34">
        <v>129142.69899999999</v>
      </c>
      <c r="F12" s="34">
        <v>22742</v>
      </c>
      <c r="G12" s="34">
        <v>4629</v>
      </c>
      <c r="H12" s="34">
        <v>2066.8939999999998</v>
      </c>
      <c r="I12" s="34">
        <v>186020</v>
      </c>
      <c r="J12" s="34">
        <v>155633.70000000001</v>
      </c>
      <c r="K12" s="34">
        <v>47883</v>
      </c>
      <c r="L12" s="34">
        <v>10461</v>
      </c>
      <c r="M12" s="34">
        <v>448623</v>
      </c>
      <c r="N12" s="34">
        <v>7094</v>
      </c>
      <c r="O12" s="34">
        <v>2834</v>
      </c>
      <c r="P12" s="28">
        <v>152247.97881167999</v>
      </c>
      <c r="Q12" s="29">
        <v>0</v>
      </c>
      <c r="R12" s="30">
        <v>0</v>
      </c>
      <c r="S12" s="35">
        <v>15.190085</v>
      </c>
      <c r="T12" s="35">
        <v>0.45500000000000002</v>
      </c>
      <c r="U12" s="35">
        <v>7.4089999999999998</v>
      </c>
      <c r="V12" s="35">
        <v>3.6365999999999998E-3</v>
      </c>
      <c r="W12" s="32">
        <v>0</v>
      </c>
      <c r="X12" s="35">
        <v>11.463201099999999</v>
      </c>
      <c r="Y12" s="35">
        <v>3.3881302999999998</v>
      </c>
      <c r="Z12" s="35">
        <v>0.28327799999999997</v>
      </c>
      <c r="AA12" s="35">
        <v>12.3779246</v>
      </c>
      <c r="AB12" s="35">
        <v>2.532222</v>
      </c>
      <c r="AC12" s="35">
        <v>0.22861190000000001</v>
      </c>
      <c r="AD12" s="35">
        <v>0.1064306</v>
      </c>
      <c r="AE12" s="32">
        <v>0</v>
      </c>
      <c r="AF12" s="25">
        <v>6.5965810132499998</v>
      </c>
      <c r="AG12" s="33">
        <v>193740.47338502199</v>
      </c>
    </row>
    <row r="13" spans="1:33" x14ac:dyDescent="0.25">
      <c r="A13" s="19">
        <v>46084</v>
      </c>
      <c r="B13" s="19"/>
      <c r="C13" s="27">
        <v>333563</v>
      </c>
      <c r="D13" s="27">
        <v>34808.129999999997</v>
      </c>
      <c r="E13" s="27">
        <v>126447.19</v>
      </c>
      <c r="F13" s="27">
        <v>22703</v>
      </c>
      <c r="G13" s="27">
        <v>4601</v>
      </c>
      <c r="H13" s="27">
        <v>2066.1770000000001</v>
      </c>
      <c r="I13" s="27">
        <v>182775</v>
      </c>
      <c r="J13" s="27">
        <v>155914.20000000001</v>
      </c>
      <c r="K13" s="27">
        <v>52492.2</v>
      </c>
      <c r="L13" s="27">
        <v>9818</v>
      </c>
      <c r="M13" s="27">
        <v>452133</v>
      </c>
      <c r="N13" s="27">
        <v>7082</v>
      </c>
      <c r="O13" s="27">
        <v>2885</v>
      </c>
      <c r="P13" s="28">
        <v>152309.7218308</v>
      </c>
      <c r="Q13" s="29">
        <v>0</v>
      </c>
      <c r="R13" s="30">
        <v>0</v>
      </c>
      <c r="S13" s="31">
        <v>15.290368300000001</v>
      </c>
      <c r="T13" s="31">
        <v>0.45400000000000001</v>
      </c>
      <c r="U13" s="31">
        <v>7.274</v>
      </c>
      <c r="V13" s="31">
        <v>3.6763999999999998E-3</v>
      </c>
      <c r="W13" s="32">
        <v>0</v>
      </c>
      <c r="X13" s="31">
        <v>11.2192635</v>
      </c>
      <c r="Y13" s="31">
        <v>3.3860622999999999</v>
      </c>
      <c r="Z13" s="31">
        <v>0.28067999999999999</v>
      </c>
      <c r="AA13" s="31">
        <v>12.343661300000001</v>
      </c>
      <c r="AB13" s="31">
        <v>2.6742750000000002</v>
      </c>
      <c r="AC13" s="31">
        <v>0.22237960000000001</v>
      </c>
      <c r="AD13" s="31">
        <v>9.3994300000000003E-2</v>
      </c>
      <c r="AE13" s="32">
        <v>0</v>
      </c>
      <c r="AF13" s="25">
        <v>6.5789610547750002</v>
      </c>
      <c r="AG13" s="33">
        <v>193691.386865334</v>
      </c>
    </row>
    <row r="14" spans="1:33" x14ac:dyDescent="0.25">
      <c r="A14" s="19">
        <v>46085</v>
      </c>
      <c r="B14" s="19"/>
      <c r="C14" s="34">
        <v>338038</v>
      </c>
      <c r="D14" s="34">
        <v>34857.69</v>
      </c>
      <c r="E14" s="34">
        <v>129037.412</v>
      </c>
      <c r="F14" s="34">
        <v>22672</v>
      </c>
      <c r="G14" s="34">
        <v>4563</v>
      </c>
      <c r="H14" s="34">
        <v>2065.6190000000001</v>
      </c>
      <c r="I14" s="34">
        <v>182807</v>
      </c>
      <c r="J14" s="34">
        <v>144387.29999999999</v>
      </c>
      <c r="K14" s="34">
        <v>52390.71</v>
      </c>
      <c r="L14" s="34">
        <v>12419</v>
      </c>
      <c r="M14" s="34">
        <v>428904</v>
      </c>
      <c r="N14" s="34">
        <v>7155</v>
      </c>
      <c r="O14" s="34">
        <v>2912</v>
      </c>
      <c r="P14" s="28">
        <v>149119.94284584001</v>
      </c>
      <c r="Q14" s="29">
        <v>0</v>
      </c>
      <c r="R14" s="30">
        <v>0</v>
      </c>
      <c r="S14" s="35">
        <v>15.092351300000001</v>
      </c>
      <c r="T14" s="35">
        <v>0.46100000000000002</v>
      </c>
      <c r="U14" s="35">
        <v>7.3890000000000002</v>
      </c>
      <c r="V14" s="35">
        <v>3.6037999999999999E-3</v>
      </c>
      <c r="W14" s="32">
        <v>0</v>
      </c>
      <c r="X14" s="35">
        <v>11.2152125</v>
      </c>
      <c r="Y14" s="35">
        <v>3.3935411000000002</v>
      </c>
      <c r="Z14" s="35">
        <v>0.27710299999999999</v>
      </c>
      <c r="AA14" s="35">
        <v>12.2619106</v>
      </c>
      <c r="AB14" s="35">
        <v>2.7659159999999998</v>
      </c>
      <c r="AC14" s="35">
        <v>0.2254958</v>
      </c>
      <c r="AD14" s="35">
        <v>9.2152999999999999E-2</v>
      </c>
      <c r="AE14" s="32">
        <v>0</v>
      </c>
      <c r="AF14" s="25">
        <v>6.5793635455250001</v>
      </c>
      <c r="AG14" s="33">
        <v>190504.139547192</v>
      </c>
    </row>
    <row r="15" spans="1:33" x14ac:dyDescent="0.25">
      <c r="A15" s="19">
        <v>46086</v>
      </c>
      <c r="B15" s="19"/>
      <c r="C15" s="27">
        <v>337092</v>
      </c>
      <c r="D15" s="27">
        <v>35257.040000000001</v>
      </c>
      <c r="E15" s="27">
        <v>126412.077</v>
      </c>
      <c r="F15" s="27">
        <v>22656</v>
      </c>
      <c r="G15" s="27">
        <v>4591</v>
      </c>
      <c r="H15" s="27">
        <v>2079.127</v>
      </c>
      <c r="I15" s="27">
        <v>181884</v>
      </c>
      <c r="J15" s="27">
        <v>148023.4</v>
      </c>
      <c r="K15" s="27">
        <v>54066.01</v>
      </c>
      <c r="L15" s="27">
        <v>6692</v>
      </c>
      <c r="M15" s="27">
        <v>456384</v>
      </c>
      <c r="N15" s="27">
        <v>7041</v>
      </c>
      <c r="O15" s="27">
        <v>3048</v>
      </c>
      <c r="P15" s="28">
        <v>150149.34631863999</v>
      </c>
      <c r="Q15" s="29">
        <v>0</v>
      </c>
      <c r="R15" s="30">
        <v>0</v>
      </c>
      <c r="S15" s="31">
        <v>15.1994335</v>
      </c>
      <c r="T15" s="31">
        <v>0.47199999999999998</v>
      </c>
      <c r="U15" s="31">
        <v>7.3449999999999998</v>
      </c>
      <c r="V15" s="31">
        <v>3.6549E-3</v>
      </c>
      <c r="W15" s="32">
        <v>0</v>
      </c>
      <c r="X15" s="31">
        <v>11.3443059</v>
      </c>
      <c r="Y15" s="31">
        <v>3.3958073999999998</v>
      </c>
      <c r="Z15" s="31">
        <v>0.27758699999999997</v>
      </c>
      <c r="AA15" s="31">
        <v>12.2353494</v>
      </c>
      <c r="AB15" s="31">
        <v>9.9426780000000008</v>
      </c>
      <c r="AC15" s="31">
        <v>0.21501419999999999</v>
      </c>
      <c r="AD15" s="31">
        <v>8.6912199999999995E-2</v>
      </c>
      <c r="AE15" s="32">
        <v>0</v>
      </c>
      <c r="AF15" s="25">
        <v>8.4656111228749999</v>
      </c>
      <c r="AG15" s="33">
        <v>203398.04028152299</v>
      </c>
    </row>
    <row r="16" spans="1:33" x14ac:dyDescent="0.25">
      <c r="A16" s="19">
        <v>46087</v>
      </c>
      <c r="B16" s="19"/>
      <c r="C16" s="34">
        <v>314116</v>
      </c>
      <c r="D16" s="34">
        <v>34735.53</v>
      </c>
      <c r="E16" s="34">
        <v>128737.537</v>
      </c>
      <c r="F16" s="34">
        <v>22419</v>
      </c>
      <c r="G16" s="34">
        <v>4635</v>
      </c>
      <c r="H16" s="34">
        <v>2105.5880000000002</v>
      </c>
      <c r="I16" s="34">
        <v>188512</v>
      </c>
      <c r="J16" s="34">
        <v>153677.6</v>
      </c>
      <c r="K16" s="34">
        <v>53292.92</v>
      </c>
      <c r="L16" s="34">
        <v>1581</v>
      </c>
      <c r="M16" s="34">
        <v>338950</v>
      </c>
      <c r="N16" s="34">
        <v>7043</v>
      </c>
      <c r="O16" s="34">
        <v>3050</v>
      </c>
      <c r="P16" s="28">
        <v>145897.49743583999</v>
      </c>
      <c r="Q16" s="29">
        <v>0</v>
      </c>
      <c r="R16" s="30">
        <v>0</v>
      </c>
      <c r="S16" s="35">
        <v>15.270254899999999</v>
      </c>
      <c r="T16" s="35">
        <v>0.47299999999999998</v>
      </c>
      <c r="U16" s="35">
        <v>7.4290000000000003</v>
      </c>
      <c r="V16" s="35">
        <v>3.5455999999999999E-3</v>
      </c>
      <c r="W16" s="32">
        <v>0</v>
      </c>
      <c r="X16" s="35">
        <v>11.3382436</v>
      </c>
      <c r="Y16" s="35">
        <v>3.3965155999999999</v>
      </c>
      <c r="Z16" s="35">
        <v>0.29597499999999999</v>
      </c>
      <c r="AA16" s="35">
        <v>12.2811378</v>
      </c>
      <c r="AB16" s="35">
        <v>9.7990639999999996</v>
      </c>
      <c r="AC16" s="35">
        <v>0.2215297</v>
      </c>
      <c r="AD16" s="35">
        <v>8.4844199999999995E-2</v>
      </c>
      <c r="AE16" s="32">
        <v>0</v>
      </c>
      <c r="AF16" s="25">
        <v>8.4572563668249998</v>
      </c>
      <c r="AG16" s="33">
        <v>199093.63998316901</v>
      </c>
    </row>
    <row r="17" spans="1:33" x14ac:dyDescent="0.25">
      <c r="A17" s="19">
        <v>46088</v>
      </c>
      <c r="B17" s="19"/>
      <c r="C17" s="27">
        <v>321649</v>
      </c>
      <c r="D17" s="27">
        <v>34678.44</v>
      </c>
      <c r="E17" s="27">
        <v>128069.736</v>
      </c>
      <c r="F17" s="27">
        <v>22854</v>
      </c>
      <c r="G17" s="27">
        <v>4564</v>
      </c>
      <c r="H17" s="27">
        <v>2093.2579999999998</v>
      </c>
      <c r="I17" s="27">
        <v>191030</v>
      </c>
      <c r="J17" s="27">
        <v>153188.6</v>
      </c>
      <c r="K17" s="27">
        <v>54466.46</v>
      </c>
      <c r="L17" s="27">
        <v>14718</v>
      </c>
      <c r="M17" s="27">
        <v>22364</v>
      </c>
      <c r="N17" s="27">
        <v>6926</v>
      </c>
      <c r="O17" s="27">
        <v>3205</v>
      </c>
      <c r="P17" s="28">
        <v>137582.38033752001</v>
      </c>
      <c r="Q17" s="29">
        <v>0</v>
      </c>
      <c r="R17" s="30">
        <v>0</v>
      </c>
      <c r="S17" s="31">
        <v>15.353824400000001</v>
      </c>
      <c r="T17" s="31">
        <v>0.46700000000000003</v>
      </c>
      <c r="U17" s="31">
        <v>7.3529999999999998</v>
      </c>
      <c r="V17" s="31">
        <v>3.8067999999999999E-3</v>
      </c>
      <c r="W17" s="32">
        <v>0</v>
      </c>
      <c r="X17" s="31">
        <v>11.3424646</v>
      </c>
      <c r="Y17" s="31">
        <v>3.3885551999999999</v>
      </c>
      <c r="Z17" s="31">
        <v>0.29657899999999998</v>
      </c>
      <c r="AA17" s="31">
        <v>11.484359700000001</v>
      </c>
      <c r="AB17" s="31">
        <v>9.6579370000000004</v>
      </c>
      <c r="AC17" s="31">
        <v>0.22011330000000001</v>
      </c>
      <c r="AD17" s="31">
        <v>8.9943300000000004E-2</v>
      </c>
      <c r="AE17" s="32">
        <v>0</v>
      </c>
      <c r="AF17" s="25">
        <v>8.2638907926999998</v>
      </c>
      <c r="AG17" s="33">
        <v>189562.25342360299</v>
      </c>
    </row>
    <row r="18" spans="1:33" x14ac:dyDescent="0.25">
      <c r="A18" s="19">
        <v>46089</v>
      </c>
      <c r="B18" s="19"/>
      <c r="C18" s="34">
        <v>349458</v>
      </c>
      <c r="D18" s="34">
        <v>34578.92</v>
      </c>
      <c r="E18" s="34">
        <v>129553.43399999999</v>
      </c>
      <c r="F18" s="34">
        <v>22796</v>
      </c>
      <c r="G18" s="34">
        <v>4590</v>
      </c>
      <c r="H18" s="34">
        <v>2091.8090000000002</v>
      </c>
      <c r="I18" s="34">
        <v>198546</v>
      </c>
      <c r="J18" s="34">
        <v>154892.70000000001</v>
      </c>
      <c r="K18" s="34">
        <v>53080.71</v>
      </c>
      <c r="L18" s="34">
        <v>8639</v>
      </c>
      <c r="M18" s="34">
        <v>36007</v>
      </c>
      <c r="N18" s="34">
        <v>6942</v>
      </c>
      <c r="O18" s="34">
        <v>3125</v>
      </c>
      <c r="P18" s="28">
        <v>138992.06611688001</v>
      </c>
      <c r="Q18" s="29">
        <v>0</v>
      </c>
      <c r="R18" s="30">
        <v>0</v>
      </c>
      <c r="S18" s="35">
        <v>16.280169999999998</v>
      </c>
      <c r="T18" s="35">
        <v>0.46600000000000003</v>
      </c>
      <c r="U18" s="35">
        <v>7.48</v>
      </c>
      <c r="V18" s="35">
        <v>3.9205999999999998E-3</v>
      </c>
      <c r="W18" s="32">
        <v>0</v>
      </c>
      <c r="X18" s="35">
        <v>11.344504199999999</v>
      </c>
      <c r="Y18" s="35">
        <v>3.3865721999999998</v>
      </c>
      <c r="Z18" s="35">
        <v>0.29164699999999999</v>
      </c>
      <c r="AA18" s="35">
        <v>11.496734099999999</v>
      </c>
      <c r="AB18" s="35">
        <v>9.8984039999999993</v>
      </c>
      <c r="AC18" s="35">
        <v>0.2215297</v>
      </c>
      <c r="AD18" s="35">
        <v>8.3541099999999993E-2</v>
      </c>
      <c r="AE18" s="32">
        <v>0</v>
      </c>
      <c r="AF18" s="25">
        <v>8.3487595475000003</v>
      </c>
      <c r="AG18" s="33">
        <v>191505.763670655</v>
      </c>
    </row>
    <row r="19" spans="1:33" x14ac:dyDescent="0.25">
      <c r="A19" s="19">
        <v>46090</v>
      </c>
      <c r="B19" s="19"/>
      <c r="C19" s="27">
        <v>325538</v>
      </c>
      <c r="D19" s="27">
        <v>34619.160000000003</v>
      </c>
      <c r="E19" s="27">
        <v>125988.878</v>
      </c>
      <c r="F19" s="27">
        <v>22747</v>
      </c>
      <c r="G19" s="27">
        <v>4468</v>
      </c>
      <c r="H19" s="27">
        <v>2097.1570000000002</v>
      </c>
      <c r="I19" s="27">
        <v>196616</v>
      </c>
      <c r="J19" s="27">
        <v>153563.9</v>
      </c>
      <c r="K19" s="27">
        <v>52248.79</v>
      </c>
      <c r="L19" s="27">
        <v>8310</v>
      </c>
      <c r="M19" s="27">
        <v>604</v>
      </c>
      <c r="N19" s="27">
        <v>6431</v>
      </c>
      <c r="O19" s="27">
        <v>3157</v>
      </c>
      <c r="P19" s="28">
        <v>135726.67989696001</v>
      </c>
      <c r="Q19" s="29">
        <v>0</v>
      </c>
      <c r="R19" s="30">
        <v>0</v>
      </c>
      <c r="S19" s="31">
        <v>16.2827196</v>
      </c>
      <c r="T19" s="31">
        <v>0.46600000000000003</v>
      </c>
      <c r="U19" s="31">
        <v>7.4720000000000004</v>
      </c>
      <c r="V19" s="31">
        <v>3.7710999999999999E-3</v>
      </c>
      <c r="W19" s="32">
        <v>0</v>
      </c>
      <c r="X19" s="31">
        <v>11.3396317</v>
      </c>
      <c r="Y19" s="31">
        <v>3.3923795999999999</v>
      </c>
      <c r="Z19" s="31">
        <v>0.287242</v>
      </c>
      <c r="AA19" s="31">
        <v>11.5217945</v>
      </c>
      <c r="AB19" s="31">
        <v>9.8431460000000008</v>
      </c>
      <c r="AC19" s="31">
        <v>0.21671389999999999</v>
      </c>
      <c r="AD19" s="31">
        <v>8.8073700000000005E-2</v>
      </c>
      <c r="AE19" s="32">
        <v>0</v>
      </c>
      <c r="AF19" s="25">
        <v>8.3363931483000009</v>
      </c>
      <c r="AG19" s="33">
        <v>188162.59279976701</v>
      </c>
    </row>
    <row r="20" spans="1:33" x14ac:dyDescent="0.25">
      <c r="A20" s="19">
        <v>46091</v>
      </c>
      <c r="B20" s="19"/>
      <c r="C20" s="34">
        <v>328219</v>
      </c>
      <c r="D20" s="34">
        <v>34591.769999999997</v>
      </c>
      <c r="E20" s="34">
        <v>127213.027</v>
      </c>
      <c r="F20" s="34">
        <v>22704</v>
      </c>
      <c r="G20" s="34">
        <v>4301</v>
      </c>
      <c r="H20" s="34">
        <v>2068.056</v>
      </c>
      <c r="I20" s="34">
        <v>200421</v>
      </c>
      <c r="J20" s="34">
        <v>154768</v>
      </c>
      <c r="K20" s="34">
        <v>51775.51</v>
      </c>
      <c r="L20" s="34">
        <v>9196</v>
      </c>
      <c r="M20" s="34">
        <v>0</v>
      </c>
      <c r="N20" s="34">
        <v>6553</v>
      </c>
      <c r="O20" s="34">
        <v>3111</v>
      </c>
      <c r="P20" s="28">
        <v>136798.19637264</v>
      </c>
      <c r="Q20" s="29">
        <v>0</v>
      </c>
      <c r="R20" s="30">
        <v>0</v>
      </c>
      <c r="S20" s="35">
        <v>15.972238000000001</v>
      </c>
      <c r="T20" s="35">
        <v>0.46400000000000002</v>
      </c>
      <c r="U20" s="35">
        <v>7.2990000000000004</v>
      </c>
      <c r="V20" s="35">
        <v>3.8487E-3</v>
      </c>
      <c r="W20" s="32">
        <v>0</v>
      </c>
      <c r="X20" s="35">
        <v>11.35017</v>
      </c>
      <c r="Y20" s="35">
        <v>3.3831161000000001</v>
      </c>
      <c r="Z20" s="35">
        <v>0.27968599999999999</v>
      </c>
      <c r="AA20" s="35">
        <v>11.5021992</v>
      </c>
      <c r="AB20" s="35">
        <v>9.9817219999999995</v>
      </c>
      <c r="AC20" s="35">
        <v>0.21501419999999999</v>
      </c>
      <c r="AD20" s="35">
        <v>8.6997199999999997E-2</v>
      </c>
      <c r="AE20" s="32">
        <v>0</v>
      </c>
      <c r="AF20" s="25">
        <v>8.3505783704999992</v>
      </c>
      <c r="AG20" s="33">
        <v>189323.334323085</v>
      </c>
    </row>
    <row r="21" spans="1:33" x14ac:dyDescent="0.25">
      <c r="A21" s="19">
        <v>46092</v>
      </c>
      <c r="B21" s="19"/>
      <c r="C21" s="27">
        <v>320631</v>
      </c>
      <c r="D21" s="27">
        <v>34217.360000000001</v>
      </c>
      <c r="E21" s="27">
        <v>122359.652</v>
      </c>
      <c r="F21" s="27">
        <v>22732</v>
      </c>
      <c r="G21" s="27">
        <v>4303</v>
      </c>
      <c r="H21" s="27">
        <v>2013.681</v>
      </c>
      <c r="I21" s="27">
        <v>198485</v>
      </c>
      <c r="J21" s="27">
        <v>155699.29999999999</v>
      </c>
      <c r="K21" s="27">
        <v>53413.51</v>
      </c>
      <c r="L21" s="27">
        <v>12860</v>
      </c>
      <c r="M21" s="27">
        <v>0</v>
      </c>
      <c r="N21" s="27">
        <v>6490</v>
      </c>
      <c r="O21" s="27">
        <v>3496</v>
      </c>
      <c r="P21" s="28">
        <v>137725.56984263999</v>
      </c>
      <c r="Q21" s="29">
        <v>0</v>
      </c>
      <c r="R21" s="30">
        <v>0</v>
      </c>
      <c r="S21" s="31">
        <v>15.188951899999999</v>
      </c>
      <c r="T21" s="31">
        <v>0.46500000000000002</v>
      </c>
      <c r="U21" s="31">
        <v>7.2750000000000004</v>
      </c>
      <c r="V21" s="31">
        <v>3.9328000000000002E-3</v>
      </c>
      <c r="W21" s="32">
        <v>0</v>
      </c>
      <c r="X21" s="31">
        <v>11.3497167</v>
      </c>
      <c r="Y21" s="31">
        <v>3.3822095999999999</v>
      </c>
      <c r="Z21" s="31">
        <v>0.270347</v>
      </c>
      <c r="AA21" s="31">
        <v>12.2391155</v>
      </c>
      <c r="AB21" s="31">
        <v>10.014917000000001</v>
      </c>
      <c r="AC21" s="31">
        <v>0.22124650000000001</v>
      </c>
      <c r="AD21" s="31">
        <v>0.10393769999999999</v>
      </c>
      <c r="AE21" s="32">
        <v>0</v>
      </c>
      <c r="AF21" s="25">
        <v>8.4818459890749995</v>
      </c>
      <c r="AG21" s="33">
        <v>191076.381113921</v>
      </c>
    </row>
    <row r="22" spans="1:33" x14ac:dyDescent="0.25">
      <c r="A22" s="19">
        <v>46093</v>
      </c>
      <c r="B22" s="19"/>
      <c r="C22" s="34">
        <v>329031</v>
      </c>
      <c r="D22" s="34">
        <v>34097.980000000003</v>
      </c>
      <c r="E22" s="34">
        <v>130171.666</v>
      </c>
      <c r="F22" s="34">
        <v>22753</v>
      </c>
      <c r="G22" s="34">
        <v>4334</v>
      </c>
      <c r="H22" s="34">
        <v>2039.2449999999999</v>
      </c>
      <c r="I22" s="34">
        <v>196523</v>
      </c>
      <c r="J22" s="34">
        <v>156015.29999999999</v>
      </c>
      <c r="K22" s="34">
        <v>51578.9</v>
      </c>
      <c r="L22" s="34">
        <v>13829</v>
      </c>
      <c r="M22" s="34">
        <v>51079</v>
      </c>
      <c r="N22" s="34">
        <v>6714</v>
      </c>
      <c r="O22" s="34">
        <v>3311</v>
      </c>
      <c r="P22" s="28">
        <v>139471.60386512001</v>
      </c>
      <c r="Q22" s="29">
        <v>0</v>
      </c>
      <c r="R22" s="30">
        <v>0</v>
      </c>
      <c r="S22" s="35">
        <v>15.3580737</v>
      </c>
      <c r="T22" s="35">
        <v>0.46300000000000002</v>
      </c>
      <c r="U22" s="35">
        <v>7.4210000000000003</v>
      </c>
      <c r="V22" s="35">
        <v>3.7423999999999999E-3</v>
      </c>
      <c r="W22" s="32">
        <v>0</v>
      </c>
      <c r="X22" s="35">
        <v>11.354957499999999</v>
      </c>
      <c r="Y22" s="35">
        <v>3.3760340000000002</v>
      </c>
      <c r="Z22" s="35">
        <v>0.27516200000000002</v>
      </c>
      <c r="AA22" s="35">
        <v>11.386072</v>
      </c>
      <c r="AB22" s="35">
        <v>10.132419000000001</v>
      </c>
      <c r="AC22" s="35">
        <v>0.22464590000000001</v>
      </c>
      <c r="AD22" s="35">
        <v>0.115949</v>
      </c>
      <c r="AE22" s="32">
        <v>0</v>
      </c>
      <c r="AF22" s="25">
        <v>8.3562345997249992</v>
      </c>
      <c r="AG22" s="33">
        <v>192032.31949739001</v>
      </c>
    </row>
    <row r="23" spans="1:33" x14ac:dyDescent="0.25">
      <c r="A23" s="19">
        <v>46094</v>
      </c>
      <c r="B23" s="19"/>
      <c r="C23" s="27">
        <v>319737</v>
      </c>
      <c r="D23" s="27">
        <v>34154.400000000001</v>
      </c>
      <c r="E23" s="27">
        <v>132864.65599999999</v>
      </c>
      <c r="F23" s="27">
        <v>22675</v>
      </c>
      <c r="G23" s="27">
        <v>4420</v>
      </c>
      <c r="H23" s="27">
        <v>2082.444</v>
      </c>
      <c r="I23" s="27">
        <v>195033</v>
      </c>
      <c r="J23" s="27">
        <v>155921.4</v>
      </c>
      <c r="K23" s="27">
        <v>53102.59</v>
      </c>
      <c r="L23" s="27">
        <v>5426</v>
      </c>
      <c r="M23" s="27">
        <v>0</v>
      </c>
      <c r="N23" s="27">
        <v>6797</v>
      </c>
      <c r="O23" s="27">
        <v>3296</v>
      </c>
      <c r="P23" s="28">
        <v>135244.08925192</v>
      </c>
      <c r="Q23" s="29">
        <v>0</v>
      </c>
      <c r="R23" s="30">
        <v>0</v>
      </c>
      <c r="S23" s="31">
        <v>15.5385268</v>
      </c>
      <c r="T23" s="31">
        <v>0.46500000000000002</v>
      </c>
      <c r="U23" s="31">
        <v>7.5119999999999996</v>
      </c>
      <c r="V23" s="31">
        <v>3.7832999999999999E-3</v>
      </c>
      <c r="W23" s="32">
        <v>0</v>
      </c>
      <c r="X23" s="31">
        <v>11.3816714</v>
      </c>
      <c r="Y23" s="31">
        <v>3.3712464999999998</v>
      </c>
      <c r="Z23" s="31">
        <v>0.29925299999999999</v>
      </c>
      <c r="AA23" s="31">
        <v>10.676311399999999</v>
      </c>
      <c r="AB23" s="31">
        <v>9.924652</v>
      </c>
      <c r="AC23" s="31">
        <v>0.21614729999999999</v>
      </c>
      <c r="AD23" s="31">
        <v>9.6005699999999999E-2</v>
      </c>
      <c r="AE23" s="32">
        <v>0</v>
      </c>
      <c r="AF23" s="25">
        <v>8.1852273848999992</v>
      </c>
      <c r="AG23" s="33">
        <v>186729.16950294099</v>
      </c>
    </row>
    <row r="24" spans="1:33" x14ac:dyDescent="0.25">
      <c r="A24" s="19">
        <v>46095</v>
      </c>
      <c r="B24" s="19"/>
      <c r="C24" s="34">
        <v>325855</v>
      </c>
      <c r="D24" s="34">
        <v>34253.19</v>
      </c>
      <c r="E24" s="34">
        <v>130604.401</v>
      </c>
      <c r="F24" s="34">
        <v>22689</v>
      </c>
      <c r="G24" s="34">
        <v>4427</v>
      </c>
      <c r="H24" s="34">
        <v>2069.62</v>
      </c>
      <c r="I24" s="34">
        <v>195213</v>
      </c>
      <c r="J24" s="34">
        <v>156923.29999999999</v>
      </c>
      <c r="K24" s="34">
        <v>54076.36</v>
      </c>
      <c r="L24" s="34">
        <v>10593</v>
      </c>
      <c r="M24" s="34">
        <v>0</v>
      </c>
      <c r="N24" s="34">
        <v>6819</v>
      </c>
      <c r="O24" s="34">
        <v>3280</v>
      </c>
      <c r="P24" s="28">
        <v>137227.44151032</v>
      </c>
      <c r="Q24" s="29">
        <v>0</v>
      </c>
      <c r="R24" s="30">
        <v>0</v>
      </c>
      <c r="S24" s="35">
        <v>15.3798867</v>
      </c>
      <c r="T24" s="35">
        <v>0.45300000000000001</v>
      </c>
      <c r="U24" s="35">
        <v>7.4610000000000003</v>
      </c>
      <c r="V24" s="35">
        <v>3.8486000000000002E-3</v>
      </c>
      <c r="W24" s="32">
        <v>0</v>
      </c>
      <c r="X24" s="35">
        <v>11.373796</v>
      </c>
      <c r="Y24" s="35">
        <v>3.3776771000000001</v>
      </c>
      <c r="Z24" s="35">
        <v>0.284912</v>
      </c>
      <c r="AA24" s="35">
        <v>10.9399408</v>
      </c>
      <c r="AB24" s="35">
        <v>10.021890000000001</v>
      </c>
      <c r="AC24" s="35">
        <v>0.22011330000000001</v>
      </c>
      <c r="AD24" s="35">
        <v>0.10393769999999999</v>
      </c>
      <c r="AE24" s="32">
        <v>0</v>
      </c>
      <c r="AF24" s="25">
        <v>8.2443047559749996</v>
      </c>
      <c r="AG24" s="33">
        <v>189084.118425402</v>
      </c>
    </row>
    <row r="25" spans="1:33" x14ac:dyDescent="0.25">
      <c r="A25" s="19">
        <v>46096</v>
      </c>
      <c r="B25" s="19"/>
      <c r="C25" s="27">
        <v>337369</v>
      </c>
      <c r="D25" s="27">
        <v>34422.69</v>
      </c>
      <c r="E25" s="27">
        <v>126037.348</v>
      </c>
      <c r="F25" s="27">
        <v>22698</v>
      </c>
      <c r="G25" s="27">
        <v>4478</v>
      </c>
      <c r="H25" s="27">
        <v>2053.5639999999999</v>
      </c>
      <c r="I25" s="27">
        <v>166962</v>
      </c>
      <c r="J25" s="27">
        <v>155180.9</v>
      </c>
      <c r="K25" s="27">
        <v>53738.78</v>
      </c>
      <c r="L25" s="27">
        <v>3909</v>
      </c>
      <c r="M25" s="27">
        <v>0</v>
      </c>
      <c r="N25" s="27">
        <v>6909</v>
      </c>
      <c r="O25" s="27">
        <v>3291</v>
      </c>
      <c r="P25" s="28">
        <v>129829.30544736001</v>
      </c>
      <c r="Q25" s="29">
        <v>0</v>
      </c>
      <c r="R25" s="30">
        <v>0</v>
      </c>
      <c r="S25" s="31">
        <v>15.437960199999999</v>
      </c>
      <c r="T25" s="31">
        <v>0.45900000000000002</v>
      </c>
      <c r="U25" s="31">
        <v>7.46</v>
      </c>
      <c r="V25" s="31">
        <v>3.8714999999999999E-3</v>
      </c>
      <c r="W25" s="32">
        <v>0</v>
      </c>
      <c r="X25" s="31">
        <v>11.3626912</v>
      </c>
      <c r="Y25" s="31">
        <v>3.3867704999999999</v>
      </c>
      <c r="Z25" s="31">
        <v>0.28203</v>
      </c>
      <c r="AA25" s="31">
        <v>10.9189016</v>
      </c>
      <c r="AB25" s="31">
        <v>10.018335</v>
      </c>
      <c r="AC25" s="31">
        <v>0.2124646</v>
      </c>
      <c r="AD25" s="31">
        <v>0.1104533</v>
      </c>
      <c r="AE25" s="32">
        <v>0</v>
      </c>
      <c r="AF25" s="25">
        <v>8.2410459208500004</v>
      </c>
      <c r="AG25" s="33">
        <v>181665.48428950601</v>
      </c>
    </row>
    <row r="26" spans="1:33" x14ac:dyDescent="0.25">
      <c r="A26" s="19">
        <v>46097</v>
      </c>
      <c r="B26" s="19"/>
      <c r="C26" s="34">
        <v>329149</v>
      </c>
      <c r="D26" s="34">
        <v>34230.129999999997</v>
      </c>
      <c r="E26" s="34">
        <v>127303.262</v>
      </c>
      <c r="F26" s="34">
        <v>22695</v>
      </c>
      <c r="G26" s="34">
        <v>4459</v>
      </c>
      <c r="H26" s="34">
        <v>2067.835</v>
      </c>
      <c r="I26" s="34">
        <v>160094</v>
      </c>
      <c r="J26" s="34">
        <v>157635.4</v>
      </c>
      <c r="K26" s="34">
        <v>54836.85</v>
      </c>
      <c r="L26" s="34">
        <v>13373</v>
      </c>
      <c r="M26" s="34">
        <v>0</v>
      </c>
      <c r="N26" s="34">
        <v>7011</v>
      </c>
      <c r="O26" s="34">
        <v>3187</v>
      </c>
      <c r="P26" s="28">
        <v>131334.38466784</v>
      </c>
      <c r="Q26" s="29">
        <v>0</v>
      </c>
      <c r="R26" s="30">
        <v>0</v>
      </c>
      <c r="S26" s="35">
        <v>15.3764872</v>
      </c>
      <c r="T26" s="35">
        <v>0.46300000000000002</v>
      </c>
      <c r="U26" s="35">
        <v>7.5309999999999997</v>
      </c>
      <c r="V26" s="35">
        <v>3.8446999999999999E-3</v>
      </c>
      <c r="W26" s="32">
        <v>0</v>
      </c>
      <c r="X26" s="35">
        <v>11.3697167</v>
      </c>
      <c r="Y26" s="35">
        <v>3.3781585999999999</v>
      </c>
      <c r="Z26" s="35">
        <v>0.28502100000000002</v>
      </c>
      <c r="AA26" s="35">
        <v>10.9033271</v>
      </c>
      <c r="AB26" s="35">
        <v>9.9544739999999994</v>
      </c>
      <c r="AC26" s="35">
        <v>0.2186969</v>
      </c>
      <c r="AD26" s="35">
        <v>8.9065199999999997E-2</v>
      </c>
      <c r="AE26" s="32">
        <v>0</v>
      </c>
      <c r="AF26" s="25">
        <v>8.2156066606000007</v>
      </c>
      <c r="AG26" s="33">
        <v>183010.550563014</v>
      </c>
    </row>
    <row r="27" spans="1:33" x14ac:dyDescent="0.25">
      <c r="A27" s="19">
        <v>46098</v>
      </c>
      <c r="B27" s="19"/>
      <c r="C27" s="27">
        <v>326905</v>
      </c>
      <c r="D27" s="27">
        <v>34483.71</v>
      </c>
      <c r="E27" s="27">
        <v>130839.67600000001</v>
      </c>
      <c r="F27" s="27">
        <v>22658</v>
      </c>
      <c r="G27" s="27">
        <v>4397</v>
      </c>
      <c r="H27" s="27">
        <v>2061.1770000000001</v>
      </c>
      <c r="I27" s="27">
        <v>169946</v>
      </c>
      <c r="J27" s="27">
        <v>154763</v>
      </c>
      <c r="K27" s="27">
        <v>44149.52</v>
      </c>
      <c r="L27" s="27">
        <v>7914</v>
      </c>
      <c r="M27" s="27">
        <v>18491</v>
      </c>
      <c r="N27" s="27">
        <v>7014</v>
      </c>
      <c r="O27" s="27">
        <v>3307</v>
      </c>
      <c r="P27" s="28">
        <v>129304.59049832</v>
      </c>
      <c r="Q27" s="29">
        <v>0</v>
      </c>
      <c r="R27" s="30">
        <v>0</v>
      </c>
      <c r="S27" s="31">
        <v>15.214730899999999</v>
      </c>
      <c r="T27" s="31">
        <v>0.46500000000000002</v>
      </c>
      <c r="U27" s="31">
        <v>7.665</v>
      </c>
      <c r="V27" s="31">
        <v>3.7158999999999998E-3</v>
      </c>
      <c r="W27" s="32">
        <v>0</v>
      </c>
      <c r="X27" s="31">
        <v>11.3656091</v>
      </c>
      <c r="Y27" s="31">
        <v>3.3810197999999998</v>
      </c>
      <c r="Z27" s="31">
        <v>0.28811999999999999</v>
      </c>
      <c r="AA27" s="31">
        <v>10.8102783</v>
      </c>
      <c r="AB27" s="31">
        <v>10.126467</v>
      </c>
      <c r="AC27" s="31">
        <v>0.2147309</v>
      </c>
      <c r="AD27" s="31">
        <v>8.6005700000000004E-2</v>
      </c>
      <c r="AE27" s="32">
        <v>0</v>
      </c>
      <c r="AF27" s="25">
        <v>8.2389714808250005</v>
      </c>
      <c r="AG27" s="33">
        <v>181127.721112709</v>
      </c>
    </row>
    <row r="28" spans="1:33" x14ac:dyDescent="0.25">
      <c r="A28" s="19">
        <v>46099</v>
      </c>
      <c r="B28" s="19"/>
      <c r="C28" s="34">
        <v>309800</v>
      </c>
      <c r="D28" s="34">
        <v>34852.21</v>
      </c>
      <c r="E28" s="34">
        <v>131458.59</v>
      </c>
      <c r="F28" s="34">
        <v>22676.35</v>
      </c>
      <c r="G28" s="34">
        <v>4335</v>
      </c>
      <c r="H28" s="34">
        <v>2062.5700000000002</v>
      </c>
      <c r="I28" s="34">
        <v>168591</v>
      </c>
      <c r="J28" s="34">
        <v>153240.9</v>
      </c>
      <c r="K28" s="34">
        <v>49069.279999999999</v>
      </c>
      <c r="L28" s="34">
        <v>11383</v>
      </c>
      <c r="M28" s="34">
        <v>3537</v>
      </c>
      <c r="N28" s="34">
        <v>7020</v>
      </c>
      <c r="O28" s="34">
        <v>3271</v>
      </c>
      <c r="P28" s="28">
        <v>129676.6283788</v>
      </c>
      <c r="Q28" s="29">
        <v>0</v>
      </c>
      <c r="R28" s="30">
        <v>0</v>
      </c>
      <c r="S28" s="35">
        <v>15.457507</v>
      </c>
      <c r="T28" s="35">
        <v>0.46700000000000003</v>
      </c>
      <c r="U28" s="35">
        <v>7.5839999999999996</v>
      </c>
      <c r="V28" s="35">
        <v>3.7466000000000001E-3</v>
      </c>
      <c r="W28" s="32">
        <v>0</v>
      </c>
      <c r="X28" s="35">
        <v>11.3653824</v>
      </c>
      <c r="Y28" s="35">
        <v>3.3826345999999998</v>
      </c>
      <c r="Z28" s="35">
        <v>0.285194</v>
      </c>
      <c r="AA28" s="35">
        <v>10.720174200000001</v>
      </c>
      <c r="AB28" s="35">
        <v>10.187688</v>
      </c>
      <c r="AC28" s="35">
        <v>0.21331439999999999</v>
      </c>
      <c r="AD28" s="35">
        <v>9.3286099999999997E-2</v>
      </c>
      <c r="AE28" s="32">
        <v>0</v>
      </c>
      <c r="AF28" s="25">
        <v>8.24440921375</v>
      </c>
      <c r="AG28" s="33">
        <v>181533.962333287</v>
      </c>
    </row>
    <row r="29" spans="1:33" x14ac:dyDescent="0.25">
      <c r="A29" s="19">
        <v>46100</v>
      </c>
      <c r="B29" s="19"/>
      <c r="C29" s="27">
        <v>315692</v>
      </c>
      <c r="D29" s="27">
        <v>34460.129999999997</v>
      </c>
      <c r="E29" s="27">
        <v>131618.758</v>
      </c>
      <c r="F29" s="27">
        <v>22619.58</v>
      </c>
      <c r="G29" s="27">
        <v>4316</v>
      </c>
      <c r="H29" s="27">
        <v>2049.6320000000001</v>
      </c>
      <c r="I29" s="27">
        <v>169365</v>
      </c>
      <c r="J29" s="27">
        <v>156472.5</v>
      </c>
      <c r="K29" s="27">
        <v>52814.17</v>
      </c>
      <c r="L29" s="27">
        <v>14093</v>
      </c>
      <c r="M29" s="27">
        <v>17194</v>
      </c>
      <c r="N29" s="27">
        <v>7046</v>
      </c>
      <c r="O29" s="27">
        <v>3523</v>
      </c>
      <c r="P29" s="28">
        <v>132916.26836856001</v>
      </c>
      <c r="Q29" s="29">
        <v>0</v>
      </c>
      <c r="R29" s="30">
        <v>0</v>
      </c>
      <c r="S29" s="31">
        <v>14.9943343</v>
      </c>
      <c r="T29" s="31">
        <v>0.46400000000000002</v>
      </c>
      <c r="U29" s="31">
        <v>7.5389999999999997</v>
      </c>
      <c r="V29" s="31">
        <v>3.8831E-3</v>
      </c>
      <c r="W29" s="32">
        <v>0</v>
      </c>
      <c r="X29" s="31">
        <v>11.3683853</v>
      </c>
      <c r="Y29" s="31">
        <v>3.3792068</v>
      </c>
      <c r="Z29" s="31">
        <v>0.28235199999999999</v>
      </c>
      <c r="AA29" s="31">
        <v>9.6402278999999993</v>
      </c>
      <c r="AB29" s="31">
        <v>10.205850999999999</v>
      </c>
      <c r="AC29" s="31">
        <v>0.21331439999999999</v>
      </c>
      <c r="AD29" s="31">
        <v>9.3087799999999998E-2</v>
      </c>
      <c r="AE29" s="32">
        <v>0</v>
      </c>
      <c r="AF29" s="25">
        <v>8.0157821292749993</v>
      </c>
      <c r="AG29" s="33">
        <v>183335.53796169901</v>
      </c>
    </row>
    <row r="30" spans="1:33" x14ac:dyDescent="0.25">
      <c r="A30" s="19">
        <v>46101</v>
      </c>
      <c r="B30" s="19"/>
      <c r="C30" s="34">
        <v>325966</v>
      </c>
      <c r="D30" s="34">
        <v>34570.559999999998</v>
      </c>
      <c r="E30" s="34">
        <v>131470.49299999999</v>
      </c>
      <c r="F30" s="34">
        <v>22605.62</v>
      </c>
      <c r="G30" s="34">
        <v>4362</v>
      </c>
      <c r="H30" s="34">
        <v>2037.578</v>
      </c>
      <c r="I30" s="34">
        <v>167247</v>
      </c>
      <c r="J30" s="34">
        <v>155775</v>
      </c>
      <c r="K30" s="34">
        <v>55348.69</v>
      </c>
      <c r="L30" s="34">
        <v>11485</v>
      </c>
      <c r="M30" s="34">
        <v>18145</v>
      </c>
      <c r="N30" s="34">
        <v>7033</v>
      </c>
      <c r="O30" s="34">
        <v>3365</v>
      </c>
      <c r="P30" s="28">
        <v>132620.33899376</v>
      </c>
      <c r="Q30" s="29">
        <v>0</v>
      </c>
      <c r="R30" s="30">
        <v>0</v>
      </c>
      <c r="S30" s="35">
        <v>14.673087799999999</v>
      </c>
      <c r="T30" s="35">
        <v>0.46100000000000002</v>
      </c>
      <c r="U30" s="35">
        <v>7.3929999999999998</v>
      </c>
      <c r="V30" s="35">
        <v>3.9326999999999999E-3</v>
      </c>
      <c r="W30" s="32">
        <v>0</v>
      </c>
      <c r="X30" s="35">
        <v>11.521699699999999</v>
      </c>
      <c r="Y30" s="35">
        <v>3.3796034000000001</v>
      </c>
      <c r="Z30" s="35">
        <v>0.293765</v>
      </c>
      <c r="AA30" s="35">
        <v>10.0279417</v>
      </c>
      <c r="AB30" s="35">
        <v>10.276840999999999</v>
      </c>
      <c r="AC30" s="35">
        <v>0.2152975</v>
      </c>
      <c r="AD30" s="35">
        <v>9.0538199999999999E-2</v>
      </c>
      <c r="AE30" s="32">
        <v>0</v>
      </c>
      <c r="AF30" s="25">
        <v>8.1380140001499992</v>
      </c>
      <c r="AG30" s="33">
        <v>183808.44705470299</v>
      </c>
    </row>
    <row r="31" spans="1:33" x14ac:dyDescent="0.25">
      <c r="A31" s="19">
        <v>46102</v>
      </c>
      <c r="B31" s="19"/>
      <c r="C31" s="27">
        <v>305947</v>
      </c>
      <c r="D31" s="27">
        <v>34484.85</v>
      </c>
      <c r="E31" s="27">
        <v>131942.95199999999</v>
      </c>
      <c r="F31" s="27">
        <v>22571.49</v>
      </c>
      <c r="G31" s="27">
        <v>4403</v>
      </c>
      <c r="H31" s="27">
        <v>2028.9179999999999</v>
      </c>
      <c r="I31" s="27">
        <v>169482</v>
      </c>
      <c r="J31" s="27">
        <v>156692.20000000001</v>
      </c>
      <c r="K31" s="27">
        <v>53393.73</v>
      </c>
      <c r="L31" s="27">
        <v>10712</v>
      </c>
      <c r="M31" s="27">
        <v>13675</v>
      </c>
      <c r="N31" s="27">
        <v>7035</v>
      </c>
      <c r="O31" s="27">
        <v>3559</v>
      </c>
      <c r="P31" s="28">
        <v>131909.95239863999</v>
      </c>
      <c r="Q31" s="29">
        <v>0</v>
      </c>
      <c r="R31" s="30">
        <v>0</v>
      </c>
      <c r="S31" s="31">
        <v>14.9444759</v>
      </c>
      <c r="T31" s="31">
        <v>0.46200000000000002</v>
      </c>
      <c r="U31" s="31">
        <v>7.4770000000000003</v>
      </c>
      <c r="V31" s="31">
        <v>3.9544999999999997E-3</v>
      </c>
      <c r="W31" s="32">
        <v>0</v>
      </c>
      <c r="X31" s="31">
        <v>11.4472521</v>
      </c>
      <c r="Y31" s="31">
        <v>3.3675636999999998</v>
      </c>
      <c r="Z31" s="31">
        <v>0.29431000000000002</v>
      </c>
      <c r="AA31" s="31">
        <v>9.6736135999999995</v>
      </c>
      <c r="AB31" s="31">
        <v>10.349043</v>
      </c>
      <c r="AC31" s="31">
        <v>0.21558069999999999</v>
      </c>
      <c r="AD31" s="31">
        <v>9.2011300000000004E-2</v>
      </c>
      <c r="AE31" s="32">
        <v>0</v>
      </c>
      <c r="AF31" s="25">
        <v>8.0808016930749993</v>
      </c>
      <c r="AG31" s="33">
        <v>182738.19504808099</v>
      </c>
    </row>
    <row r="32" spans="1:33" x14ac:dyDescent="0.25">
      <c r="A32" s="19">
        <v>46103</v>
      </c>
      <c r="B32" s="19"/>
      <c r="C32" s="34">
        <v>342226</v>
      </c>
      <c r="D32" s="34">
        <v>34760.29</v>
      </c>
      <c r="E32" s="34">
        <v>134304.69899999999</v>
      </c>
      <c r="F32" s="34">
        <v>22601.72</v>
      </c>
      <c r="G32" s="34">
        <v>4445</v>
      </c>
      <c r="H32" s="34">
        <v>2069.1170000000002</v>
      </c>
      <c r="I32" s="34">
        <v>166873</v>
      </c>
      <c r="J32" s="34">
        <v>155979.4</v>
      </c>
      <c r="K32" s="34">
        <v>50779.85</v>
      </c>
      <c r="L32" s="34">
        <v>6547</v>
      </c>
      <c r="M32" s="34">
        <v>15496</v>
      </c>
      <c r="N32" s="34">
        <v>6995</v>
      </c>
      <c r="O32" s="34">
        <v>3387</v>
      </c>
      <c r="P32" s="28">
        <v>130767.55695168</v>
      </c>
      <c r="Q32" s="29">
        <v>0</v>
      </c>
      <c r="R32" s="30">
        <v>0</v>
      </c>
      <c r="S32" s="35">
        <v>14.9968839</v>
      </c>
      <c r="T32" s="35">
        <v>0.46200000000000002</v>
      </c>
      <c r="U32" s="35">
        <v>7.3760000000000003</v>
      </c>
      <c r="V32" s="35">
        <v>3.9338000000000003E-3</v>
      </c>
      <c r="W32" s="32">
        <v>0</v>
      </c>
      <c r="X32" s="35">
        <v>11.4620397</v>
      </c>
      <c r="Y32" s="35">
        <v>3.3724929000000001</v>
      </c>
      <c r="Z32" s="35">
        <v>0.29112100000000002</v>
      </c>
      <c r="AA32" s="35">
        <v>9.1920298000000003</v>
      </c>
      <c r="AB32" s="35">
        <v>10.319279999999999</v>
      </c>
      <c r="AC32" s="35">
        <v>0.2147309</v>
      </c>
      <c r="AD32" s="35">
        <v>0.1026912</v>
      </c>
      <c r="AE32" s="32">
        <v>0</v>
      </c>
      <c r="AF32" s="25">
        <v>7.9823720150749997</v>
      </c>
      <c r="AG32" s="33">
        <v>180976.67692650101</v>
      </c>
    </row>
    <row r="33" spans="1:33" x14ac:dyDescent="0.25">
      <c r="A33" s="19">
        <v>46104</v>
      </c>
      <c r="B33" s="19"/>
      <c r="C33" s="27">
        <v>334874</v>
      </c>
      <c r="D33" s="27">
        <v>34953.69</v>
      </c>
      <c r="E33" s="27">
        <v>133059.20000000001</v>
      </c>
      <c r="F33" s="27">
        <v>22578</v>
      </c>
      <c r="G33" s="27">
        <v>4465</v>
      </c>
      <c r="H33" s="27">
        <v>2018.4190000000001</v>
      </c>
      <c r="I33" s="27">
        <v>167611</v>
      </c>
      <c r="J33" s="27">
        <v>158337.1</v>
      </c>
      <c r="K33" s="27">
        <v>53609.26</v>
      </c>
      <c r="L33" s="27">
        <v>10773</v>
      </c>
      <c r="M33" s="27">
        <v>10657</v>
      </c>
      <c r="N33" s="27">
        <v>6677</v>
      </c>
      <c r="O33" s="27">
        <v>3462</v>
      </c>
      <c r="P33" s="28">
        <v>132833.47439399999</v>
      </c>
      <c r="Q33" s="29">
        <v>0</v>
      </c>
      <c r="R33" s="30">
        <v>0</v>
      </c>
      <c r="S33" s="31">
        <v>14.858073600000001</v>
      </c>
      <c r="T33" s="31">
        <v>0.46400000000000002</v>
      </c>
      <c r="U33" s="31">
        <v>7.5330000000000004</v>
      </c>
      <c r="V33" s="31">
        <v>4.0673000000000003E-3</v>
      </c>
      <c r="W33" s="32">
        <v>0</v>
      </c>
      <c r="X33" s="31">
        <v>11.4480453</v>
      </c>
      <c r="Y33" s="31">
        <v>3.3776204000000001</v>
      </c>
      <c r="Z33" s="31">
        <v>0.28825200000000001</v>
      </c>
      <c r="AA33" s="31">
        <v>8.8992339000000005</v>
      </c>
      <c r="AB33" s="31">
        <v>10.579971</v>
      </c>
      <c r="AC33" s="31">
        <v>0.21218129999999999</v>
      </c>
      <c r="AD33" s="31">
        <v>9.2577900000000005E-2</v>
      </c>
      <c r="AE33" s="32">
        <v>0</v>
      </c>
      <c r="AF33" s="25">
        <v>7.9798278348</v>
      </c>
      <c r="AG33" s="33">
        <v>183026.59147489199</v>
      </c>
    </row>
    <row r="34" spans="1:33" x14ac:dyDescent="0.25">
      <c r="A34" s="19">
        <v>46105</v>
      </c>
      <c r="B34" s="19"/>
      <c r="C34" s="34">
        <v>324347</v>
      </c>
      <c r="D34" s="34">
        <v>34678.1</v>
      </c>
      <c r="E34" s="34">
        <v>133483.60699999999</v>
      </c>
      <c r="F34" s="34">
        <v>22571</v>
      </c>
      <c r="G34" s="34">
        <v>4301</v>
      </c>
      <c r="H34" s="34">
        <v>2044.915</v>
      </c>
      <c r="I34" s="34">
        <v>165869</v>
      </c>
      <c r="J34" s="34">
        <v>157659.4</v>
      </c>
      <c r="K34" s="34">
        <v>46450.04</v>
      </c>
      <c r="L34" s="34">
        <v>14285</v>
      </c>
      <c r="M34" s="34">
        <v>16863</v>
      </c>
      <c r="N34" s="34">
        <v>6750</v>
      </c>
      <c r="O34" s="34">
        <v>3448</v>
      </c>
      <c r="P34" s="28">
        <v>131175.26396824</v>
      </c>
      <c r="Q34" s="29">
        <v>0</v>
      </c>
      <c r="R34" s="30">
        <v>0</v>
      </c>
      <c r="S34" s="35">
        <v>15.0016996</v>
      </c>
      <c r="T34" s="35">
        <v>0.46300000000000002</v>
      </c>
      <c r="U34" s="35">
        <v>7.718</v>
      </c>
      <c r="V34" s="35">
        <v>4.0731999999999999E-3</v>
      </c>
      <c r="W34" s="32">
        <v>0</v>
      </c>
      <c r="X34" s="35">
        <v>11.518272</v>
      </c>
      <c r="Y34" s="35">
        <v>3.3743059</v>
      </c>
      <c r="Z34" s="35">
        <v>0.286024</v>
      </c>
      <c r="AA34" s="35">
        <v>8.7185442999999996</v>
      </c>
      <c r="AB34" s="35">
        <v>10.544119</v>
      </c>
      <c r="AC34" s="35">
        <v>0.21076490000000001</v>
      </c>
      <c r="AD34" s="35">
        <v>9.49575E-2</v>
      </c>
      <c r="AE34" s="32">
        <v>0</v>
      </c>
      <c r="AF34" s="25">
        <v>7.9486758953000001</v>
      </c>
      <c r="AG34" s="33">
        <v>181172.43534967699</v>
      </c>
    </row>
    <row r="35" spans="1:33" x14ac:dyDescent="0.25">
      <c r="A35" s="19">
        <v>46106</v>
      </c>
      <c r="B35" s="19"/>
      <c r="C35" s="27">
        <v>346256</v>
      </c>
      <c r="D35" s="27">
        <v>35160.400000000001</v>
      </c>
      <c r="E35" s="27">
        <v>143032.18400000001</v>
      </c>
      <c r="F35" s="27">
        <v>22571</v>
      </c>
      <c r="G35" s="27">
        <v>20038</v>
      </c>
      <c r="H35" s="27">
        <v>2021.913</v>
      </c>
      <c r="I35" s="27">
        <v>165497</v>
      </c>
      <c r="J35" s="27">
        <v>153549.9</v>
      </c>
      <c r="K35" s="27">
        <v>50165.279999999999</v>
      </c>
      <c r="L35" s="27">
        <v>14811</v>
      </c>
      <c r="M35" s="27">
        <v>6520</v>
      </c>
      <c r="N35" s="27">
        <v>6704</v>
      </c>
      <c r="O35" s="27">
        <v>3500</v>
      </c>
      <c r="P35" s="28">
        <v>139328.83141688001</v>
      </c>
      <c r="Q35" s="29">
        <v>0</v>
      </c>
      <c r="R35" s="30">
        <v>0</v>
      </c>
      <c r="S35" s="31">
        <v>14.6356941</v>
      </c>
      <c r="T35" s="31">
        <v>0.46800000000000003</v>
      </c>
      <c r="U35" s="31">
        <v>7.6239999999999997</v>
      </c>
      <c r="V35" s="31">
        <v>4.0731999999999999E-3</v>
      </c>
      <c r="W35" s="32">
        <v>0</v>
      </c>
      <c r="X35" s="31">
        <v>11.470028299999999</v>
      </c>
      <c r="Y35" s="31">
        <v>3.3563456</v>
      </c>
      <c r="Z35" s="31">
        <v>0.28379100000000002</v>
      </c>
      <c r="AA35" s="31">
        <v>8.7533174999999996</v>
      </c>
      <c r="AB35" s="31">
        <v>10.554575</v>
      </c>
      <c r="AC35" s="31">
        <v>0.21501419999999999</v>
      </c>
      <c r="AD35" s="31">
        <v>8.9206800000000003E-2</v>
      </c>
      <c r="AE35" s="32">
        <v>0</v>
      </c>
      <c r="AF35" s="25">
        <v>7.9334548174249999</v>
      </c>
      <c r="AG35" s="33">
        <v>189230.262218483</v>
      </c>
    </row>
    <row r="36" spans="1:33" x14ac:dyDescent="0.25">
      <c r="A36" s="19">
        <v>46107</v>
      </c>
      <c r="B36" s="19"/>
      <c r="C36" s="34">
        <v>337613</v>
      </c>
      <c r="D36" s="34">
        <v>33681.42</v>
      </c>
      <c r="E36" s="34">
        <v>138643.90100000001</v>
      </c>
      <c r="F36" s="34">
        <v>22552</v>
      </c>
      <c r="G36" s="34">
        <v>4379</v>
      </c>
      <c r="H36" s="34">
        <v>2025.653</v>
      </c>
      <c r="I36" s="34">
        <v>188489</v>
      </c>
      <c r="J36" s="34">
        <v>155834.1</v>
      </c>
      <c r="K36" s="34">
        <v>50127.99</v>
      </c>
      <c r="L36" s="34">
        <v>5873</v>
      </c>
      <c r="M36" s="34">
        <v>0</v>
      </c>
      <c r="N36" s="34">
        <v>6714</v>
      </c>
      <c r="O36" s="34">
        <v>3551</v>
      </c>
      <c r="P36" s="28">
        <v>133614.83525032</v>
      </c>
      <c r="Q36" s="29">
        <v>0</v>
      </c>
      <c r="R36" s="30">
        <v>0</v>
      </c>
      <c r="S36" s="35">
        <v>14.5977338</v>
      </c>
      <c r="T36" s="35">
        <v>0.433</v>
      </c>
      <c r="U36" s="35">
        <v>7.7309999999999999</v>
      </c>
      <c r="V36" s="35">
        <v>4.1092999999999998E-3</v>
      </c>
      <c r="W36" s="32">
        <v>0</v>
      </c>
      <c r="X36" s="35">
        <v>11.5036544</v>
      </c>
      <c r="Y36" s="35">
        <v>3.3871954999999998</v>
      </c>
      <c r="Z36" s="35">
        <v>0.28034700000000001</v>
      </c>
      <c r="AA36" s="35">
        <v>8.7414529000000005</v>
      </c>
      <c r="AB36" s="35">
        <v>10.5519</v>
      </c>
      <c r="AC36" s="35">
        <v>0.2014164</v>
      </c>
      <c r="AD36" s="35">
        <v>8.9008500000000004E-2</v>
      </c>
      <c r="AE36" s="32">
        <v>0</v>
      </c>
      <c r="AF36" s="25">
        <v>7.9260414106499999</v>
      </c>
      <c r="AG36" s="33">
        <v>183469.63572330799</v>
      </c>
    </row>
    <row r="37" spans="1:33" x14ac:dyDescent="0.25">
      <c r="A37" s="19">
        <v>46108</v>
      </c>
      <c r="B37" s="19"/>
      <c r="C37" s="27">
        <v>336310</v>
      </c>
      <c r="D37" s="27">
        <v>29898.11</v>
      </c>
      <c r="E37" s="27">
        <v>138903.49600000001</v>
      </c>
      <c r="F37" s="27">
        <v>22367</v>
      </c>
      <c r="G37" s="27">
        <v>4503</v>
      </c>
      <c r="H37" s="27">
        <v>1995.6110000000001</v>
      </c>
      <c r="I37" s="27">
        <v>194483</v>
      </c>
      <c r="J37" s="27">
        <v>155684.5</v>
      </c>
      <c r="K37" s="27">
        <v>54829.06</v>
      </c>
      <c r="L37" s="27">
        <v>11531</v>
      </c>
      <c r="M37" s="27">
        <v>15600</v>
      </c>
      <c r="N37" s="27">
        <v>6711</v>
      </c>
      <c r="O37" s="27">
        <v>3839</v>
      </c>
      <c r="P37" s="28">
        <v>136897.32306071999</v>
      </c>
      <c r="Q37" s="29">
        <v>0</v>
      </c>
      <c r="R37" s="30">
        <v>0</v>
      </c>
      <c r="S37" s="31">
        <v>14.5807365</v>
      </c>
      <c r="T37" s="31">
        <v>0.44600000000000001</v>
      </c>
      <c r="U37" s="31">
        <v>7.6580000000000004</v>
      </c>
      <c r="V37" s="31">
        <v>3.9468999999999997E-3</v>
      </c>
      <c r="W37" s="32">
        <v>0</v>
      </c>
      <c r="X37" s="31">
        <v>9.6739376999999998</v>
      </c>
      <c r="Y37" s="31">
        <v>3.3549291999999999</v>
      </c>
      <c r="Z37" s="31">
        <v>0.28892400000000001</v>
      </c>
      <c r="AA37" s="31">
        <v>8.6020774000000007</v>
      </c>
      <c r="AB37" s="31">
        <v>10.366139</v>
      </c>
      <c r="AC37" s="31">
        <v>0.19716710000000001</v>
      </c>
      <c r="AD37" s="31">
        <v>9.4277600000000003E-2</v>
      </c>
      <c r="AE37" s="32">
        <v>0</v>
      </c>
      <c r="AF37" s="25">
        <v>7.5462783466249999</v>
      </c>
      <c r="AG37" s="33">
        <v>184363.41386099099</v>
      </c>
    </row>
    <row r="38" spans="1:33" x14ac:dyDescent="0.25">
      <c r="A38" s="19">
        <v>46109</v>
      </c>
      <c r="B38" s="19"/>
      <c r="C38" s="34">
        <v>329358</v>
      </c>
      <c r="D38" s="34">
        <v>33313.5</v>
      </c>
      <c r="E38" s="34">
        <v>133217.44</v>
      </c>
      <c r="F38" s="34">
        <v>22504</v>
      </c>
      <c r="G38" s="34">
        <v>4612</v>
      </c>
      <c r="H38" s="34">
        <v>2026.8</v>
      </c>
      <c r="I38" s="34">
        <v>192550</v>
      </c>
      <c r="J38" s="34">
        <v>158483.70000000001</v>
      </c>
      <c r="K38" s="34">
        <v>53238.78</v>
      </c>
      <c r="L38" s="34">
        <v>12650</v>
      </c>
      <c r="M38" s="34">
        <v>15275</v>
      </c>
      <c r="N38" s="34">
        <v>6720</v>
      </c>
      <c r="O38" s="34">
        <v>3738</v>
      </c>
      <c r="P38" s="28">
        <v>137945.7004608</v>
      </c>
      <c r="Q38" s="29">
        <v>0</v>
      </c>
      <c r="R38" s="30">
        <v>0</v>
      </c>
      <c r="S38" s="35">
        <v>14.6592067</v>
      </c>
      <c r="T38" s="35">
        <v>0.45300000000000001</v>
      </c>
      <c r="U38" s="35">
        <v>7.8019999999999996</v>
      </c>
      <c r="V38" s="35">
        <v>4.1133999999999997E-3</v>
      </c>
      <c r="W38" s="32">
        <v>0</v>
      </c>
      <c r="X38" s="35">
        <v>11.482521200000001</v>
      </c>
      <c r="Y38" s="35">
        <v>3.3613031000000002</v>
      </c>
      <c r="Z38" s="35">
        <v>0.29650300000000002</v>
      </c>
      <c r="AA38" s="35">
        <v>8.4412380000000002</v>
      </c>
      <c r="AB38" s="35">
        <v>10.425504</v>
      </c>
      <c r="AC38" s="35">
        <v>0.20566570000000001</v>
      </c>
      <c r="AD38" s="35">
        <v>8.9575100000000005E-2</v>
      </c>
      <c r="AE38" s="32">
        <v>0</v>
      </c>
      <c r="AF38" s="25">
        <v>7.8493568539750003</v>
      </c>
      <c r="AG38" s="33">
        <v>187318.155072302</v>
      </c>
    </row>
    <row r="39" spans="1:33" x14ac:dyDescent="0.25">
      <c r="A39" s="19">
        <v>46110</v>
      </c>
      <c r="B39" s="19"/>
      <c r="C39" s="27">
        <v>329214</v>
      </c>
      <c r="D39" s="27">
        <v>30798.15</v>
      </c>
      <c r="E39" s="27">
        <v>134890.65900000001</v>
      </c>
      <c r="F39" s="27">
        <v>22473</v>
      </c>
      <c r="G39" s="27">
        <v>4618</v>
      </c>
      <c r="H39" s="27">
        <v>2017.6320000000001</v>
      </c>
      <c r="I39" s="27">
        <v>194652</v>
      </c>
      <c r="J39" s="27">
        <v>157334.39999999999</v>
      </c>
      <c r="K39" s="27">
        <v>54854.37</v>
      </c>
      <c r="L39" s="27">
        <v>14554</v>
      </c>
      <c r="M39" s="27">
        <v>41965</v>
      </c>
      <c r="N39" s="27">
        <v>6724</v>
      </c>
      <c r="O39" s="27">
        <v>3797</v>
      </c>
      <c r="P39" s="28">
        <v>139314.81732887999</v>
      </c>
      <c r="Q39" s="29">
        <v>0</v>
      </c>
      <c r="R39" s="30">
        <v>0</v>
      </c>
      <c r="S39" s="31">
        <v>15.123229500000001</v>
      </c>
      <c r="T39" s="31">
        <v>0.436</v>
      </c>
      <c r="U39" s="31">
        <v>7.7709999999999999</v>
      </c>
      <c r="V39" s="31">
        <v>4.0174E-3</v>
      </c>
      <c r="W39" s="32">
        <v>0</v>
      </c>
      <c r="X39" s="31">
        <v>11.449235099999999</v>
      </c>
      <c r="Y39" s="31">
        <v>3.366034</v>
      </c>
      <c r="Z39" s="31">
        <v>0.28923300000000002</v>
      </c>
      <c r="AA39" s="31">
        <v>5.0207668999999999</v>
      </c>
      <c r="AB39" s="31">
        <v>10.409889</v>
      </c>
      <c r="AC39" s="31">
        <v>0.19886690000000001</v>
      </c>
      <c r="AD39" s="31">
        <v>9.1586399999999998E-2</v>
      </c>
      <c r="AE39" s="32">
        <v>0</v>
      </c>
      <c r="AF39" s="25">
        <v>7.1579785488749996</v>
      </c>
      <c r="AG39" s="33">
        <v>184338.50240130301</v>
      </c>
    </row>
    <row r="40" spans="1:33" x14ac:dyDescent="0.25">
      <c r="A40" s="19">
        <v>46111</v>
      </c>
      <c r="B40" s="19"/>
      <c r="C40" s="34">
        <v>296614</v>
      </c>
      <c r="D40" s="34">
        <v>32320.45</v>
      </c>
      <c r="E40" s="34">
        <v>136835.065</v>
      </c>
      <c r="F40" s="34">
        <v>22490</v>
      </c>
      <c r="G40" s="34">
        <v>4631</v>
      </c>
      <c r="H40" s="34">
        <v>1962.2750000000001</v>
      </c>
      <c r="I40" s="34">
        <v>192526</v>
      </c>
      <c r="J40" s="34">
        <v>156275.6</v>
      </c>
      <c r="K40" s="34">
        <v>56318.36</v>
      </c>
      <c r="L40" s="34">
        <v>14404</v>
      </c>
      <c r="M40" s="34">
        <v>148253</v>
      </c>
      <c r="N40" s="34">
        <v>6698</v>
      </c>
      <c r="O40" s="34">
        <v>3614</v>
      </c>
      <c r="P40" s="28">
        <v>142544.6243508</v>
      </c>
      <c r="Q40" s="29">
        <v>0</v>
      </c>
      <c r="R40" s="30">
        <v>0</v>
      </c>
      <c r="S40" s="35">
        <v>16.5546741</v>
      </c>
      <c r="T40" s="35">
        <v>0.41</v>
      </c>
      <c r="U40" s="35">
        <v>7.5970000000000004</v>
      </c>
      <c r="V40" s="35">
        <v>3.8286000000000001E-3</v>
      </c>
      <c r="W40" s="32">
        <v>0</v>
      </c>
      <c r="X40" s="35">
        <v>11.4565439</v>
      </c>
      <c r="Y40" s="35">
        <v>3.3538809999999999</v>
      </c>
      <c r="Z40" s="35">
        <v>0.27550400000000003</v>
      </c>
      <c r="AA40" s="35">
        <v>5.0214464999999997</v>
      </c>
      <c r="AB40" s="35">
        <v>11.163624</v>
      </c>
      <c r="AC40" s="35">
        <v>0.20311609999999999</v>
      </c>
      <c r="AD40" s="35">
        <v>9.4249299999999994E-2</v>
      </c>
      <c r="AE40" s="32">
        <v>0</v>
      </c>
      <c r="AF40" s="25">
        <v>7.3753795414249996</v>
      </c>
      <c r="AG40" s="33">
        <v>188935.76166636299</v>
      </c>
    </row>
    <row r="41" spans="1:33" x14ac:dyDescent="0.25">
      <c r="A41" s="19">
        <v>46112</v>
      </c>
      <c r="B41" s="19"/>
      <c r="C41" s="27">
        <v>323901</v>
      </c>
      <c r="D41" s="27">
        <v>28082.43</v>
      </c>
      <c r="E41" s="27">
        <v>139513.03200000001</v>
      </c>
      <c r="F41" s="27">
        <v>22449.8</v>
      </c>
      <c r="G41" s="27">
        <v>4651</v>
      </c>
      <c r="H41" s="27">
        <v>2008.1120000000001</v>
      </c>
      <c r="I41" s="27">
        <v>194402</v>
      </c>
      <c r="J41" s="27">
        <v>158281.70000000001</v>
      </c>
      <c r="K41" s="27">
        <v>54915.75</v>
      </c>
      <c r="L41" s="27">
        <v>10961</v>
      </c>
      <c r="M41" s="27">
        <v>123683</v>
      </c>
      <c r="N41" s="27">
        <v>6798</v>
      </c>
      <c r="O41" s="27">
        <v>3599</v>
      </c>
      <c r="P41" s="28">
        <v>140970.12333423999</v>
      </c>
      <c r="Q41" s="29">
        <v>0</v>
      </c>
      <c r="R41" s="30">
        <v>0</v>
      </c>
      <c r="S41" s="31">
        <v>16.801416499999998</v>
      </c>
      <c r="T41" s="31">
        <v>0.44900000000000001</v>
      </c>
      <c r="U41" s="31">
        <v>7.6239999999999997</v>
      </c>
      <c r="V41" s="31">
        <v>3.8083000000000001E-3</v>
      </c>
      <c r="W41" s="32">
        <v>0</v>
      </c>
      <c r="X41" s="31">
        <v>11.4505949</v>
      </c>
      <c r="Y41" s="31">
        <v>3.3547025000000001</v>
      </c>
      <c r="Z41" s="31">
        <v>0.27957300000000002</v>
      </c>
      <c r="AA41" s="31">
        <v>4.7903248999999999</v>
      </c>
      <c r="AB41" s="31">
        <v>10.585191999999999</v>
      </c>
      <c r="AC41" s="31">
        <v>0.1957507</v>
      </c>
      <c r="AD41" s="31">
        <v>9.7025500000000001E-2</v>
      </c>
      <c r="AE41" s="32">
        <v>0</v>
      </c>
      <c r="AF41" s="25">
        <v>7.2000561576250002</v>
      </c>
      <c r="AG41" s="33">
        <v>186258.47656570101</v>
      </c>
    </row>
    <row r="42" spans="1:33" x14ac:dyDescent="0.25">
      <c r="A42" s="19">
        <v>46113</v>
      </c>
      <c r="B42" s="19"/>
      <c r="C42" s="34">
        <v>314627</v>
      </c>
      <c r="D42" s="34">
        <v>33441.129999999997</v>
      </c>
      <c r="E42" s="29">
        <v>139513.03200000001</v>
      </c>
      <c r="F42" s="34">
        <v>22265.47</v>
      </c>
      <c r="G42" s="34">
        <v>4632</v>
      </c>
      <c r="H42" s="34">
        <v>1996.855</v>
      </c>
      <c r="I42" s="34">
        <v>191873</v>
      </c>
      <c r="J42" s="34">
        <v>157575.5</v>
      </c>
      <c r="K42" s="34">
        <v>54083.76</v>
      </c>
      <c r="L42" s="34">
        <v>10418</v>
      </c>
      <c r="M42" s="34">
        <v>147895</v>
      </c>
      <c r="N42" s="34">
        <v>6750</v>
      </c>
      <c r="O42" s="34">
        <v>3654</v>
      </c>
      <c r="P42" s="28">
        <v>141952.71158423999</v>
      </c>
      <c r="Q42" s="29">
        <v>0</v>
      </c>
      <c r="R42" s="30">
        <v>0</v>
      </c>
      <c r="S42" s="35">
        <v>16.924928999999999</v>
      </c>
      <c r="T42" s="35">
        <v>0.45500000000000002</v>
      </c>
      <c r="U42" s="32">
        <v>7.6239999999999997</v>
      </c>
      <c r="V42" s="35">
        <v>3.6494000000000001E-3</v>
      </c>
      <c r="W42" s="32">
        <v>0</v>
      </c>
      <c r="X42" s="35">
        <v>11.442068000000001</v>
      </c>
      <c r="Y42" s="35">
        <v>3.3541926000000002</v>
      </c>
      <c r="Z42" s="35">
        <v>0.28928100000000001</v>
      </c>
      <c r="AA42" s="35">
        <v>9.7985168999999992</v>
      </c>
      <c r="AB42" s="35">
        <v>10.413885000000001</v>
      </c>
      <c r="AC42" s="35">
        <v>0.1917847</v>
      </c>
      <c r="AD42" s="35">
        <v>9.52408E-2</v>
      </c>
      <c r="AE42" s="32">
        <v>0</v>
      </c>
      <c r="AF42" s="25">
        <v>8.1692978522500006</v>
      </c>
      <c r="AG42" s="33">
        <v>193337.59507489199</v>
      </c>
    </row>
    <row r="43" spans="1:33" s="39" customFormat="1" x14ac:dyDescent="0.25">
      <c r="A43" s="36" t="s">
        <v>37</v>
      </c>
      <c r="B43" s="36" t="s">
        <v>36</v>
      </c>
      <c r="C43" s="37">
        <v>417857.14277999999</v>
      </c>
      <c r="D43" s="37">
        <v>23880.246823000001</v>
      </c>
      <c r="E43" s="37">
        <v>95761.494306499997</v>
      </c>
      <c r="F43" s="37">
        <v>22140</v>
      </c>
      <c r="G43" s="37">
        <v>5424</v>
      </c>
      <c r="H43" s="37">
        <v>2021.3333333333301</v>
      </c>
      <c r="I43" s="37">
        <v>140496.66666666599</v>
      </c>
      <c r="J43" s="37">
        <v>174553.846192</v>
      </c>
      <c r="K43" s="37">
        <v>52560</v>
      </c>
      <c r="L43" s="37">
        <v>13153.71328</v>
      </c>
      <c r="M43" s="37">
        <v>431800</v>
      </c>
      <c r="N43" s="37">
        <v>7563.6362879999997</v>
      </c>
      <c r="O43" s="37">
        <v>4927.5</v>
      </c>
      <c r="P43" s="37">
        <v>146425.33333333299</v>
      </c>
      <c r="Q43" s="37">
        <v>0</v>
      </c>
      <c r="R43" s="37">
        <v>0</v>
      </c>
      <c r="S43" s="38">
        <v>14.4300144333333</v>
      </c>
      <c r="T43" s="38">
        <v>0.24691356666667</v>
      </c>
      <c r="U43" s="38">
        <v>14.367816100000001</v>
      </c>
      <c r="V43" s="38">
        <v>4.7619033333330001E-2</v>
      </c>
      <c r="W43" s="38">
        <v>6.6666666666669996E-2</v>
      </c>
      <c r="X43" s="38">
        <v>11.764705866666599</v>
      </c>
      <c r="Y43" s="38">
        <v>3.5294117666666698</v>
      </c>
      <c r="Z43" s="38">
        <v>0.26666666666666999</v>
      </c>
      <c r="AA43" s="38">
        <v>8.5</v>
      </c>
      <c r="AB43" s="38">
        <v>8.4615384666666706</v>
      </c>
      <c r="AC43" s="38">
        <v>0.30303029999999997</v>
      </c>
      <c r="AD43" s="38">
        <v>0.16666666666666999</v>
      </c>
      <c r="AE43" s="38">
        <v>0</v>
      </c>
      <c r="AF43" s="38">
        <v>7.3666666666666698</v>
      </c>
      <c r="AG43" s="37">
        <v>192761.66666666599</v>
      </c>
    </row>
    <row r="44" spans="1:33" s="39" customFormat="1" x14ac:dyDescent="0.25">
      <c r="A44" s="40" t="s">
        <v>38</v>
      </c>
      <c r="B44" s="41">
        <v>46113</v>
      </c>
      <c r="C44" s="37">
        <v>314627</v>
      </c>
      <c r="D44" s="37">
        <v>33441.129999999997</v>
      </c>
      <c r="E44" s="37">
        <v>139513.03200000001</v>
      </c>
      <c r="F44" s="37">
        <v>22265.47</v>
      </c>
      <c r="G44" s="37">
        <v>4632</v>
      </c>
      <c r="H44" s="37">
        <v>1996.855</v>
      </c>
      <c r="I44" s="37">
        <v>191873</v>
      </c>
      <c r="J44" s="37">
        <v>157575.5</v>
      </c>
      <c r="K44" s="37">
        <v>54083.76</v>
      </c>
      <c r="L44" s="37">
        <v>10418</v>
      </c>
      <c r="M44" s="37">
        <v>147895</v>
      </c>
      <c r="N44" s="37">
        <v>6750</v>
      </c>
      <c r="O44" s="37">
        <v>3654</v>
      </c>
      <c r="P44" s="37">
        <v>141952.71158423999</v>
      </c>
      <c r="Q44" s="37">
        <v>0</v>
      </c>
      <c r="R44" s="37">
        <v>0</v>
      </c>
      <c r="S44" s="38">
        <v>16.924928999999999</v>
      </c>
      <c r="T44" s="38">
        <v>0.45500000000000002</v>
      </c>
      <c r="U44" s="38">
        <v>7.6239999999999997</v>
      </c>
      <c r="V44" s="38">
        <v>3.6494000000000001E-3</v>
      </c>
      <c r="W44" s="38">
        <v>0</v>
      </c>
      <c r="X44" s="38">
        <v>11.442068000000001</v>
      </c>
      <c r="Y44" s="38">
        <v>3.3541926000000002</v>
      </c>
      <c r="Z44" s="38">
        <v>0.28928100000000001</v>
      </c>
      <c r="AA44" s="38">
        <v>9.7985168999999992</v>
      </c>
      <c r="AB44" s="38">
        <v>10.413885000000001</v>
      </c>
      <c r="AC44" s="38">
        <v>0.1917847</v>
      </c>
      <c r="AD44" s="38">
        <v>9.52408E-2</v>
      </c>
      <c r="AE44" s="38">
        <v>0</v>
      </c>
      <c r="AF44" s="38">
        <v>8.1692978522500006</v>
      </c>
      <c r="AG44" s="37">
        <v>193337.59507489199</v>
      </c>
    </row>
    <row r="45" spans="1:33" s="39" customFormat="1" x14ac:dyDescent="0.25">
      <c r="A45" s="40"/>
      <c r="B45" s="41">
        <v>45748</v>
      </c>
      <c r="C45" s="37">
        <v>328151</v>
      </c>
      <c r="D45" s="37">
        <v>29305.360000000001</v>
      </c>
      <c r="E45" s="37">
        <v>0</v>
      </c>
      <c r="F45" s="37">
        <v>26225.71</v>
      </c>
      <c r="G45" s="37">
        <v>4591</v>
      </c>
      <c r="H45" s="37">
        <v>2119.73</v>
      </c>
      <c r="I45" s="37">
        <v>156900</v>
      </c>
      <c r="J45" s="37">
        <v>170250.2</v>
      </c>
      <c r="K45" s="37">
        <v>49457.2</v>
      </c>
      <c r="L45" s="37">
        <v>9435</v>
      </c>
      <c r="M45" s="37">
        <v>412868</v>
      </c>
      <c r="N45" s="37">
        <v>7352</v>
      </c>
      <c r="O45" s="37">
        <v>4376</v>
      </c>
      <c r="P45" s="37">
        <v>149643.4767</v>
      </c>
      <c r="Q45" s="37">
        <v>141.21</v>
      </c>
      <c r="R45" s="37">
        <v>63.544499999999999</v>
      </c>
      <c r="S45" s="38">
        <v>13.794051</v>
      </c>
      <c r="T45" s="38">
        <v>0.46800000000000003</v>
      </c>
      <c r="U45" s="38">
        <v>0</v>
      </c>
      <c r="V45" s="38">
        <v>3.6806999999999999E-3</v>
      </c>
      <c r="W45" s="38">
        <v>0</v>
      </c>
      <c r="X45" s="38">
        <v>8.7235694000000006</v>
      </c>
      <c r="Y45" s="38">
        <v>3.7898866999999998</v>
      </c>
      <c r="Z45" s="38">
        <v>0.268567</v>
      </c>
      <c r="AA45" s="38">
        <v>0</v>
      </c>
      <c r="AB45" s="38">
        <v>3.3262200000000002</v>
      </c>
      <c r="AC45" s="38">
        <v>0.19773370000000001</v>
      </c>
      <c r="AD45" s="38">
        <v>8.4447599999999998E-2</v>
      </c>
      <c r="AE45" s="38">
        <v>0.32600000000000001</v>
      </c>
      <c r="AF45" s="38">
        <v>3.9953139657499999</v>
      </c>
      <c r="AG45" s="37">
        <v>174837.54604456699</v>
      </c>
    </row>
    <row r="46" spans="1:33" s="39" customFormat="1" x14ac:dyDescent="0.25">
      <c r="A46" s="36" t="s">
        <v>39</v>
      </c>
      <c r="B46" s="41">
        <v>46082</v>
      </c>
      <c r="C46" s="37">
        <v>327125.87096774101</v>
      </c>
      <c r="D46" s="37">
        <v>34001.326774193498</v>
      </c>
      <c r="E46" s="37">
        <v>131344.14932257999</v>
      </c>
      <c r="F46" s="37">
        <v>22632.308387096698</v>
      </c>
      <c r="G46" s="37">
        <v>4983.7096774193496</v>
      </c>
      <c r="H46" s="37">
        <v>2050.0931290322501</v>
      </c>
      <c r="I46" s="37">
        <v>183213.90322580599</v>
      </c>
      <c r="J46" s="37">
        <v>155070.34516129</v>
      </c>
      <c r="K46" s="37">
        <v>52460.576774193498</v>
      </c>
      <c r="L46" s="37">
        <v>10517.129032258001</v>
      </c>
      <c r="M46" s="37">
        <v>101605.548387096</v>
      </c>
      <c r="N46" s="37">
        <v>6858.5483870967701</v>
      </c>
      <c r="O46" s="37">
        <v>3321.3225806451601</v>
      </c>
      <c r="P46" s="37">
        <v>138198.735469976</v>
      </c>
      <c r="Q46" s="37">
        <v>0</v>
      </c>
      <c r="R46" s="37">
        <v>0</v>
      </c>
      <c r="S46" s="38">
        <v>15.3022662806451</v>
      </c>
      <c r="T46" s="38">
        <v>0.45819354838710002</v>
      </c>
      <c r="U46" s="38">
        <v>7.4984516129032297</v>
      </c>
      <c r="V46" s="38">
        <v>3.8451645161300002E-3</v>
      </c>
      <c r="W46" s="38">
        <v>0</v>
      </c>
      <c r="X46" s="38">
        <v>11.3244823129032</v>
      </c>
      <c r="Y46" s="38">
        <v>3.3777008064516099</v>
      </c>
      <c r="Z46" s="38">
        <v>0.28565419354839</v>
      </c>
      <c r="AA46" s="38">
        <v>10.1279209645161</v>
      </c>
      <c r="AB46" s="38">
        <v>9.4401203870967692</v>
      </c>
      <c r="AC46" s="38">
        <v>0.21472173870968</v>
      </c>
      <c r="AD46" s="38">
        <v>9.4470441935480001E-2</v>
      </c>
      <c r="AE46" s="38">
        <v>0</v>
      </c>
      <c r="AF46" s="38">
        <v>7.9178399550959702</v>
      </c>
      <c r="AG46" s="37">
        <v>188001.94878753001</v>
      </c>
    </row>
    <row r="47" spans="1:33" s="39" customFormat="1" x14ac:dyDescent="0.25">
      <c r="A47" s="36" t="s">
        <v>40</v>
      </c>
      <c r="B47" s="36" t="s">
        <v>36</v>
      </c>
      <c r="C47" s="37">
        <v>414774.95108424599</v>
      </c>
      <c r="D47" s="37">
        <v>23688.482943315001</v>
      </c>
      <c r="E47" s="37">
        <v>110191.308517068</v>
      </c>
      <c r="F47" s="37">
        <v>22241.0959308493</v>
      </c>
      <c r="G47" s="37">
        <v>5461.1506849315001</v>
      </c>
      <c r="H47" s="37">
        <v>2097.4794520547898</v>
      </c>
      <c r="I47" s="37">
        <v>139900.54794520501</v>
      </c>
      <c r="J47" s="37">
        <v>174593.04534377999</v>
      </c>
      <c r="K47" s="37">
        <v>52400</v>
      </c>
      <c r="L47" s="37">
        <v>13127.972168767101</v>
      </c>
      <c r="M47" s="37">
        <v>431104.10958904098</v>
      </c>
      <c r="N47" s="37">
        <v>7770.8591999999999</v>
      </c>
      <c r="O47" s="37">
        <v>5220</v>
      </c>
      <c r="P47" s="37">
        <v>146458.04109588999</v>
      </c>
      <c r="Q47" s="37"/>
      <c r="R47" s="37"/>
      <c r="S47" s="38">
        <v>13.757931569863</v>
      </c>
      <c r="T47" s="38">
        <v>0.25367832328766998</v>
      </c>
      <c r="U47" s="38">
        <v>4.7236655671232901</v>
      </c>
      <c r="V47" s="38">
        <v>3.9138931506799996E-3</v>
      </c>
      <c r="W47" s="38">
        <v>2.1917808219180001E-2</v>
      </c>
      <c r="X47" s="38">
        <v>10.829975827397201</v>
      </c>
      <c r="Y47" s="38">
        <v>3.2554391616438401</v>
      </c>
      <c r="Z47" s="38">
        <v>0.25753424657534002</v>
      </c>
      <c r="AA47" s="38">
        <v>8.4794520547945194</v>
      </c>
      <c r="AB47" s="38">
        <v>8.4299262301369904</v>
      </c>
      <c r="AC47" s="38">
        <v>0.22415940000000001</v>
      </c>
      <c r="AD47" s="38">
        <v>0.21917808219178</v>
      </c>
      <c r="AE47" s="38"/>
      <c r="AF47" s="38">
        <v>7.0630136986301402</v>
      </c>
      <c r="AG47" s="37">
        <v>190884.39726027299</v>
      </c>
    </row>
    <row r="48" spans="1:33" s="39" customFormat="1" x14ac:dyDescent="0.25">
      <c r="A48" s="36" t="s">
        <v>41</v>
      </c>
      <c r="B48" s="36" t="s">
        <v>36</v>
      </c>
      <c r="C48" s="37">
        <v>417857.14079999999</v>
      </c>
      <c r="D48" s="37">
        <v>23880.25416</v>
      </c>
      <c r="E48" s="37">
        <v>95760.533880000003</v>
      </c>
      <c r="F48" s="37">
        <v>22140</v>
      </c>
      <c r="G48" s="37">
        <v>5424</v>
      </c>
      <c r="H48" s="37">
        <v>2021.3358599999999</v>
      </c>
      <c r="I48" s="37">
        <v>140496.67910000001</v>
      </c>
      <c r="J48" s="37">
        <v>174553.84271999999</v>
      </c>
      <c r="K48" s="37">
        <v>52560</v>
      </c>
      <c r="L48" s="37">
        <v>13153.7228</v>
      </c>
      <c r="M48" s="37">
        <v>431800.06349999999</v>
      </c>
      <c r="N48" s="37">
        <v>7563.6163200000001</v>
      </c>
      <c r="O48" s="37">
        <v>4927.5</v>
      </c>
      <c r="P48" s="37">
        <v>146425.341075</v>
      </c>
      <c r="Q48" s="37">
        <v>0</v>
      </c>
      <c r="R48" s="37">
        <v>0</v>
      </c>
      <c r="S48" s="38">
        <v>14.43</v>
      </c>
      <c r="T48" s="38">
        <v>0.246915</v>
      </c>
      <c r="U48" s="38">
        <v>14.367672000000001</v>
      </c>
      <c r="V48" s="38">
        <v>4.7619000000000002E-2</v>
      </c>
      <c r="W48" s="38">
        <v>6.6666000000000003E-2</v>
      </c>
      <c r="X48" s="38">
        <v>11.764706</v>
      </c>
      <c r="Y48" s="38">
        <v>3.5294120000000002</v>
      </c>
      <c r="Z48" s="38">
        <v>0.26666699999999999</v>
      </c>
      <c r="AA48" s="38">
        <v>8.5</v>
      </c>
      <c r="AB48" s="38">
        <v>8.4615379999999991</v>
      </c>
      <c r="AC48" s="38">
        <v>0.30302699999999999</v>
      </c>
      <c r="AD48" s="38">
        <v>0.16666800000000001</v>
      </c>
      <c r="AE48" s="38">
        <v>0</v>
      </c>
      <c r="AF48" s="38">
        <v>7.3666660000000004</v>
      </c>
      <c r="AG48" s="37">
        <v>192761.67021499999</v>
      </c>
    </row>
    <row r="49" spans="1:33" s="39" customFormat="1" x14ac:dyDescent="0.25">
      <c r="A49" s="40" t="s">
        <v>44</v>
      </c>
      <c r="B49" s="36" t="s">
        <v>42</v>
      </c>
      <c r="C49" s="37">
        <v>314627</v>
      </c>
      <c r="D49" s="45">
        <v>21270.191180000002</v>
      </c>
      <c r="E49" s="37">
        <v>0</v>
      </c>
      <c r="F49" s="46">
        <v>22191.422558400001</v>
      </c>
      <c r="G49" s="46">
        <v>4635.9645137999996</v>
      </c>
      <c r="H49" s="46">
        <v>1994.9020141000001</v>
      </c>
      <c r="I49" s="37">
        <v>191873</v>
      </c>
      <c r="J49" s="46">
        <v>157532.3315227</v>
      </c>
      <c r="K49" s="46">
        <v>54075.2490942</v>
      </c>
      <c r="L49" s="37">
        <v>10417.9735733</v>
      </c>
      <c r="M49" s="46">
        <v>147450.22823420001</v>
      </c>
      <c r="N49" s="46">
        <v>6760.5245643999997</v>
      </c>
      <c r="O49" s="46">
        <v>3704.4477916999999</v>
      </c>
      <c r="P49" s="37">
        <v>138281.27197279999</v>
      </c>
      <c r="Q49" s="37">
        <v>0</v>
      </c>
      <c r="R49" s="37">
        <v>0</v>
      </c>
      <c r="S49" s="48">
        <v>16.796707699999999</v>
      </c>
      <c r="T49" s="38">
        <v>0.45500000000000002</v>
      </c>
      <c r="U49" s="38">
        <v>0</v>
      </c>
      <c r="V49" s="38">
        <v>3.6551000000000001E-3</v>
      </c>
      <c r="W49" s="49">
        <v>2.80667E-2</v>
      </c>
      <c r="X49" s="38">
        <v>11.442068000000001</v>
      </c>
      <c r="Y49" s="38">
        <v>3.3541926000000002</v>
      </c>
      <c r="Z49" s="38">
        <v>0.28916320000000001</v>
      </c>
      <c r="AA49" s="38">
        <v>9.7983697000000003</v>
      </c>
      <c r="AB49" s="38">
        <v>10.412735899999999</v>
      </c>
      <c r="AC49" s="38">
        <v>0.1914632</v>
      </c>
      <c r="AD49" s="38">
        <v>9.9913199999999994E-2</v>
      </c>
      <c r="AE49" s="38">
        <v>0</v>
      </c>
      <c r="AF49" s="38">
        <v>8.1632847000000002</v>
      </c>
      <c r="AG49" s="37">
        <v>189628.33273580001</v>
      </c>
    </row>
    <row r="50" spans="1:33" s="39" customFormat="1" x14ac:dyDescent="0.25">
      <c r="A50" s="40"/>
      <c r="B50" s="36" t="s">
        <v>43</v>
      </c>
      <c r="C50" s="37">
        <v>328377.97831799998</v>
      </c>
      <c r="D50" s="37">
        <v>27697.6198119</v>
      </c>
      <c r="E50" s="37">
        <v>0</v>
      </c>
      <c r="F50" s="37">
        <v>26225.692857800001</v>
      </c>
      <c r="G50" s="37">
        <v>4591</v>
      </c>
      <c r="H50" s="37">
        <v>2090.5237990000001</v>
      </c>
      <c r="I50" s="37">
        <v>1532569.3333333</v>
      </c>
      <c r="J50" s="37">
        <v>170266.2441097</v>
      </c>
      <c r="K50" s="37">
        <v>49390.928459100003</v>
      </c>
      <c r="L50" s="37">
        <v>9434.9580112000003</v>
      </c>
      <c r="M50" s="37">
        <v>394559.3909846</v>
      </c>
      <c r="N50" s="37">
        <v>7352</v>
      </c>
      <c r="O50" s="37">
        <v>4376.2705618999998</v>
      </c>
      <c r="P50" s="37">
        <v>423576.03174890002</v>
      </c>
      <c r="Q50" s="37">
        <v>141.2085673</v>
      </c>
      <c r="R50" s="37">
        <v>63.543855299999997</v>
      </c>
      <c r="S50" s="38">
        <v>13.6725662</v>
      </c>
      <c r="T50" s="38">
        <v>0.60101470000000001</v>
      </c>
      <c r="U50" s="38">
        <v>0</v>
      </c>
      <c r="V50" s="38">
        <v>3.6692999999999999E-3</v>
      </c>
      <c r="W50" s="38">
        <v>2.7900000000000001E-2</v>
      </c>
      <c r="X50" s="38">
        <v>8.7233131999999998</v>
      </c>
      <c r="Y50" s="38">
        <v>3.9216776000000002</v>
      </c>
      <c r="Z50" s="38">
        <v>0.26872770000000001</v>
      </c>
      <c r="AA50" s="38">
        <v>9.1</v>
      </c>
      <c r="AB50" s="38">
        <v>3.3529873000000001</v>
      </c>
      <c r="AC50" s="38">
        <v>0.19694619999999999</v>
      </c>
      <c r="AD50" s="38">
        <v>0.1617072</v>
      </c>
      <c r="AE50" s="38">
        <v>0.4620322</v>
      </c>
      <c r="AF50" s="38">
        <v>5.9831295000000004</v>
      </c>
      <c r="AG50" s="37">
        <v>461273.46015920001</v>
      </c>
    </row>
    <row r="51" spans="1:33" s="39" customFormat="1" x14ac:dyDescent="0.25">
      <c r="A51" s="36" t="s">
        <v>46</v>
      </c>
      <c r="B51" s="36" t="s">
        <v>36</v>
      </c>
      <c r="C51" s="37">
        <v>415050.08281799499</v>
      </c>
      <c r="D51" s="37">
        <v>23695.126602004999</v>
      </c>
      <c r="E51" s="37">
        <v>110494.031892115</v>
      </c>
      <c r="F51" s="37">
        <v>22241.232396158</v>
      </c>
      <c r="G51" s="37">
        <v>5463.4176799070001</v>
      </c>
      <c r="H51" s="37">
        <v>2097.7612582030001</v>
      </c>
      <c r="I51" s="37">
        <v>139757.766483516</v>
      </c>
      <c r="J51" s="37">
        <v>174639.915436696</v>
      </c>
      <c r="K51" s="37">
        <v>52395.397667324003</v>
      </c>
      <c r="L51" s="37">
        <v>13135.417219854</v>
      </c>
      <c r="M51" s="37">
        <v>431883.37849386199</v>
      </c>
      <c r="N51" s="37">
        <v>7773.6348446029997</v>
      </c>
      <c r="O51" s="37">
        <v>5224.1636049680001</v>
      </c>
      <c r="P51" s="37">
        <v>146480.50474732701</v>
      </c>
      <c r="Q51" s="37" t="s">
        <v>45</v>
      </c>
      <c r="R51" s="37" t="s">
        <v>45</v>
      </c>
      <c r="S51" s="38">
        <v>13.749583284</v>
      </c>
      <c r="T51" s="38">
        <v>0.25312524199999997</v>
      </c>
      <c r="U51" s="38">
        <v>4.7366426700000002</v>
      </c>
      <c r="V51" s="38">
        <v>3.9146040000000003E-3</v>
      </c>
      <c r="W51" s="38">
        <v>2.1900915999999999E-2</v>
      </c>
      <c r="X51" s="38">
        <v>10.828294254999999</v>
      </c>
      <c r="Y51" s="38">
        <v>3.2551678609999999</v>
      </c>
      <c r="Z51" s="38">
        <v>0.25744735400000002</v>
      </c>
      <c r="AA51" s="38">
        <v>8.4758286550000008</v>
      </c>
      <c r="AB51" s="38">
        <v>8.4244789509999993</v>
      </c>
      <c r="AC51" s="38">
        <v>0.224249225</v>
      </c>
      <c r="AD51" s="38">
        <v>0.21950573300000001</v>
      </c>
      <c r="AE51" s="38" t="s">
        <v>45</v>
      </c>
      <c r="AF51" s="38">
        <v>7.0599909759999999</v>
      </c>
      <c r="AG51" s="37">
        <v>190887.84798699</v>
      </c>
    </row>
    <row r="52" spans="1:33" s="39" customFormat="1" x14ac:dyDescent="0.25">
      <c r="A52" s="36" t="s">
        <v>47</v>
      </c>
      <c r="B52" s="36"/>
      <c r="C52" s="37">
        <v>328625.63561643503</v>
      </c>
      <c r="D52" s="37">
        <v>23919.8843479432</v>
      </c>
      <c r="E52" s="37">
        <v>106999.63991769501</v>
      </c>
      <c r="F52" s="37">
        <v>21202.661315069501</v>
      </c>
      <c r="G52" s="37">
        <v>4841.0219178082098</v>
      </c>
      <c r="H52" s="37">
        <v>2167.59896438136</v>
      </c>
      <c r="I52" s="37">
        <v>142979.54383560701</v>
      </c>
      <c r="J52" s="37">
        <v>164252.25408492901</v>
      </c>
      <c r="K52" s="37">
        <v>46000.398972602103</v>
      </c>
      <c r="L52" s="37">
        <v>10490.511205479999</v>
      </c>
      <c r="M52" s="37">
        <v>390201.04657534102</v>
      </c>
      <c r="N52" s="37">
        <v>6663.7835616430102</v>
      </c>
      <c r="O52" s="37">
        <v>4169.6986301345196</v>
      </c>
      <c r="P52" s="37">
        <v>139007.27544109599</v>
      </c>
      <c r="Q52" s="37">
        <v>154.78994520520499</v>
      </c>
      <c r="R52" s="37">
        <v>69.655475343287605</v>
      </c>
      <c r="S52" s="38">
        <v>11.9460630073972</v>
      </c>
      <c r="T52" s="38">
        <v>0.33110684767123</v>
      </c>
      <c r="U52" s="38">
        <v>4.5433744847736603</v>
      </c>
      <c r="V52" s="38">
        <v>3.50411205479E-3</v>
      </c>
      <c r="W52" s="38">
        <v>2.9361650136989999E-2</v>
      </c>
      <c r="X52" s="38">
        <v>10.792748418630101</v>
      </c>
      <c r="Y52" s="38">
        <v>3.1979799750684901</v>
      </c>
      <c r="Z52" s="38">
        <v>0.27551233342466003</v>
      </c>
      <c r="AA52" s="38">
        <v>8.5286685019178101</v>
      </c>
      <c r="AB52" s="38">
        <v>10.1647570369863</v>
      </c>
      <c r="AC52" s="38">
        <v>0.19652854109588999</v>
      </c>
      <c r="AD52" s="38">
        <v>9.0606775890409996E-2</v>
      </c>
      <c r="AE52" s="38">
        <v>0.28355616630136998</v>
      </c>
      <c r="AF52" s="38">
        <v>7.6509401909588997</v>
      </c>
      <c r="AG52" s="37">
        <v>187201.34471757</v>
      </c>
    </row>
    <row r="53" spans="1:33" s="39" customFormat="1" x14ac:dyDescent="0.25">
      <c r="A53" s="42" t="s">
        <v>28</v>
      </c>
      <c r="B53" s="42"/>
      <c r="C53" s="42" t="s">
        <v>30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</row>
    <row r="54" spans="1:33" s="39" customFormat="1" x14ac:dyDescent="0.25">
      <c r="A54" s="42" t="s">
        <v>48</v>
      </c>
      <c r="B54" s="42"/>
      <c r="C54" s="42" t="s">
        <v>49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 t="s">
        <v>49</v>
      </c>
      <c r="R54" s="42"/>
      <c r="S54" s="42" t="s">
        <v>50</v>
      </c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3" t="s">
        <v>51</v>
      </c>
    </row>
    <row r="55" spans="1:33" s="39" customFormat="1" x14ac:dyDescent="0.25">
      <c r="A55" s="36" t="s">
        <v>40</v>
      </c>
      <c r="B55" s="36" t="s">
        <v>36</v>
      </c>
      <c r="C55" s="38">
        <v>0.47099999999999997</v>
      </c>
      <c r="D55" s="38">
        <v>0.35</v>
      </c>
      <c r="E55" s="38">
        <v>1.4E-2</v>
      </c>
      <c r="F55" s="38">
        <v>0.77</v>
      </c>
      <c r="G55" s="38">
        <v>0.14699999999999999</v>
      </c>
      <c r="H55" s="38">
        <v>0.10100000000000001</v>
      </c>
      <c r="I55" s="38">
        <v>1.369</v>
      </c>
      <c r="J55" s="38">
        <v>2.2269999999999999</v>
      </c>
      <c r="K55" s="38">
        <v>0.65500000000000003</v>
      </c>
      <c r="L55" s="38">
        <v>0.17</v>
      </c>
      <c r="M55" s="38">
        <v>0.82599999999999996</v>
      </c>
      <c r="N55" s="38">
        <v>0.05</v>
      </c>
      <c r="O55" s="38">
        <v>0.11600000000000001</v>
      </c>
      <c r="P55" s="38">
        <v>7.266</v>
      </c>
      <c r="Q55" s="38"/>
      <c r="R55" s="38"/>
      <c r="S55" s="38">
        <v>0.11600000000000001</v>
      </c>
      <c r="T55" s="38">
        <v>2.5000000000000001E-2</v>
      </c>
      <c r="U55" s="38">
        <v>4.0000000000000001E-3</v>
      </c>
      <c r="V55" s="38">
        <v>1E-3</v>
      </c>
      <c r="W55" s="38">
        <v>4.0000000000000001E-3</v>
      </c>
      <c r="X55" s="38">
        <v>0.67200000000000004</v>
      </c>
      <c r="Y55" s="38">
        <v>0.20200000000000001</v>
      </c>
      <c r="Z55" s="38">
        <v>9.4E-2</v>
      </c>
      <c r="AA55" s="38">
        <v>0.61899999999999999</v>
      </c>
      <c r="AB55" s="38">
        <v>0.8</v>
      </c>
      <c r="AC55" s="38">
        <v>8.9999999999999993E-3</v>
      </c>
      <c r="AD55" s="38">
        <v>3.2000000000000001E-2</v>
      </c>
      <c r="AE55" s="38"/>
      <c r="AF55" s="38">
        <v>2.5779999999999998</v>
      </c>
      <c r="AG55" s="38">
        <v>9.8439999999999994</v>
      </c>
    </row>
    <row r="56" spans="1:33" s="39" customFormat="1" x14ac:dyDescent="0.25">
      <c r="A56" s="36" t="s">
        <v>41</v>
      </c>
      <c r="B56" s="36" t="s">
        <v>36</v>
      </c>
      <c r="C56" s="38">
        <v>1.2999999999999999E-3</v>
      </c>
      <c r="D56" s="38">
        <v>9.6666700000000005E-4</v>
      </c>
      <c r="E56" s="38">
        <v>3.3333000000000001E-5</v>
      </c>
      <c r="F56" s="38">
        <v>2.0999999999999999E-3</v>
      </c>
      <c r="G56" s="38">
        <v>4.0000000000000002E-4</v>
      </c>
      <c r="H56" s="38">
        <v>2.66667E-4</v>
      </c>
      <c r="I56" s="38">
        <v>3.766667E-3</v>
      </c>
      <c r="J56" s="38">
        <v>6.1000000000000004E-3</v>
      </c>
      <c r="K56" s="38">
        <v>1.8E-3</v>
      </c>
      <c r="L56" s="38">
        <v>4.6666699999999998E-4</v>
      </c>
      <c r="M56" s="38">
        <v>2.266667E-3</v>
      </c>
      <c r="N56" s="38">
        <v>1.3333299999999999E-4</v>
      </c>
      <c r="O56" s="38">
        <v>2.9999999999999997E-4</v>
      </c>
      <c r="P56" s="38">
        <v>1.9900001E-2</v>
      </c>
      <c r="Q56" s="38"/>
      <c r="R56" s="38"/>
      <c r="S56" s="38">
        <v>3.33333E-4</v>
      </c>
      <c r="T56" s="38">
        <v>6.6667000000000004E-5</v>
      </c>
      <c r="U56" s="38">
        <v>3.3333000000000001E-5</v>
      </c>
      <c r="V56" s="38">
        <v>3.3333000000000001E-5</v>
      </c>
      <c r="W56" s="38">
        <v>3.3333000000000001E-5</v>
      </c>
      <c r="X56" s="38">
        <v>2E-3</v>
      </c>
      <c r="Y56" s="38">
        <v>5.9999999999999995E-4</v>
      </c>
      <c r="Z56" s="38">
        <v>2.66667E-4</v>
      </c>
      <c r="AA56" s="38">
        <v>1.6999999999999999E-3</v>
      </c>
      <c r="AB56" s="38">
        <v>2.2000000000000001E-3</v>
      </c>
      <c r="AC56" s="38">
        <v>3.3333000000000001E-5</v>
      </c>
      <c r="AD56" s="38">
        <v>6.6667000000000004E-5</v>
      </c>
      <c r="AE56" s="38"/>
      <c r="AF56" s="38">
        <v>7.366666E-3</v>
      </c>
      <c r="AG56" s="38">
        <v>2.7266667000000001E-2</v>
      </c>
    </row>
    <row r="57" spans="1:33" s="39" customFormat="1" x14ac:dyDescent="0.25">
      <c r="A57" s="36" t="s">
        <v>52</v>
      </c>
      <c r="B57" s="36"/>
      <c r="C57" s="38">
        <v>1.2369408257000001E-3</v>
      </c>
      <c r="D57" s="38">
        <v>8.6165802799999995E-4</v>
      </c>
      <c r="E57" s="38">
        <v>0</v>
      </c>
      <c r="F57" s="38">
        <v>2.1057770449E-3</v>
      </c>
      <c r="G57" s="38">
        <v>3.4187898369999998E-4</v>
      </c>
      <c r="H57" s="38">
        <v>2.5805032870000001E-4</v>
      </c>
      <c r="I57" s="38">
        <v>5.2401408276999996E-3</v>
      </c>
      <c r="J57" s="38">
        <v>5.5051621229000001E-3</v>
      </c>
      <c r="K57" s="38">
        <v>1.851892093E-3</v>
      </c>
      <c r="L57" s="38">
        <v>3.6960825659999999E-4</v>
      </c>
      <c r="M57" s="38">
        <v>7.7401694590000002E-4</v>
      </c>
      <c r="N57" s="38">
        <v>1.191759002E-4</v>
      </c>
      <c r="O57" s="38">
        <v>2.2553704790000001E-4</v>
      </c>
      <c r="P57" s="38">
        <v>1.8889838405200001E-2</v>
      </c>
      <c r="Q57" s="38">
        <v>0</v>
      </c>
      <c r="R57" s="38">
        <v>0</v>
      </c>
      <c r="S57" s="38">
        <v>4.9130370000000003E-4</v>
      </c>
      <c r="T57" s="38">
        <v>0</v>
      </c>
      <c r="U57" s="38">
        <v>0</v>
      </c>
      <c r="V57" s="38">
        <v>2.5585999999999999E-6</v>
      </c>
      <c r="W57" s="38">
        <v>1.40334E-5</v>
      </c>
      <c r="X57" s="38">
        <v>1.9451516E-3</v>
      </c>
      <c r="Y57" s="38">
        <v>5.7021269999999998E-4</v>
      </c>
      <c r="Z57" s="38">
        <v>2.8916320000000001E-4</v>
      </c>
      <c r="AA57" s="38">
        <v>1.9596739000000002E-3</v>
      </c>
      <c r="AB57" s="38">
        <v>2.7073113000000001E-3</v>
      </c>
      <c r="AC57" s="38">
        <v>2.1061E-5</v>
      </c>
      <c r="AD57" s="38">
        <v>3.9965300000000002E-5</v>
      </c>
      <c r="AE57" s="38">
        <v>0</v>
      </c>
      <c r="AF57" s="38">
        <v>8.0404346999999998E-3</v>
      </c>
      <c r="AG57" s="38">
        <v>2.6930273105199999E-2</v>
      </c>
    </row>
    <row r="58" spans="1:33" s="39" customFormat="1" x14ac:dyDescent="0.25">
      <c r="A58" s="36" t="s">
        <v>53</v>
      </c>
      <c r="B58" s="36" t="s">
        <v>36</v>
      </c>
      <c r="C58" s="38">
        <v>95.149294284615294</v>
      </c>
      <c r="D58" s="38">
        <v>89.137006642411507</v>
      </c>
      <c r="E58" s="38">
        <v>0</v>
      </c>
      <c r="F58" s="38">
        <v>100.27509737619</v>
      </c>
      <c r="G58" s="38">
        <v>85.469745924999998</v>
      </c>
      <c r="H58" s="38">
        <v>96.768752301559601</v>
      </c>
      <c r="I58" s="38">
        <v>139.11877072488701</v>
      </c>
      <c r="J58" s="38">
        <v>90.248559391803198</v>
      </c>
      <c r="K58" s="38">
        <v>102.882894055555</v>
      </c>
      <c r="L58" s="38">
        <v>79.201712698776603</v>
      </c>
      <c r="M58" s="38">
        <v>34.1478014150292</v>
      </c>
      <c r="N58" s="38">
        <v>89.382148605371498</v>
      </c>
      <c r="O58" s="38">
        <v>75.179015966666597</v>
      </c>
      <c r="P58" s="38">
        <v>94.923806311366505</v>
      </c>
      <c r="Q58" s="38"/>
      <c r="R58" s="38"/>
      <c r="S58" s="38">
        <v>147.391257391257</v>
      </c>
      <c r="T58" s="38">
        <v>0</v>
      </c>
      <c r="U58" s="38">
        <v>0</v>
      </c>
      <c r="V58" s="38">
        <v>7.6758767587675898</v>
      </c>
      <c r="W58" s="38">
        <v>42.100621006209998</v>
      </c>
      <c r="X58" s="38">
        <v>97.257580000000004</v>
      </c>
      <c r="Y58" s="38">
        <v>95.035449999999997</v>
      </c>
      <c r="Z58" s="38">
        <v>108.43606445491901</v>
      </c>
      <c r="AA58" s="38">
        <v>115.274935294117</v>
      </c>
      <c r="AB58" s="38">
        <v>123.05960454545399</v>
      </c>
      <c r="AC58" s="38">
        <v>63.183631836318298</v>
      </c>
      <c r="AD58" s="38">
        <v>59.947650261748599</v>
      </c>
      <c r="AE58" s="38"/>
      <c r="AF58" s="38">
        <v>109.146182275672</v>
      </c>
      <c r="AG58" s="38">
        <v>98.766281574495295</v>
      </c>
    </row>
    <row r="59" spans="1:33" s="39" customFormat="1" x14ac:dyDescent="0.25">
      <c r="A59" s="36" t="s">
        <v>54</v>
      </c>
      <c r="B59" s="36" t="s">
        <v>36</v>
      </c>
      <c r="C59" s="38">
        <v>0.26262013284501001</v>
      </c>
      <c r="D59" s="38">
        <v>0.24618800800000001</v>
      </c>
      <c r="E59" s="38">
        <v>0</v>
      </c>
      <c r="F59" s="38">
        <v>0.27347753829869997</v>
      </c>
      <c r="G59" s="38">
        <v>0.23257073721088001</v>
      </c>
      <c r="H59" s="38">
        <v>0.25549537495050001</v>
      </c>
      <c r="I59" s="38">
        <v>0.38277142642075002</v>
      </c>
      <c r="J59" s="38">
        <v>0.24720081378087</v>
      </c>
      <c r="K59" s="38">
        <v>0.28273161725190998</v>
      </c>
      <c r="L59" s="38">
        <v>0.21741662152940999</v>
      </c>
      <c r="M59" s="38">
        <v>9.3706652045999997E-2</v>
      </c>
      <c r="N59" s="38">
        <v>0.23835180040000001</v>
      </c>
      <c r="O59" s="38">
        <v>0.19442848956896999</v>
      </c>
      <c r="P59" s="38">
        <v>0.25997575564546999</v>
      </c>
      <c r="Q59" s="38"/>
      <c r="R59" s="38"/>
      <c r="S59" s="38">
        <v>0.42353767241378998</v>
      </c>
      <c r="T59" s="38">
        <v>0</v>
      </c>
      <c r="U59" s="38">
        <v>0</v>
      </c>
      <c r="V59" s="38">
        <v>0.25585999999999998</v>
      </c>
      <c r="W59" s="38">
        <v>0.35083500000000001</v>
      </c>
      <c r="X59" s="38">
        <v>0.28945708333332998</v>
      </c>
      <c r="Y59" s="38">
        <v>0.28228351485149</v>
      </c>
      <c r="Z59" s="38">
        <v>0.30762042553190999</v>
      </c>
      <c r="AA59" s="38">
        <v>0.31658705977383</v>
      </c>
      <c r="AB59" s="38">
        <v>0.33841391250000002</v>
      </c>
      <c r="AC59" s="38">
        <v>0.23401111111111</v>
      </c>
      <c r="AD59" s="38">
        <v>0.1248915625</v>
      </c>
      <c r="AE59" s="38"/>
      <c r="AF59" s="38">
        <v>0.31188652831651997</v>
      </c>
      <c r="AG59" s="38">
        <v>0.2735704297562</v>
      </c>
    </row>
    <row r="60" spans="1:33" s="39" customFormat="1" x14ac:dyDescent="0.25">
      <c r="A60" s="40" t="s">
        <v>60</v>
      </c>
      <c r="B60" s="36" t="s">
        <v>55</v>
      </c>
      <c r="C60" s="38">
        <v>0.50574823530049995</v>
      </c>
      <c r="D60" s="38">
        <v>0.45265177836129999</v>
      </c>
      <c r="E60" s="38">
        <v>0</v>
      </c>
      <c r="F60" s="38">
        <v>0.44315559400479998</v>
      </c>
      <c r="G60" s="38">
        <v>0.21914233301790001</v>
      </c>
      <c r="H60" s="38">
        <v>0.18657599999819999</v>
      </c>
      <c r="I60" s="38">
        <v>2.18556351828</v>
      </c>
      <c r="J60" s="38">
        <v>2.6806080600006998</v>
      </c>
      <c r="K60" s="38">
        <v>0.27796587775429998</v>
      </c>
      <c r="L60" s="38">
        <v>2.1216535837600001E-2</v>
      </c>
      <c r="M60" s="38">
        <v>0.7276961999996</v>
      </c>
      <c r="N60" s="38">
        <v>5.9716879419600001E-2</v>
      </c>
      <c r="O60" s="38">
        <v>5.25066799998E-2</v>
      </c>
      <c r="P60" s="38">
        <v>7.8125476919743004</v>
      </c>
      <c r="Q60" s="38">
        <v>7.2553500005999999E-3</v>
      </c>
      <c r="R60" s="38">
        <v>7.2553500005999999E-3</v>
      </c>
      <c r="S60" s="38">
        <v>9.9531064099999997E-2</v>
      </c>
      <c r="T60" s="38">
        <v>3.11744724E-2</v>
      </c>
      <c r="U60" s="38">
        <v>0</v>
      </c>
      <c r="V60" s="38">
        <v>9.4640429999999997E-4</v>
      </c>
      <c r="W60" s="38">
        <v>6.9834336E-3</v>
      </c>
      <c r="X60" s="38">
        <v>0.61933886637400004</v>
      </c>
      <c r="Y60" s="38">
        <v>0.27731972387800002</v>
      </c>
      <c r="Z60" s="38">
        <v>0.1002750027</v>
      </c>
      <c r="AA60" s="38">
        <v>0.70981551440000001</v>
      </c>
      <c r="AB60" s="38">
        <v>1.4684396805</v>
      </c>
      <c r="AC60" s="38">
        <v>4.8819468000000001E-3</v>
      </c>
      <c r="AD60" s="38">
        <v>8.5768153999999999E-3</v>
      </c>
      <c r="AE60" s="38">
        <v>0.53936415029999996</v>
      </c>
      <c r="AF60" s="38">
        <v>3.8666470747520001</v>
      </c>
      <c r="AG60" s="38">
        <v>11.686450116726901</v>
      </c>
    </row>
    <row r="61" spans="1:33" s="39" customFormat="1" x14ac:dyDescent="0.25">
      <c r="A61" s="40"/>
      <c r="B61" s="36" t="s">
        <v>56</v>
      </c>
      <c r="C61" s="38">
        <v>0.45862536142479998</v>
      </c>
      <c r="D61" s="38">
        <v>0.34662770991050001</v>
      </c>
      <c r="E61" s="38">
        <v>0</v>
      </c>
      <c r="F61" s="38">
        <v>0.65409551200600002</v>
      </c>
      <c r="G61" s="38">
        <v>7.7207052510299995E-2</v>
      </c>
      <c r="H61" s="38">
        <v>0.1691660000039</v>
      </c>
      <c r="I61" s="38">
        <v>0.16111269283900001</v>
      </c>
      <c r="J61" s="38">
        <v>2.4631687600003001</v>
      </c>
      <c r="K61" s="38">
        <v>0.2437548475047</v>
      </c>
      <c r="L61" s="38">
        <v>5.7699969975000001E-2</v>
      </c>
      <c r="M61" s="38">
        <v>1.1035464041530001</v>
      </c>
      <c r="N61" s="38">
        <v>5.7970123530500003E-2</v>
      </c>
      <c r="O61" s="38">
        <v>5.2864919999899999E-2</v>
      </c>
      <c r="P61" s="38">
        <v>5.8458393538579001</v>
      </c>
      <c r="Q61" s="38">
        <v>5.2960500004000004E-3</v>
      </c>
      <c r="R61" s="38">
        <v>5.2960500004000004E-3</v>
      </c>
      <c r="S61" s="38">
        <v>7.9138956499999996E-2</v>
      </c>
      <c r="T61" s="38">
        <v>2.1863520300000001E-2</v>
      </c>
      <c r="U61" s="38">
        <v>0</v>
      </c>
      <c r="V61" s="38">
        <v>1.6170035000000001E-3</v>
      </c>
      <c r="W61" s="38">
        <v>2.3245111000000001E-3</v>
      </c>
      <c r="X61" s="38">
        <v>0.7185337222</v>
      </c>
      <c r="Y61" s="38">
        <v>0.2330015953</v>
      </c>
      <c r="Z61" s="38">
        <v>0.117705005</v>
      </c>
      <c r="AA61" s="38">
        <v>0.61024679800000003</v>
      </c>
      <c r="AB61" s="38">
        <v>1.1435139132000001</v>
      </c>
      <c r="AC61" s="38">
        <v>6.6903683999999996E-3</v>
      </c>
      <c r="AD61" s="38">
        <v>8.1769977000000008E-3</v>
      </c>
      <c r="AE61" s="38">
        <v>0.68836905120000003</v>
      </c>
      <c r="AF61" s="38">
        <v>3.6311814424</v>
      </c>
      <c r="AG61" s="38">
        <v>9.4823168462582998</v>
      </c>
    </row>
    <row r="62" spans="1:33" s="39" customFormat="1" x14ac:dyDescent="0.25">
      <c r="A62" s="40"/>
      <c r="B62" s="36" t="s">
        <v>57</v>
      </c>
      <c r="C62" s="38">
        <v>0.4</v>
      </c>
      <c r="D62" s="38">
        <v>0.39</v>
      </c>
      <c r="E62" s="38">
        <v>0</v>
      </c>
      <c r="F62" s="38">
        <v>0.66012030675699995</v>
      </c>
      <c r="G62" s="38">
        <v>8.5999999999999993E-2</v>
      </c>
      <c r="H62" s="38">
        <v>0.124</v>
      </c>
      <c r="I62" s="38">
        <v>1.6839999999999999</v>
      </c>
      <c r="J62" s="38">
        <v>2.3170000000000002</v>
      </c>
      <c r="K62" s="38">
        <v>0.58299999999999996</v>
      </c>
      <c r="L62" s="38">
        <v>7.5999999999999998E-2</v>
      </c>
      <c r="M62" s="38">
        <v>0.72399999999999998</v>
      </c>
      <c r="N62" s="38">
        <v>5.6000000000000001E-2</v>
      </c>
      <c r="O62" s="38">
        <v>7.4999999999999997E-2</v>
      </c>
      <c r="P62" s="38">
        <v>7.175120306757</v>
      </c>
      <c r="Q62" s="38">
        <v>3.0000000000000001E-3</v>
      </c>
      <c r="R62" s="38">
        <v>3.0000000000000001E-3</v>
      </c>
      <c r="S62" s="38">
        <v>8.2000000000000003E-2</v>
      </c>
      <c r="T62" s="38">
        <v>2.9000000000000001E-2</v>
      </c>
      <c r="U62" s="38">
        <v>0</v>
      </c>
      <c r="V62" s="38">
        <v>1E-3</v>
      </c>
      <c r="W62" s="38">
        <v>3.0000000000000001E-3</v>
      </c>
      <c r="X62" s="38">
        <v>0.65500000000000003</v>
      </c>
      <c r="Y62" s="38">
        <v>0.17799999999999999</v>
      </c>
      <c r="Z62" s="38">
        <v>0.114</v>
      </c>
      <c r="AA62" s="38">
        <v>0.70099999999999996</v>
      </c>
      <c r="AB62" s="38">
        <v>1.1379999999999999</v>
      </c>
      <c r="AC62" s="38">
        <v>8.0000000000000002E-3</v>
      </c>
      <c r="AD62" s="38">
        <v>1.2999999999999999E-2</v>
      </c>
      <c r="AE62" s="38">
        <v>0.41799999999999998</v>
      </c>
      <c r="AF62" s="38">
        <v>3.34</v>
      </c>
      <c r="AG62" s="38">
        <v>10.518120306757</v>
      </c>
    </row>
    <row r="63" spans="1:33" s="39" customFormat="1" x14ac:dyDescent="0.25">
      <c r="A63" s="40"/>
      <c r="B63" s="36" t="s">
        <v>58</v>
      </c>
      <c r="C63" s="38">
        <v>0.48699999999999999</v>
      </c>
      <c r="D63" s="38">
        <v>0.36599999999999999</v>
      </c>
      <c r="E63" s="38">
        <v>0</v>
      </c>
      <c r="F63" s="38">
        <v>0.82799999999999996</v>
      </c>
      <c r="G63" s="38">
        <v>0.112</v>
      </c>
      <c r="H63" s="38">
        <v>0.105</v>
      </c>
      <c r="I63" s="38">
        <v>1.4830000000000001</v>
      </c>
      <c r="J63" s="38">
        <v>2.2040000000000002</v>
      </c>
      <c r="K63" s="38">
        <v>0.63</v>
      </c>
      <c r="L63" s="38">
        <v>0.14699999999999999</v>
      </c>
      <c r="M63" s="38">
        <v>0.76</v>
      </c>
      <c r="N63" s="38">
        <v>4.8000000000000001E-2</v>
      </c>
      <c r="O63" s="38">
        <v>9.2999999999999999E-2</v>
      </c>
      <c r="P63" s="38">
        <v>7.2629999999999999</v>
      </c>
      <c r="Q63" s="38">
        <v>2E-3</v>
      </c>
      <c r="R63" s="38">
        <v>2E-3</v>
      </c>
      <c r="S63" s="38">
        <v>0.11600000000000001</v>
      </c>
      <c r="T63" s="38">
        <v>2.7E-2</v>
      </c>
      <c r="U63" s="38">
        <v>0</v>
      </c>
      <c r="V63" s="38">
        <v>1E-3</v>
      </c>
      <c r="W63" s="38">
        <v>4.0000000000000001E-3</v>
      </c>
      <c r="X63" s="38">
        <v>0.65700000000000003</v>
      </c>
      <c r="Y63" s="38">
        <v>0.19500000000000001</v>
      </c>
      <c r="Z63" s="38">
        <v>9.2999999999999999E-2</v>
      </c>
      <c r="AA63" s="38">
        <v>0.70299999999999996</v>
      </c>
      <c r="AB63" s="38">
        <v>1.032</v>
      </c>
      <c r="AC63" s="38">
        <v>8.9999999999999993E-3</v>
      </c>
      <c r="AD63" s="38">
        <v>1.7000000000000001E-2</v>
      </c>
      <c r="AE63" s="38">
        <v>0.159</v>
      </c>
      <c r="AF63" s="38">
        <v>3.0129999999999999</v>
      </c>
      <c r="AG63" s="38">
        <v>10.278</v>
      </c>
    </row>
    <row r="64" spans="1:33" s="39" customFormat="1" x14ac:dyDescent="0.25">
      <c r="A64" s="40"/>
      <c r="B64" s="36" t="s">
        <v>59</v>
      </c>
      <c r="C64" s="38">
        <v>0.47199999999999998</v>
      </c>
      <c r="D64" s="38">
        <v>0.35399999999999998</v>
      </c>
      <c r="E64" s="38">
        <v>8.5268952798000005E-3</v>
      </c>
      <c r="F64" s="38">
        <v>0.73399999999999999</v>
      </c>
      <c r="G64" s="38">
        <v>0.13</v>
      </c>
      <c r="H64" s="38">
        <v>0.10299999999999999</v>
      </c>
      <c r="I64" s="38">
        <v>1.4159999999999999</v>
      </c>
      <c r="J64" s="38">
        <v>2.0950000000000002</v>
      </c>
      <c r="K64" s="38">
        <v>0.57499999999999996</v>
      </c>
      <c r="L64" s="38">
        <v>0.13600000000000001</v>
      </c>
      <c r="M64" s="38">
        <v>0.748</v>
      </c>
      <c r="N64" s="38">
        <v>4.2999999999999997E-2</v>
      </c>
      <c r="O64" s="38">
        <v>9.2999999999999999E-2</v>
      </c>
      <c r="P64" s="38">
        <v>6.9075268952798003</v>
      </c>
      <c r="Q64" s="38">
        <v>1E-3</v>
      </c>
      <c r="R64" s="38">
        <v>1E-3</v>
      </c>
      <c r="S64" s="38">
        <v>0.127</v>
      </c>
      <c r="T64" s="38">
        <v>3.3000000000000002E-2</v>
      </c>
      <c r="U64" s="38">
        <v>1.5947786E-3</v>
      </c>
      <c r="V64" s="38">
        <v>1E-3</v>
      </c>
      <c r="W64" s="38">
        <v>5.0000000000000001E-3</v>
      </c>
      <c r="X64" s="38">
        <v>0.67200000000000004</v>
      </c>
      <c r="Y64" s="38">
        <v>0.19600000000000001</v>
      </c>
      <c r="Z64" s="38">
        <v>0.10100000000000001</v>
      </c>
      <c r="AA64" s="38">
        <v>0.623</v>
      </c>
      <c r="AB64" s="38">
        <v>0.96499999999999997</v>
      </c>
      <c r="AC64" s="38">
        <v>8.0000000000000002E-3</v>
      </c>
      <c r="AD64" s="38">
        <v>1.2999999999999999E-2</v>
      </c>
      <c r="AE64" s="38">
        <v>1.7000000000000001E-2</v>
      </c>
      <c r="AF64" s="38">
        <v>2.7625947786</v>
      </c>
      <c r="AG64" s="38">
        <v>9.6711216738797994</v>
      </c>
    </row>
    <row r="66" spans="1:31" ht="17.25" x14ac:dyDescent="0.3">
      <c r="A66" s="2" t="s">
        <v>61</v>
      </c>
    </row>
    <row r="67" spans="1:31" ht="17.25" x14ac:dyDescent="0.3">
      <c r="A67" s="3" t="s">
        <v>5</v>
      </c>
      <c r="B67" s="3" t="s">
        <v>62</v>
      </c>
      <c r="C67" s="4" t="s">
        <v>63</v>
      </c>
      <c r="D67" s="4"/>
      <c r="E67" s="4"/>
      <c r="F67" s="4"/>
      <c r="G67" s="4"/>
      <c r="H67" s="4"/>
      <c r="I67" s="4"/>
    </row>
    <row r="68" spans="1:31" x14ac:dyDescent="0.25">
      <c r="A68" s="5" t="s">
        <v>15</v>
      </c>
      <c r="B68" s="5" t="s">
        <v>64</v>
      </c>
      <c r="C68" s="6" t="s">
        <v>65</v>
      </c>
      <c r="D68" s="7"/>
      <c r="E68" s="7"/>
      <c r="F68" s="7"/>
      <c r="G68" s="7"/>
      <c r="H68" s="7"/>
      <c r="I68" s="8"/>
    </row>
    <row r="69" spans="1:31" x14ac:dyDescent="0.25">
      <c r="A69" s="5" t="s">
        <v>9</v>
      </c>
      <c r="B69" s="5" t="s">
        <v>64</v>
      </c>
      <c r="C69" s="6" t="s">
        <v>66</v>
      </c>
      <c r="D69" s="7"/>
      <c r="E69" s="7"/>
      <c r="F69" s="7"/>
      <c r="G69" s="7"/>
      <c r="H69" s="7"/>
      <c r="I69" s="8"/>
    </row>
    <row r="70" spans="1:31" x14ac:dyDescent="0.25">
      <c r="A70" s="5" t="s">
        <v>10</v>
      </c>
      <c r="B70" s="5" t="s">
        <v>64</v>
      </c>
      <c r="C70" s="6" t="s">
        <v>67</v>
      </c>
      <c r="D70" s="7"/>
      <c r="E70" s="7"/>
      <c r="F70" s="7"/>
      <c r="G70" s="7"/>
      <c r="H70" s="7"/>
      <c r="I70" s="8"/>
    </row>
    <row r="71" spans="1:31" x14ac:dyDescent="0.25">
      <c r="A71" s="5" t="s">
        <v>10</v>
      </c>
      <c r="B71" s="5" t="s">
        <v>64</v>
      </c>
      <c r="C71" s="6" t="s">
        <v>68</v>
      </c>
      <c r="D71" s="7"/>
      <c r="E71" s="7"/>
      <c r="F71" s="7"/>
      <c r="G71" s="7"/>
      <c r="H71" s="7"/>
      <c r="I71" s="8"/>
    </row>
    <row r="74" spans="1:31" x14ac:dyDescent="0.25">
      <c r="A74" s="9" t="s">
        <v>69</v>
      </c>
      <c r="B74" s="9"/>
      <c r="C74" s="9"/>
      <c r="D74" s="9"/>
      <c r="E74" s="9"/>
    </row>
    <row r="76" spans="1:31" x14ac:dyDescent="0.25">
      <c r="A76" t="s">
        <v>111</v>
      </c>
      <c r="C76" s="44">
        <f>AVERAGE(C42)</f>
        <v>314627</v>
      </c>
      <c r="D76" s="44">
        <f t="shared" ref="D76:O76" si="0">AVERAGE(D42)</f>
        <v>33441.129999999997</v>
      </c>
      <c r="E76" s="44">
        <f t="shared" si="0"/>
        <v>139513.03200000001</v>
      </c>
      <c r="F76" s="44">
        <f t="shared" si="0"/>
        <v>22265.47</v>
      </c>
      <c r="G76" s="44">
        <f t="shared" si="0"/>
        <v>4632</v>
      </c>
      <c r="H76" s="44">
        <f t="shared" si="0"/>
        <v>1996.855</v>
      </c>
      <c r="I76" s="44">
        <f t="shared" si="0"/>
        <v>191873</v>
      </c>
      <c r="J76" s="44">
        <f t="shared" si="0"/>
        <v>157575.5</v>
      </c>
      <c r="K76" s="44">
        <f t="shared" si="0"/>
        <v>54083.76</v>
      </c>
      <c r="L76" s="44">
        <f t="shared" si="0"/>
        <v>10418</v>
      </c>
      <c r="M76" s="44">
        <f t="shared" si="0"/>
        <v>147895</v>
      </c>
      <c r="N76" s="44">
        <f t="shared" si="0"/>
        <v>6750</v>
      </c>
      <c r="O76" s="44">
        <f t="shared" si="0"/>
        <v>3654</v>
      </c>
      <c r="S76" s="47">
        <f t="shared" ref="S76:AE76" si="1">AVERAGE(S42)</f>
        <v>16.924928999999999</v>
      </c>
      <c r="T76" s="47">
        <f t="shared" si="1"/>
        <v>0.45500000000000002</v>
      </c>
      <c r="U76" s="47">
        <f t="shared" si="1"/>
        <v>7.6239999999999997</v>
      </c>
      <c r="V76" s="47">
        <f t="shared" si="1"/>
        <v>3.6494000000000001E-3</v>
      </c>
      <c r="W76" s="47">
        <f t="shared" si="1"/>
        <v>0</v>
      </c>
      <c r="X76" s="47">
        <f t="shared" si="1"/>
        <v>11.442068000000001</v>
      </c>
      <c r="Y76" s="47">
        <f t="shared" si="1"/>
        <v>3.3541926000000002</v>
      </c>
      <c r="Z76" s="47">
        <f t="shared" si="1"/>
        <v>0.28928100000000001</v>
      </c>
      <c r="AA76" s="47">
        <f t="shared" si="1"/>
        <v>9.7985168999999992</v>
      </c>
      <c r="AB76" s="47">
        <f t="shared" si="1"/>
        <v>10.413885000000001</v>
      </c>
      <c r="AC76" s="47">
        <f t="shared" si="1"/>
        <v>0.1917847</v>
      </c>
      <c r="AD76" s="47">
        <f t="shared" si="1"/>
        <v>9.52408E-2</v>
      </c>
      <c r="AE76" s="47">
        <f t="shared" si="1"/>
        <v>0</v>
      </c>
    </row>
  </sheetData>
  <mergeCells count="60">
    <mergeCell ref="C67:I67"/>
    <mergeCell ref="A74:E74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239A-203B-4BF7-9EF9-B8326A197E53}">
  <dimension ref="B2:AH4"/>
  <sheetViews>
    <sheetView workbookViewId="0">
      <selection activeCell="B2" sqref="B2:AH4"/>
    </sheetView>
  </sheetViews>
  <sheetFormatPr defaultRowHeight="15" x14ac:dyDescent="0.25"/>
  <sheetData>
    <row r="2" spans="2:34" x14ac:dyDescent="0.2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64</v>
      </c>
    </row>
    <row r="3" spans="2:34" x14ac:dyDescent="0.25">
      <c r="B3" t="s">
        <v>60</v>
      </c>
      <c r="C3">
        <v>203846.98997190001</v>
      </c>
      <c r="D3">
        <v>193740.47338499999</v>
      </c>
      <c r="E3">
        <v>193691.38686530001</v>
      </c>
      <c r="F3">
        <v>190504.1395472</v>
      </c>
      <c r="G3">
        <v>203398.0402815</v>
      </c>
      <c r="H3">
        <v>199093.6399832</v>
      </c>
      <c r="I3">
        <v>189562.25342359999</v>
      </c>
      <c r="J3">
        <v>191505.76367069999</v>
      </c>
      <c r="K3">
        <v>188162.59279980001</v>
      </c>
      <c r="L3">
        <v>189323.33432309999</v>
      </c>
      <c r="M3">
        <v>191076.38111389999</v>
      </c>
      <c r="N3">
        <v>192032.31949739999</v>
      </c>
      <c r="O3">
        <v>186729.16950290001</v>
      </c>
      <c r="P3">
        <v>189084.1184254</v>
      </c>
      <c r="Q3">
        <v>181665.48428949999</v>
      </c>
      <c r="R3">
        <v>183010.550563</v>
      </c>
      <c r="S3">
        <v>181127.7211127</v>
      </c>
      <c r="T3">
        <v>181533.96233330001</v>
      </c>
      <c r="U3">
        <v>183335.5379617</v>
      </c>
      <c r="V3">
        <v>183808.44705469999</v>
      </c>
      <c r="W3">
        <v>182738.19504809999</v>
      </c>
      <c r="X3">
        <v>180976.67692649999</v>
      </c>
      <c r="Y3">
        <v>183026.59147489999</v>
      </c>
      <c r="Z3">
        <v>181172.43534970001</v>
      </c>
      <c r="AA3">
        <v>189230.26221849999</v>
      </c>
      <c r="AB3">
        <v>183469.63572329999</v>
      </c>
      <c r="AC3">
        <v>184363.41386100001</v>
      </c>
      <c r="AD3">
        <v>187318.1550723</v>
      </c>
      <c r="AE3">
        <v>184338.50240130001</v>
      </c>
      <c r="AF3">
        <v>188935.76166640001</v>
      </c>
      <c r="AG3">
        <v>186258.4765657</v>
      </c>
      <c r="AH3">
        <v>193337.59507489999</v>
      </c>
    </row>
    <row r="4" spans="2:34" x14ac:dyDescent="0.25">
      <c r="B4" t="s">
        <v>102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CBD4-C2D2-421C-827F-D9B07B8CF3A3}">
  <sheetPr>
    <pageSetUpPr fitToPage="1"/>
  </sheetPr>
  <dimension ref="A45:G49"/>
  <sheetViews>
    <sheetView workbookViewId="0"/>
  </sheetViews>
  <sheetFormatPr defaultRowHeight="15" x14ac:dyDescent="0.25"/>
  <cols>
    <col min="1" max="1" width="27.7109375" customWidth="1"/>
    <col min="2" max="7" width="16.7109375" customWidth="1"/>
  </cols>
  <sheetData>
    <row r="45" spans="1:7" ht="17.25" x14ac:dyDescent="0.25">
      <c r="A45" s="10" t="s">
        <v>103</v>
      </c>
      <c r="B45" s="10" t="s">
        <v>104</v>
      </c>
      <c r="C45" s="10"/>
      <c r="D45" s="10" t="s">
        <v>105</v>
      </c>
      <c r="E45" s="10"/>
      <c r="F45" s="10" t="s">
        <v>106</v>
      </c>
      <c r="G45" s="10"/>
    </row>
    <row r="46" spans="1:7" ht="17.25" x14ac:dyDescent="0.25">
      <c r="A46" s="10"/>
      <c r="B46" s="11" t="s">
        <v>107</v>
      </c>
      <c r="C46" s="11" t="s">
        <v>108</v>
      </c>
      <c r="D46" s="11" t="s">
        <v>107</v>
      </c>
      <c r="E46" s="11" t="s">
        <v>108</v>
      </c>
      <c r="F46" s="11" t="s">
        <v>107</v>
      </c>
      <c r="G46" s="11" t="s">
        <v>108</v>
      </c>
    </row>
    <row r="47" spans="1:7" x14ac:dyDescent="0.25">
      <c r="A47" s="5" t="s">
        <v>109</v>
      </c>
      <c r="B47" s="12" t="s">
        <v>45</v>
      </c>
      <c r="C47" s="12">
        <f>'DPR ( 02-APR-2026 )'!P49</f>
        <v>138281.27197279999</v>
      </c>
      <c r="D47" s="12" t="s">
        <v>45</v>
      </c>
      <c r="E47" s="12">
        <f>'DPR ( 02-APR-2026 )'!AF49</f>
        <v>8.1632847000000002</v>
      </c>
      <c r="F47" s="12" t="s">
        <v>45</v>
      </c>
      <c r="G47" s="12">
        <f>'DPR ( 02-APR-2026 )'!AG49</f>
        <v>189628.33273580001</v>
      </c>
    </row>
    <row r="48" spans="1:7" x14ac:dyDescent="0.25">
      <c r="A48" s="5" t="s">
        <v>102</v>
      </c>
      <c r="B48" s="12">
        <f>'DPR ( 02-APR-2026 )'!P47</f>
        <v>146458.04109588999</v>
      </c>
      <c r="C48" s="12">
        <f>'DPR ( 02-APR-2026 )'!P48</f>
        <v>146425.341075</v>
      </c>
      <c r="D48" s="12">
        <f>'DPR ( 02-APR-2026 )'!AF47</f>
        <v>7.0630136986301402</v>
      </c>
      <c r="E48" s="12">
        <f>'DPR ( 02-APR-2026 )'!AF48</f>
        <v>7.3666660000000004</v>
      </c>
      <c r="F48" s="12">
        <f>'DPR ( 02-APR-2026 )'!AG47</f>
        <v>190884.39726027299</v>
      </c>
      <c r="G48" s="12">
        <f>'DPR ( 02-APR-2026 )'!AG48</f>
        <v>192761.67021499999</v>
      </c>
    </row>
    <row r="49" spans="1:7" x14ac:dyDescent="0.25">
      <c r="A49" s="5" t="s">
        <v>110</v>
      </c>
      <c r="B49" s="12"/>
      <c r="C49" s="12">
        <v>94.438074009314704</v>
      </c>
      <c r="D49" s="12"/>
      <c r="E49" s="12">
        <v>110.813829485414</v>
      </c>
      <c r="F49" s="12"/>
      <c r="G49" s="12">
        <v>98.374501800225502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( 02-APR-2026 )</vt:lpstr>
      <vt:lpstr>2</vt:lpstr>
      <vt:lpstr>Production Performance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Cell</dc:creator>
  <cp:lastModifiedBy>Technical Cell</cp:lastModifiedBy>
  <cp:lastPrinted>2026-06-25T05:21:06Z</cp:lastPrinted>
  <dcterms:created xsi:type="dcterms:W3CDTF">2026-06-25T05:17:37Z</dcterms:created>
  <dcterms:modified xsi:type="dcterms:W3CDTF">2026-06-25T05:52:17Z</dcterms:modified>
</cp:coreProperties>
</file>